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179.131.3.14\Gestao e Estruturacao de FIDC\Risco\Dracma FIDC\Relatorio Diario\"/>
    </mc:Choice>
  </mc:AlternateContent>
  <xr:revisionPtr revIDLastSave="0" documentId="13_ncr:1_{5930E768-19D2-4C4F-ACCE-913845457EFD}" xr6:coauthVersionLast="47" xr6:coauthVersionMax="47" xr10:uidLastSave="{00000000-0000-0000-0000-000000000000}"/>
  <bookViews>
    <workbookView xWindow="-120" yWindow="-120" windowWidth="29040" windowHeight="15840" tabRatio="642" firstSheet="3" activeTab="3" xr2:uid="{00000000-000D-0000-FFFF-FFFF00000000}"/>
  </bookViews>
  <sheets>
    <sheet name="Pagamentos - Socopa " sheetId="1" state="hidden" r:id="rId1"/>
    <sheet name="Planilha1" sheetId="2" state="hidden" r:id="rId2"/>
    <sheet name="Diario" sheetId="3" state="hidden" r:id="rId3"/>
    <sheet name="Relatorio" sheetId="4" r:id="rId4"/>
    <sheet name="estoque" sheetId="5" r:id="rId5"/>
    <sheet name="historico" sheetId="6" r:id="rId6"/>
    <sheet name="amortizacao" sheetId="7" r:id="rId7"/>
    <sheet name="emissao_sub" sheetId="8" r:id="rId8"/>
    <sheet name="emissao_sen" sheetId="9" r:id="rId9"/>
    <sheet name="PLD Socopa 1508" sheetId="10" state="hidden" r:id="rId10"/>
  </sheets>
  <definedNames>
    <definedName name="_xlnm._FilterDatabase" localSheetId="9" hidden="1">'PLD Socopa 1508'!$C$1:$M$229</definedName>
    <definedName name="_xlnm.Print_Area" localSheetId="3">Relatorio!$A$1:$F$32</definedName>
    <definedName name="Estoque1">#REF!</definedName>
    <definedName name="_xlnm.Print_Titles" localSheetId="9">'PLD Socopa 1508'!$1:$1</definedName>
    <definedName name="XXXX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4" l="1"/>
  <c r="F31" i="4"/>
  <c r="D31" i="4"/>
  <c r="F30" i="4"/>
  <c r="B31" i="4"/>
  <c r="B30" i="4"/>
  <c r="K228" i="10"/>
  <c r="K227" i="10"/>
  <c r="L226" i="10"/>
  <c r="M226" i="10" s="1"/>
  <c r="K226" i="10"/>
  <c r="K225" i="10"/>
  <c r="M224" i="10"/>
  <c r="L224" i="10"/>
  <c r="K224" i="10"/>
  <c r="M223" i="10"/>
  <c r="L223" i="10"/>
  <c r="K223" i="10"/>
  <c r="K222" i="10"/>
  <c r="K221" i="10"/>
  <c r="K220" i="10"/>
  <c r="L219" i="10"/>
  <c r="M219" i="10" s="1"/>
  <c r="K219" i="10"/>
  <c r="M218" i="10"/>
  <c r="L218" i="10"/>
  <c r="K218" i="10"/>
  <c r="M217" i="10"/>
  <c r="L217" i="10"/>
  <c r="K217" i="10"/>
  <c r="L216" i="10"/>
  <c r="K216" i="10"/>
  <c r="K215" i="10"/>
  <c r="K214" i="10"/>
  <c r="L213" i="10"/>
  <c r="M213" i="10" s="1"/>
  <c r="K213" i="10"/>
  <c r="L212" i="10"/>
  <c r="K212" i="10"/>
  <c r="M211" i="10"/>
  <c r="L211" i="10"/>
  <c r="K211" i="10"/>
  <c r="K210" i="10"/>
  <c r="K209" i="10"/>
  <c r="M208" i="10"/>
  <c r="L208" i="10"/>
  <c r="K208" i="10"/>
  <c r="M207" i="10"/>
  <c r="L207" i="10"/>
  <c r="K207" i="10"/>
  <c r="K206" i="10"/>
  <c r="K205" i="10"/>
  <c r="K204" i="10"/>
  <c r="L203" i="10"/>
  <c r="M203" i="10" s="1"/>
  <c r="K203" i="10"/>
  <c r="M202" i="10"/>
  <c r="L202" i="10"/>
  <c r="K202" i="10"/>
  <c r="M201" i="10"/>
  <c r="L201" i="10"/>
  <c r="K201" i="10"/>
  <c r="K200" i="10"/>
  <c r="K199" i="10"/>
  <c r="K198" i="10"/>
  <c r="M197" i="10"/>
  <c r="L197" i="10"/>
  <c r="K197" i="10"/>
  <c r="M196" i="10"/>
  <c r="L196" i="10"/>
  <c r="K196" i="10"/>
  <c r="L195" i="10"/>
  <c r="K195" i="10"/>
  <c r="L194" i="10"/>
  <c r="K194" i="10"/>
  <c r="K193" i="10"/>
  <c r="K192" i="10"/>
  <c r="M191" i="10"/>
  <c r="L191" i="10"/>
  <c r="K191" i="10"/>
  <c r="M190" i="10"/>
  <c r="L190" i="10"/>
  <c r="K190" i="10"/>
  <c r="M189" i="10"/>
  <c r="L189" i="10"/>
  <c r="K189" i="10"/>
  <c r="K188" i="10"/>
  <c r="L187" i="10"/>
  <c r="M187" i="10" s="1"/>
  <c r="K187" i="10"/>
  <c r="M186" i="10"/>
  <c r="L186" i="10"/>
  <c r="K186" i="10"/>
  <c r="M185" i="10"/>
  <c r="L185" i="10"/>
  <c r="K185" i="10"/>
  <c r="K184" i="10"/>
  <c r="K183" i="10"/>
  <c r="L182" i="10"/>
  <c r="M182" i="10" s="1"/>
  <c r="K182" i="10"/>
  <c r="L181" i="10"/>
  <c r="K181" i="10"/>
  <c r="M180" i="10"/>
  <c r="L180" i="10"/>
  <c r="K180" i="10"/>
  <c r="L179" i="10"/>
  <c r="K179" i="10"/>
  <c r="K178" i="10"/>
  <c r="L178" i="10" s="1"/>
  <c r="M178" i="10" s="1"/>
  <c r="M177" i="10"/>
  <c r="L177" i="10"/>
  <c r="K177" i="10"/>
  <c r="K176" i="10"/>
  <c r="K175" i="10"/>
  <c r="K174" i="10"/>
  <c r="K173" i="10"/>
  <c r="L172" i="10"/>
  <c r="M172" i="10" s="1"/>
  <c r="K172" i="10"/>
  <c r="L171" i="10"/>
  <c r="K171" i="10"/>
  <c r="M170" i="10"/>
  <c r="L170" i="10"/>
  <c r="K170" i="10"/>
  <c r="K169" i="10"/>
  <c r="K168" i="10"/>
  <c r="L167" i="10"/>
  <c r="M167" i="10" s="1"/>
  <c r="K167" i="10"/>
  <c r="M166" i="10"/>
  <c r="L166" i="10"/>
  <c r="K166" i="10"/>
  <c r="K165" i="10"/>
  <c r="L165" i="10" s="1"/>
  <c r="L164" i="10"/>
  <c r="M164" i="10" s="1"/>
  <c r="K164" i="10"/>
  <c r="L163" i="10"/>
  <c r="K163" i="10"/>
  <c r="M162" i="10"/>
  <c r="L162" i="10"/>
  <c r="K162" i="10"/>
  <c r="L161" i="10"/>
  <c r="K161" i="10"/>
  <c r="K160" i="10"/>
  <c r="K159" i="10"/>
  <c r="K158" i="10"/>
  <c r="M157" i="10"/>
  <c r="L157" i="10"/>
  <c r="K157" i="10"/>
  <c r="M156" i="10"/>
  <c r="L156" i="10"/>
  <c r="K156" i="10"/>
  <c r="K155" i="10"/>
  <c r="K154" i="10"/>
  <c r="K153" i="10"/>
  <c r="K152" i="10"/>
  <c r="M151" i="10"/>
  <c r="L151" i="10"/>
  <c r="K151" i="10"/>
  <c r="M150" i="10"/>
  <c r="K150" i="10"/>
  <c r="L150" i="10" s="1"/>
  <c r="K149" i="10"/>
  <c r="L148" i="10"/>
  <c r="M148" i="10" s="1"/>
  <c r="K148" i="10"/>
  <c r="M147" i="10"/>
  <c r="L147" i="10"/>
  <c r="K147" i="10"/>
  <c r="M146" i="10"/>
  <c r="K146" i="10"/>
  <c r="L146" i="10" s="1"/>
  <c r="K145" i="10"/>
  <c r="L144" i="10"/>
  <c r="M144" i="10" s="1"/>
  <c r="K144" i="10"/>
  <c r="L143" i="10"/>
  <c r="K143" i="10"/>
  <c r="M142" i="10"/>
  <c r="L142" i="10"/>
  <c r="K142" i="10"/>
  <c r="K141" i="10"/>
  <c r="L141" i="10" s="1"/>
  <c r="M141" i="10" s="1"/>
  <c r="K140" i="10"/>
  <c r="L139" i="10"/>
  <c r="M139" i="10" s="1"/>
  <c r="K139" i="10"/>
  <c r="L138" i="10"/>
  <c r="M138" i="10" s="1"/>
  <c r="K138" i="10"/>
  <c r="K137" i="10"/>
  <c r="K136" i="10"/>
  <c r="L136" i="10" s="1"/>
  <c r="M136" i="10" s="1"/>
  <c r="L135" i="10"/>
  <c r="K135" i="10"/>
  <c r="K134" i="10"/>
  <c r="L134" i="10" s="1"/>
  <c r="M134" i="10" s="1"/>
  <c r="K133" i="10"/>
  <c r="K132" i="10"/>
  <c r="M131" i="10"/>
  <c r="L131" i="10"/>
  <c r="K131" i="10"/>
  <c r="K130" i="10"/>
  <c r="K129" i="10"/>
  <c r="K128" i="10"/>
  <c r="L128" i="10" s="1"/>
  <c r="M128" i="10" s="1"/>
  <c r="K127" i="10"/>
  <c r="L126" i="10"/>
  <c r="M126" i="10" s="1"/>
  <c r="K126" i="10"/>
  <c r="M125" i="10"/>
  <c r="L125" i="10"/>
  <c r="K125" i="10"/>
  <c r="K124" i="10"/>
  <c r="K123" i="10"/>
  <c r="L122" i="10"/>
  <c r="M122" i="10" s="1"/>
  <c r="K122" i="10"/>
  <c r="M121" i="10"/>
  <c r="L121" i="10"/>
  <c r="K121" i="10"/>
  <c r="L120" i="10"/>
  <c r="K120" i="10"/>
  <c r="K119" i="10"/>
  <c r="L118" i="10"/>
  <c r="M118" i="10" s="1"/>
  <c r="K118" i="10"/>
  <c r="M117" i="10"/>
  <c r="K117" i="10"/>
  <c r="L117" i="10" s="1"/>
  <c r="K116" i="10"/>
  <c r="K115" i="10"/>
  <c r="M114" i="10"/>
  <c r="L114" i="10"/>
  <c r="K114" i="10"/>
  <c r="L113" i="10"/>
  <c r="K113" i="10"/>
  <c r="K112" i="10"/>
  <c r="L112" i="10" s="1"/>
  <c r="M112" i="10" s="1"/>
  <c r="K111" i="10"/>
  <c r="K110" i="10"/>
  <c r="M109" i="10"/>
  <c r="L109" i="10"/>
  <c r="K109" i="10"/>
  <c r="K108" i="10"/>
  <c r="K107" i="10"/>
  <c r="L107" i="10" s="1"/>
  <c r="L106" i="10"/>
  <c r="M106" i="10" s="1"/>
  <c r="K106" i="10"/>
  <c r="L105" i="10"/>
  <c r="M105" i="10" s="1"/>
  <c r="K105" i="10"/>
  <c r="L104" i="10"/>
  <c r="M104" i="10" s="1"/>
  <c r="K104" i="10"/>
  <c r="M103" i="10"/>
  <c r="K103" i="10"/>
  <c r="L103" i="10" s="1"/>
  <c r="L102" i="10"/>
  <c r="M102" i="10" s="1"/>
  <c r="K102" i="10"/>
  <c r="L101" i="10"/>
  <c r="M101" i="10" s="1"/>
  <c r="K101" i="10"/>
  <c r="L100" i="10"/>
  <c r="M100" i="10" s="1"/>
  <c r="K100" i="10"/>
  <c r="K99" i="10"/>
  <c r="L98" i="10"/>
  <c r="M98" i="10" s="1"/>
  <c r="K98" i="10"/>
  <c r="K97" i="10"/>
  <c r="L96" i="10"/>
  <c r="M96" i="10" s="1"/>
  <c r="K96" i="10"/>
  <c r="K95" i="10"/>
  <c r="L94" i="10"/>
  <c r="M94" i="10" s="1"/>
  <c r="K94" i="10"/>
  <c r="K93" i="10"/>
  <c r="K92" i="10"/>
  <c r="L91" i="10"/>
  <c r="M91" i="10" s="1"/>
  <c r="K91" i="10"/>
  <c r="K90" i="10"/>
  <c r="K89" i="10"/>
  <c r="K88" i="10"/>
  <c r="L88" i="10" s="1"/>
  <c r="M88" i="10" s="1"/>
  <c r="K87" i="10"/>
  <c r="K86" i="10"/>
  <c r="K85" i="10"/>
  <c r="M84" i="10"/>
  <c r="L84" i="10"/>
  <c r="K84" i="10"/>
  <c r="L83" i="10"/>
  <c r="K83" i="10"/>
  <c r="K82" i="10"/>
  <c r="K81" i="10"/>
  <c r="L80" i="10"/>
  <c r="M80" i="10" s="1"/>
  <c r="K80" i="10"/>
  <c r="L79" i="10"/>
  <c r="M79" i="10" s="1"/>
  <c r="K79" i="10"/>
  <c r="K78" i="10"/>
  <c r="M77" i="10"/>
  <c r="L77" i="10"/>
  <c r="K77" i="10"/>
  <c r="L76" i="10"/>
  <c r="M76" i="10" s="1"/>
  <c r="K76" i="10"/>
  <c r="K74" i="10"/>
  <c r="K73" i="10"/>
  <c r="K71" i="10"/>
  <c r="K70" i="10"/>
  <c r="K68" i="10"/>
  <c r="K67" i="10"/>
  <c r="K65" i="10"/>
  <c r="K64" i="10"/>
  <c r="K62" i="10"/>
  <c r="K61" i="10"/>
  <c r="K59" i="10"/>
  <c r="K58" i="10"/>
  <c r="K60" i="10" s="1"/>
  <c r="L60" i="10" s="1"/>
  <c r="M60" i="10" s="1"/>
  <c r="K56" i="10"/>
  <c r="K55" i="10"/>
  <c r="K57" i="10" s="1"/>
  <c r="K53" i="10"/>
  <c r="K52" i="10"/>
  <c r="K51" i="10"/>
  <c r="K54" i="10" s="1"/>
  <c r="L54" i="10" s="1"/>
  <c r="M54" i="10" s="1"/>
  <c r="K49" i="10"/>
  <c r="K48" i="10"/>
  <c r="K50" i="10" s="1"/>
  <c r="L50" i="10" s="1"/>
  <c r="M50" i="10" s="1"/>
  <c r="K46" i="10"/>
  <c r="K45" i="10"/>
  <c r="K47" i="10" s="1"/>
  <c r="K43" i="10"/>
  <c r="K42" i="10"/>
  <c r="K44" i="10" s="1"/>
  <c r="L44" i="10" s="1"/>
  <c r="M44" i="10" s="1"/>
  <c r="K40" i="10"/>
  <c r="K39" i="10"/>
  <c r="K41" i="10" s="1"/>
  <c r="L41" i="10" s="1"/>
  <c r="M41" i="10" s="1"/>
  <c r="K37" i="10"/>
  <c r="K36" i="10"/>
  <c r="K38" i="10" s="1"/>
  <c r="L38" i="10" s="1"/>
  <c r="M38" i="10" s="1"/>
  <c r="L35" i="10"/>
  <c r="M35" i="10" s="1"/>
  <c r="K34" i="10"/>
  <c r="K33" i="10"/>
  <c r="K35" i="10" s="1"/>
  <c r="K32" i="10"/>
  <c r="L31" i="10"/>
  <c r="M31" i="10" s="1"/>
  <c r="K30" i="10"/>
  <c r="K29" i="10"/>
  <c r="K28" i="10"/>
  <c r="K31" i="10" s="1"/>
  <c r="L27" i="10"/>
  <c r="M27" i="10" s="1"/>
  <c r="K26" i="10"/>
  <c r="K25" i="10"/>
  <c r="K27" i="10" s="1"/>
  <c r="K24" i="10"/>
  <c r="L23" i="10"/>
  <c r="M23" i="10" s="1"/>
  <c r="K22" i="10"/>
  <c r="K21" i="10"/>
  <c r="K23" i="10" s="1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K20" i="10" s="1"/>
  <c r="M2511" i="6"/>
  <c r="M2510" i="6"/>
  <c r="M2509" i="6"/>
  <c r="M2508" i="6"/>
  <c r="M2507" i="6"/>
  <c r="M2506" i="6"/>
  <c r="M2505" i="6"/>
  <c r="M2504" i="6"/>
  <c r="M2503" i="6"/>
  <c r="M2502" i="6"/>
  <c r="M2501" i="6"/>
  <c r="M2500" i="6"/>
  <c r="M2499" i="6"/>
  <c r="M2498" i="6"/>
  <c r="M2497" i="6"/>
  <c r="M2496" i="6"/>
  <c r="M2495" i="6"/>
  <c r="M2494" i="6"/>
  <c r="M2493" i="6"/>
  <c r="M2492" i="6"/>
  <c r="M2491" i="6"/>
  <c r="M2490" i="6"/>
  <c r="M2489" i="6"/>
  <c r="M2488" i="6"/>
  <c r="M2487" i="6"/>
  <c r="M2486" i="6"/>
  <c r="M2485" i="6"/>
  <c r="M2484" i="6"/>
  <c r="M2483" i="6"/>
  <c r="M2482" i="6"/>
  <c r="M2481" i="6"/>
  <c r="M2480" i="6"/>
  <c r="M2479" i="6"/>
  <c r="M2478" i="6"/>
  <c r="M2477" i="6"/>
  <c r="M2476" i="6"/>
  <c r="M2475" i="6"/>
  <c r="M2474" i="6"/>
  <c r="M2473" i="6"/>
  <c r="M2472" i="6"/>
  <c r="M2471" i="6"/>
  <c r="M2470" i="6"/>
  <c r="M2469" i="6"/>
  <c r="M2468" i="6"/>
  <c r="M2467" i="6"/>
  <c r="M2466" i="6"/>
  <c r="M2465" i="6"/>
  <c r="M2464" i="6"/>
  <c r="M2463" i="6"/>
  <c r="M2462" i="6"/>
  <c r="M2461" i="6"/>
  <c r="M2460" i="6"/>
  <c r="M2459" i="6"/>
  <c r="M2458" i="6"/>
  <c r="M2457" i="6"/>
  <c r="M2456" i="6"/>
  <c r="M2455" i="6"/>
  <c r="M2454" i="6"/>
  <c r="M2453" i="6"/>
  <c r="M2452" i="6"/>
  <c r="M2451" i="6"/>
  <c r="M2450" i="6"/>
  <c r="M2449" i="6"/>
  <c r="M2448" i="6"/>
  <c r="M2447" i="6"/>
  <c r="M2446" i="6"/>
  <c r="M2445" i="6"/>
  <c r="M2444" i="6"/>
  <c r="M2443" i="6"/>
  <c r="M2442" i="6"/>
  <c r="M2441" i="6"/>
  <c r="M2440" i="6"/>
  <c r="M2439" i="6"/>
  <c r="M2438" i="6"/>
  <c r="M2437" i="6"/>
  <c r="M2436" i="6"/>
  <c r="M2435" i="6"/>
  <c r="M2434" i="6"/>
  <c r="M2433" i="6"/>
  <c r="M2432" i="6"/>
  <c r="M2431" i="6"/>
  <c r="M2430" i="6"/>
  <c r="M2429" i="6"/>
  <c r="M2428" i="6"/>
  <c r="M2427" i="6"/>
  <c r="M2426" i="6"/>
  <c r="M2425" i="6"/>
  <c r="M2424" i="6"/>
  <c r="M2423" i="6"/>
  <c r="M2422" i="6"/>
  <c r="M2421" i="6"/>
  <c r="M2420" i="6"/>
  <c r="M2419" i="6"/>
  <c r="M2418" i="6"/>
  <c r="M2417" i="6"/>
  <c r="M2416" i="6"/>
  <c r="M2415" i="6"/>
  <c r="M2414" i="6"/>
  <c r="M2413" i="6"/>
  <c r="M2412" i="6"/>
  <c r="M2411" i="6"/>
  <c r="M2410" i="6"/>
  <c r="M2409" i="6"/>
  <c r="M2408" i="6"/>
  <c r="M2407" i="6"/>
  <c r="M2406" i="6"/>
  <c r="M2405" i="6"/>
  <c r="M2404" i="6"/>
  <c r="M2403" i="6"/>
  <c r="M2402" i="6"/>
  <c r="M2401" i="6"/>
  <c r="M2400" i="6"/>
  <c r="M2399" i="6"/>
  <c r="M2398" i="6"/>
  <c r="M2397" i="6"/>
  <c r="M2396" i="6"/>
  <c r="M2395" i="6"/>
  <c r="M2394" i="6"/>
  <c r="M2393" i="6"/>
  <c r="M2392" i="6"/>
  <c r="M2391" i="6"/>
  <c r="M2390" i="6"/>
  <c r="M2389" i="6"/>
  <c r="M2388" i="6"/>
  <c r="M2387" i="6"/>
  <c r="M2386" i="6"/>
  <c r="M2385" i="6"/>
  <c r="M2384" i="6"/>
  <c r="M2383" i="6"/>
  <c r="M2382" i="6"/>
  <c r="M2381" i="6"/>
  <c r="M2380" i="6"/>
  <c r="M2379" i="6"/>
  <c r="M2378" i="6"/>
  <c r="M2377" i="6"/>
  <c r="M2376" i="6"/>
  <c r="M2375" i="6"/>
  <c r="M2374" i="6"/>
  <c r="M2373" i="6"/>
  <c r="M2372" i="6"/>
  <c r="M2371" i="6"/>
  <c r="M2370" i="6"/>
  <c r="M2369" i="6"/>
  <c r="M2368" i="6"/>
  <c r="M2367" i="6"/>
  <c r="M2366" i="6"/>
  <c r="M2365" i="6"/>
  <c r="M2364" i="6"/>
  <c r="M2363" i="6"/>
  <c r="M2362" i="6"/>
  <c r="M2361" i="6"/>
  <c r="M2360" i="6"/>
  <c r="M2359" i="6"/>
  <c r="M2358" i="6"/>
  <c r="M2357" i="6"/>
  <c r="M2356" i="6"/>
  <c r="M2355" i="6"/>
  <c r="M2354" i="6"/>
  <c r="M2353" i="6"/>
  <c r="M2352" i="6"/>
  <c r="M2351" i="6"/>
  <c r="M2350" i="6"/>
  <c r="M2349" i="6"/>
  <c r="M2348" i="6"/>
  <c r="M2347" i="6"/>
  <c r="M2346" i="6"/>
  <c r="M2345" i="6"/>
  <c r="M2344" i="6"/>
  <c r="M2343" i="6"/>
  <c r="M2342" i="6"/>
  <c r="M2341" i="6"/>
  <c r="M2340" i="6"/>
  <c r="M2339" i="6"/>
  <c r="M2338" i="6"/>
  <c r="M2337" i="6"/>
  <c r="M2336" i="6"/>
  <c r="M2335" i="6"/>
  <c r="M2334" i="6"/>
  <c r="M2333" i="6"/>
  <c r="M2332" i="6"/>
  <c r="M2331" i="6"/>
  <c r="M2330" i="6"/>
  <c r="M2329" i="6"/>
  <c r="M2328" i="6"/>
  <c r="M2327" i="6"/>
  <c r="M2326" i="6"/>
  <c r="M2325" i="6"/>
  <c r="M2324" i="6"/>
  <c r="M2323" i="6"/>
  <c r="M2322" i="6"/>
  <c r="M2321" i="6"/>
  <c r="M2320" i="6"/>
  <c r="M2319" i="6"/>
  <c r="M2318" i="6"/>
  <c r="M2317" i="6"/>
  <c r="M2316" i="6"/>
  <c r="M2315" i="6"/>
  <c r="M2314" i="6"/>
  <c r="M2313" i="6"/>
  <c r="M2312" i="6"/>
  <c r="M2311" i="6"/>
  <c r="M2310" i="6"/>
  <c r="M2309" i="6"/>
  <c r="M2308" i="6"/>
  <c r="M2307" i="6"/>
  <c r="M2306" i="6"/>
  <c r="M2305" i="6"/>
  <c r="M2304" i="6"/>
  <c r="M2303" i="6"/>
  <c r="M2302" i="6"/>
  <c r="M2301" i="6"/>
  <c r="M2300" i="6"/>
  <c r="M2299" i="6"/>
  <c r="M2298" i="6"/>
  <c r="M2297" i="6"/>
  <c r="M2296" i="6"/>
  <c r="M2295" i="6"/>
  <c r="M2294" i="6"/>
  <c r="M2293" i="6"/>
  <c r="M2292" i="6"/>
  <c r="M2291" i="6"/>
  <c r="M2290" i="6"/>
  <c r="M2289" i="6"/>
  <c r="M2288" i="6"/>
  <c r="M2287" i="6"/>
  <c r="M2286" i="6"/>
  <c r="M2285" i="6"/>
  <c r="M2284" i="6"/>
  <c r="M2283" i="6"/>
  <c r="M2282" i="6"/>
  <c r="M2281" i="6"/>
  <c r="M2280" i="6"/>
  <c r="M2279" i="6"/>
  <c r="M2278" i="6"/>
  <c r="M2277" i="6"/>
  <c r="M2276" i="6"/>
  <c r="M2275" i="6"/>
  <c r="M2274" i="6"/>
  <c r="M2273" i="6"/>
  <c r="M2272" i="6"/>
  <c r="M2271" i="6"/>
  <c r="M2270" i="6"/>
  <c r="M2269" i="6"/>
  <c r="M2268" i="6"/>
  <c r="M2267" i="6"/>
  <c r="M2266" i="6"/>
  <c r="M2265" i="6"/>
  <c r="M2264" i="6"/>
  <c r="M2263" i="6"/>
  <c r="M2262" i="6"/>
  <c r="M2261" i="6"/>
  <c r="M2260" i="6"/>
  <c r="M2259" i="6"/>
  <c r="M2258" i="6"/>
  <c r="M2257" i="6"/>
  <c r="M2256" i="6"/>
  <c r="M2255" i="6"/>
  <c r="M2254" i="6"/>
  <c r="M2253" i="6"/>
  <c r="M2252" i="6"/>
  <c r="M2251" i="6"/>
  <c r="M2250" i="6"/>
  <c r="M2249" i="6"/>
  <c r="M2248" i="6"/>
  <c r="M2247" i="6"/>
  <c r="M2246" i="6"/>
  <c r="M2245" i="6"/>
  <c r="M2244" i="6"/>
  <c r="M2243" i="6"/>
  <c r="M2242" i="6"/>
  <c r="M2241" i="6"/>
  <c r="M2240" i="6"/>
  <c r="M2239" i="6"/>
  <c r="M2238" i="6"/>
  <c r="M2237" i="6"/>
  <c r="M2236" i="6"/>
  <c r="M2235" i="6"/>
  <c r="M2234" i="6"/>
  <c r="M2233" i="6"/>
  <c r="M2232" i="6"/>
  <c r="M2231" i="6"/>
  <c r="M2230" i="6"/>
  <c r="M2229" i="6"/>
  <c r="M2228" i="6"/>
  <c r="M2227" i="6"/>
  <c r="M2226" i="6"/>
  <c r="M2225" i="6"/>
  <c r="M2224" i="6"/>
  <c r="M2223" i="6"/>
  <c r="M2222" i="6"/>
  <c r="M2221" i="6"/>
  <c r="M2220" i="6"/>
  <c r="M2219" i="6"/>
  <c r="M2218" i="6"/>
  <c r="M2217" i="6"/>
  <c r="M2216" i="6"/>
  <c r="M2215" i="6"/>
  <c r="M2214" i="6"/>
  <c r="M2213" i="6"/>
  <c r="M2212" i="6"/>
  <c r="M2211" i="6"/>
  <c r="M2210" i="6"/>
  <c r="M2209" i="6"/>
  <c r="M2208" i="6"/>
  <c r="M2207" i="6"/>
  <c r="M2206" i="6"/>
  <c r="M2205" i="6"/>
  <c r="M2204" i="6"/>
  <c r="M2203" i="6"/>
  <c r="M2202" i="6"/>
  <c r="M2201" i="6"/>
  <c r="M2200" i="6"/>
  <c r="M2199" i="6"/>
  <c r="M2198" i="6"/>
  <c r="M2197" i="6"/>
  <c r="M2196" i="6"/>
  <c r="M2195" i="6"/>
  <c r="M2194" i="6"/>
  <c r="M2193" i="6"/>
  <c r="M2192" i="6"/>
  <c r="M2191" i="6"/>
  <c r="M2190" i="6"/>
  <c r="M2189" i="6"/>
  <c r="M2188" i="6"/>
  <c r="M2187" i="6"/>
  <c r="M2186" i="6"/>
  <c r="M2185" i="6"/>
  <c r="M2184" i="6"/>
  <c r="M2183" i="6"/>
  <c r="M2182" i="6"/>
  <c r="M2181" i="6"/>
  <c r="M2180" i="6"/>
  <c r="M2179" i="6"/>
  <c r="M2178" i="6"/>
  <c r="M2177" i="6"/>
  <c r="M2176" i="6"/>
  <c r="M2175" i="6"/>
  <c r="M2174" i="6"/>
  <c r="M2173" i="6"/>
  <c r="M2172" i="6"/>
  <c r="M2171" i="6"/>
  <c r="M2170" i="6"/>
  <c r="M2169" i="6"/>
  <c r="M2168" i="6"/>
  <c r="M2167" i="6"/>
  <c r="M2166" i="6"/>
  <c r="M2165" i="6"/>
  <c r="M2164" i="6"/>
  <c r="M2163" i="6"/>
  <c r="M2162" i="6"/>
  <c r="M2161" i="6"/>
  <c r="M2160" i="6"/>
  <c r="M2159" i="6"/>
  <c r="M2158" i="6"/>
  <c r="M2157" i="6"/>
  <c r="M2156" i="6"/>
  <c r="M2155" i="6"/>
  <c r="M2154" i="6"/>
  <c r="M2153" i="6"/>
  <c r="M2152" i="6"/>
  <c r="M2151" i="6"/>
  <c r="M2150" i="6"/>
  <c r="M2149" i="6"/>
  <c r="M2148" i="6"/>
  <c r="M2147" i="6"/>
  <c r="M2146" i="6"/>
  <c r="M2145" i="6"/>
  <c r="M2144" i="6"/>
  <c r="M2143" i="6"/>
  <c r="M2142" i="6"/>
  <c r="M2141" i="6"/>
  <c r="M2140" i="6"/>
  <c r="M2139" i="6"/>
  <c r="M2138" i="6"/>
  <c r="M2137" i="6"/>
  <c r="M2136" i="6"/>
  <c r="M2135" i="6"/>
  <c r="M2134" i="6"/>
  <c r="M2133" i="6"/>
  <c r="M2132" i="6"/>
  <c r="M2131" i="6"/>
  <c r="M2130" i="6"/>
  <c r="M2129" i="6"/>
  <c r="M2128" i="6"/>
  <c r="M2127" i="6"/>
  <c r="M2126" i="6"/>
  <c r="M2125" i="6"/>
  <c r="M2124" i="6"/>
  <c r="M2123" i="6"/>
  <c r="M2122" i="6"/>
  <c r="M2121" i="6"/>
  <c r="M2120" i="6"/>
  <c r="M2119" i="6"/>
  <c r="M2118" i="6"/>
  <c r="M2117" i="6"/>
  <c r="M2116" i="6"/>
  <c r="M2115" i="6"/>
  <c r="M2114" i="6"/>
  <c r="M2113" i="6"/>
  <c r="M2112" i="6"/>
  <c r="M2111" i="6"/>
  <c r="M2110" i="6"/>
  <c r="M2109" i="6"/>
  <c r="M2108" i="6"/>
  <c r="M2107" i="6"/>
  <c r="M2106" i="6"/>
  <c r="M2105" i="6"/>
  <c r="M2104" i="6"/>
  <c r="M2103" i="6"/>
  <c r="M2102" i="6"/>
  <c r="M2101" i="6"/>
  <c r="M2100" i="6"/>
  <c r="M2099" i="6"/>
  <c r="M2098" i="6"/>
  <c r="M2097" i="6"/>
  <c r="M2096" i="6"/>
  <c r="M2095" i="6"/>
  <c r="M2094" i="6"/>
  <c r="M2093" i="6"/>
  <c r="M2092" i="6"/>
  <c r="M2091" i="6"/>
  <c r="M2090" i="6"/>
  <c r="M2089" i="6"/>
  <c r="M2088" i="6"/>
  <c r="M2087" i="6"/>
  <c r="M2086" i="6"/>
  <c r="M2085" i="6"/>
  <c r="M2084" i="6"/>
  <c r="M2083" i="6"/>
  <c r="M2082" i="6"/>
  <c r="M2081" i="6"/>
  <c r="M2080" i="6"/>
  <c r="M2079" i="6"/>
  <c r="M2078" i="6"/>
  <c r="M2077" i="6"/>
  <c r="M2076" i="6"/>
  <c r="M2075" i="6"/>
  <c r="M2074" i="6"/>
  <c r="M2073" i="6"/>
  <c r="M2072" i="6"/>
  <c r="M2071" i="6"/>
  <c r="M2070" i="6"/>
  <c r="M2069" i="6"/>
  <c r="M2068" i="6"/>
  <c r="M2067" i="6"/>
  <c r="M2066" i="6"/>
  <c r="M2065" i="6"/>
  <c r="M2064" i="6"/>
  <c r="M2063" i="6"/>
  <c r="M2062" i="6"/>
  <c r="M2061" i="6"/>
  <c r="M2060" i="6"/>
  <c r="M2059" i="6"/>
  <c r="M2058" i="6"/>
  <c r="M2057" i="6"/>
  <c r="M2056" i="6"/>
  <c r="M2055" i="6"/>
  <c r="M2054" i="6"/>
  <c r="M2053" i="6"/>
  <c r="M2052" i="6"/>
  <c r="M2051" i="6"/>
  <c r="M2050" i="6"/>
  <c r="M2049" i="6"/>
  <c r="M2048" i="6"/>
  <c r="M2047" i="6"/>
  <c r="M2046" i="6"/>
  <c r="M2045" i="6"/>
  <c r="M2044" i="6"/>
  <c r="M2043" i="6"/>
  <c r="M2042" i="6"/>
  <c r="M2041" i="6"/>
  <c r="M2040" i="6"/>
  <c r="M2039" i="6"/>
  <c r="M2038" i="6"/>
  <c r="M2037" i="6"/>
  <c r="M2036" i="6"/>
  <c r="M2035" i="6"/>
  <c r="M2034" i="6"/>
  <c r="M2033" i="6"/>
  <c r="M2032" i="6"/>
  <c r="M2031" i="6"/>
  <c r="M2030" i="6"/>
  <c r="M2029" i="6"/>
  <c r="M2028" i="6"/>
  <c r="M2027" i="6"/>
  <c r="M2026" i="6"/>
  <c r="M2025" i="6"/>
  <c r="M2024" i="6"/>
  <c r="M2023" i="6"/>
  <c r="M2022" i="6"/>
  <c r="M2021" i="6"/>
  <c r="M2020" i="6"/>
  <c r="M2019" i="6"/>
  <c r="M2018" i="6"/>
  <c r="M2017" i="6"/>
  <c r="M2016" i="6"/>
  <c r="M2015" i="6"/>
  <c r="M2014" i="6"/>
  <c r="M2013" i="6"/>
  <c r="M2012" i="6"/>
  <c r="M2011" i="6"/>
  <c r="M2010" i="6"/>
  <c r="M2009" i="6"/>
  <c r="M2008" i="6"/>
  <c r="M2007" i="6"/>
  <c r="M2006" i="6"/>
  <c r="M2005" i="6"/>
  <c r="M2004" i="6"/>
  <c r="M2003" i="6"/>
  <c r="M2002" i="6"/>
  <c r="M2001" i="6"/>
  <c r="M2000" i="6"/>
  <c r="M1999" i="6"/>
  <c r="M1998" i="6"/>
  <c r="M1997" i="6"/>
  <c r="M1996" i="6"/>
  <c r="M1995" i="6"/>
  <c r="M1994" i="6"/>
  <c r="M1993" i="6"/>
  <c r="M1992" i="6"/>
  <c r="M1991" i="6"/>
  <c r="M1990" i="6"/>
  <c r="M1989" i="6"/>
  <c r="M1988" i="6"/>
  <c r="M1987" i="6"/>
  <c r="M1986" i="6"/>
  <c r="M1985" i="6"/>
  <c r="M1984" i="6"/>
  <c r="M1983" i="6"/>
  <c r="M1982" i="6"/>
  <c r="M1981" i="6"/>
  <c r="M1980" i="6"/>
  <c r="M1979" i="6"/>
  <c r="M1978" i="6"/>
  <c r="M1977" i="6"/>
  <c r="M1976" i="6"/>
  <c r="M1975" i="6"/>
  <c r="M1974" i="6"/>
  <c r="M1973" i="6"/>
  <c r="M1972" i="6"/>
  <c r="M1971" i="6"/>
  <c r="M1970" i="6"/>
  <c r="M1969" i="6"/>
  <c r="M1968" i="6"/>
  <c r="M1967" i="6"/>
  <c r="M1966" i="6"/>
  <c r="M1965" i="6"/>
  <c r="M1964" i="6"/>
  <c r="M1963" i="6"/>
  <c r="M1962" i="6"/>
  <c r="M1961" i="6"/>
  <c r="M1960" i="6"/>
  <c r="M1959" i="6"/>
  <c r="M1958" i="6"/>
  <c r="M1957" i="6"/>
  <c r="M1956" i="6"/>
  <c r="M1955" i="6"/>
  <c r="M1954" i="6"/>
  <c r="M1953" i="6"/>
  <c r="M1952" i="6"/>
  <c r="M1951" i="6"/>
  <c r="M1950" i="6"/>
  <c r="M1949" i="6"/>
  <c r="M1948" i="6"/>
  <c r="M1947" i="6"/>
  <c r="M1946" i="6"/>
  <c r="M1945" i="6"/>
  <c r="M1944" i="6"/>
  <c r="M1943" i="6"/>
  <c r="M1942" i="6"/>
  <c r="M1941" i="6"/>
  <c r="M1940" i="6"/>
  <c r="M1939" i="6"/>
  <c r="M1938" i="6"/>
  <c r="M1937" i="6"/>
  <c r="M1936" i="6"/>
  <c r="M1935" i="6"/>
  <c r="M1934" i="6"/>
  <c r="M1933" i="6"/>
  <c r="M1932" i="6"/>
  <c r="M1931" i="6"/>
  <c r="M1930" i="6"/>
  <c r="M1929" i="6"/>
  <c r="M1928" i="6"/>
  <c r="M1927" i="6"/>
  <c r="M1926" i="6"/>
  <c r="M1925" i="6"/>
  <c r="M1924" i="6"/>
  <c r="M1923" i="6"/>
  <c r="M1922" i="6"/>
  <c r="M1921" i="6"/>
  <c r="M1920" i="6"/>
  <c r="M1919" i="6"/>
  <c r="M1918" i="6"/>
  <c r="M1917" i="6"/>
  <c r="M1916" i="6"/>
  <c r="M1915" i="6"/>
  <c r="M1914" i="6"/>
  <c r="M1913" i="6"/>
  <c r="M1912" i="6"/>
  <c r="M1911" i="6"/>
  <c r="M1910" i="6"/>
  <c r="M1909" i="6"/>
  <c r="M1908" i="6"/>
  <c r="M1907" i="6"/>
  <c r="M1906" i="6"/>
  <c r="M1905" i="6"/>
  <c r="M1904" i="6"/>
  <c r="M1903" i="6"/>
  <c r="M1902" i="6"/>
  <c r="M1901" i="6"/>
  <c r="M1900" i="6"/>
  <c r="M1899" i="6"/>
  <c r="M1898" i="6"/>
  <c r="M1897" i="6"/>
  <c r="M1896" i="6"/>
  <c r="M1895" i="6"/>
  <c r="M1894" i="6"/>
  <c r="M1893" i="6"/>
  <c r="M1892" i="6"/>
  <c r="M1891" i="6"/>
  <c r="M1890" i="6"/>
  <c r="M1889" i="6"/>
  <c r="M1888" i="6"/>
  <c r="M1887" i="6"/>
  <c r="M1886" i="6"/>
  <c r="M1885" i="6"/>
  <c r="M1884" i="6"/>
  <c r="M1883" i="6"/>
  <c r="M1882" i="6"/>
  <c r="M1881" i="6"/>
  <c r="M1880" i="6"/>
  <c r="M1879" i="6"/>
  <c r="M1878" i="6"/>
  <c r="M1877" i="6"/>
  <c r="M1876" i="6"/>
  <c r="M1875" i="6"/>
  <c r="M1874" i="6"/>
  <c r="M1873" i="6"/>
  <c r="M1872" i="6"/>
  <c r="M1871" i="6"/>
  <c r="M1870" i="6"/>
  <c r="M1869" i="6"/>
  <c r="M1868" i="6"/>
  <c r="M1867" i="6"/>
  <c r="M1866" i="6"/>
  <c r="M1865" i="6"/>
  <c r="M1864" i="6"/>
  <c r="M1863" i="6"/>
  <c r="M1862" i="6"/>
  <c r="M1861" i="6"/>
  <c r="M1860" i="6"/>
  <c r="M1859" i="6"/>
  <c r="M1858" i="6"/>
  <c r="M1857" i="6"/>
  <c r="M1856" i="6"/>
  <c r="M1855" i="6"/>
  <c r="M1854" i="6"/>
  <c r="M1853" i="6"/>
  <c r="M1852" i="6"/>
  <c r="M1851" i="6"/>
  <c r="M1850" i="6"/>
  <c r="M1849" i="6"/>
  <c r="M1848" i="6"/>
  <c r="M1847" i="6"/>
  <c r="M1846" i="6"/>
  <c r="M1845" i="6"/>
  <c r="M1844" i="6"/>
  <c r="M1843" i="6"/>
  <c r="M1842" i="6"/>
  <c r="M1841" i="6"/>
  <c r="M1840" i="6"/>
  <c r="M1839" i="6"/>
  <c r="M1838" i="6"/>
  <c r="M1837" i="6"/>
  <c r="M1836" i="6"/>
  <c r="M1835" i="6"/>
  <c r="M1834" i="6"/>
  <c r="M1833" i="6"/>
  <c r="M1832" i="6"/>
  <c r="M1831" i="6"/>
  <c r="M1830" i="6"/>
  <c r="M1829" i="6"/>
  <c r="M1828" i="6"/>
  <c r="M1827" i="6"/>
  <c r="M1826" i="6"/>
  <c r="M1825" i="6"/>
  <c r="M1824" i="6"/>
  <c r="M1823" i="6"/>
  <c r="M1822" i="6"/>
  <c r="M1821" i="6"/>
  <c r="M1820" i="6"/>
  <c r="M1819" i="6"/>
  <c r="M1818" i="6"/>
  <c r="M1817" i="6"/>
  <c r="M1816" i="6"/>
  <c r="M1815" i="6"/>
  <c r="M1814" i="6"/>
  <c r="M1813" i="6"/>
  <c r="M1812" i="6"/>
  <c r="M1811" i="6"/>
  <c r="M1810" i="6"/>
  <c r="M1809" i="6"/>
  <c r="M1808" i="6"/>
  <c r="M1807" i="6"/>
  <c r="M1806" i="6"/>
  <c r="M1805" i="6"/>
  <c r="M1804" i="6"/>
  <c r="M1803" i="6"/>
  <c r="M1802" i="6"/>
  <c r="M1801" i="6"/>
  <c r="M1800" i="6"/>
  <c r="M1799" i="6"/>
  <c r="M1798" i="6"/>
  <c r="M1797" i="6"/>
  <c r="M1796" i="6"/>
  <c r="M1795" i="6"/>
  <c r="M1794" i="6"/>
  <c r="M1793" i="6"/>
  <c r="M1792" i="6"/>
  <c r="M1791" i="6"/>
  <c r="M1790" i="6"/>
  <c r="M1789" i="6"/>
  <c r="M1788" i="6"/>
  <c r="M1787" i="6"/>
  <c r="M1786" i="6"/>
  <c r="M1785" i="6"/>
  <c r="M1784" i="6"/>
  <c r="M1783" i="6"/>
  <c r="M1782" i="6"/>
  <c r="M1781" i="6"/>
  <c r="M1780" i="6"/>
  <c r="M1779" i="6"/>
  <c r="M1778" i="6"/>
  <c r="M1777" i="6"/>
  <c r="M1776" i="6"/>
  <c r="M1775" i="6"/>
  <c r="M1774" i="6"/>
  <c r="M1773" i="6"/>
  <c r="M1772" i="6"/>
  <c r="M1771" i="6"/>
  <c r="M1770" i="6"/>
  <c r="M1769" i="6"/>
  <c r="M1768" i="6"/>
  <c r="M1767" i="6"/>
  <c r="M1766" i="6"/>
  <c r="M1765" i="6"/>
  <c r="M1764" i="6"/>
  <c r="M1763" i="6"/>
  <c r="M1762" i="6"/>
  <c r="M1761" i="6"/>
  <c r="M1760" i="6"/>
  <c r="M1759" i="6"/>
  <c r="M1758" i="6"/>
  <c r="M1757" i="6"/>
  <c r="M1756" i="6"/>
  <c r="M1755" i="6"/>
  <c r="M1754" i="6"/>
  <c r="M1753" i="6"/>
  <c r="M1752" i="6"/>
  <c r="M1751" i="6"/>
  <c r="M1750" i="6"/>
  <c r="M1749" i="6"/>
  <c r="M1748" i="6"/>
  <c r="M1747" i="6"/>
  <c r="M1746" i="6"/>
  <c r="M1745" i="6"/>
  <c r="M1744" i="6"/>
  <c r="M1743" i="6"/>
  <c r="M1742" i="6"/>
  <c r="M1741" i="6"/>
  <c r="M1740" i="6"/>
  <c r="M1739" i="6"/>
  <c r="M1738" i="6"/>
  <c r="M1737" i="6"/>
  <c r="M1736" i="6"/>
  <c r="M1735" i="6"/>
  <c r="M1734" i="6"/>
  <c r="M1733" i="6"/>
  <c r="M1732" i="6"/>
  <c r="M1731" i="6"/>
  <c r="M1730" i="6"/>
  <c r="M1729" i="6"/>
  <c r="M1728" i="6"/>
  <c r="M1727" i="6"/>
  <c r="M1726" i="6"/>
  <c r="M1725" i="6"/>
  <c r="M1724" i="6"/>
  <c r="M1723" i="6"/>
  <c r="M1722" i="6"/>
  <c r="M1721" i="6"/>
  <c r="M1720" i="6"/>
  <c r="M1719" i="6"/>
  <c r="M1718" i="6"/>
  <c r="M1717" i="6"/>
  <c r="M1716" i="6"/>
  <c r="M1715" i="6"/>
  <c r="M1714" i="6"/>
  <c r="M1713" i="6"/>
  <c r="M1712" i="6"/>
  <c r="M1711" i="6"/>
  <c r="M1710" i="6"/>
  <c r="M1709" i="6"/>
  <c r="M1708" i="6"/>
  <c r="M1707" i="6"/>
  <c r="M1706" i="6"/>
  <c r="M1705" i="6"/>
  <c r="M1704" i="6"/>
  <c r="M1703" i="6"/>
  <c r="M1702" i="6"/>
  <c r="M1701" i="6"/>
  <c r="M1700" i="6"/>
  <c r="M1699" i="6"/>
  <c r="M1698" i="6"/>
  <c r="M1697" i="6"/>
  <c r="M1696" i="6"/>
  <c r="M1695" i="6"/>
  <c r="M1694" i="6"/>
  <c r="M1693" i="6"/>
  <c r="M1692" i="6"/>
  <c r="M1691" i="6"/>
  <c r="M1690" i="6"/>
  <c r="M1689" i="6"/>
  <c r="M1688" i="6"/>
  <c r="M1687" i="6"/>
  <c r="M1686" i="6"/>
  <c r="M1685" i="6"/>
  <c r="M1684" i="6"/>
  <c r="M1683" i="6"/>
  <c r="M1682" i="6"/>
  <c r="M1681" i="6"/>
  <c r="M1680" i="6"/>
  <c r="M1679" i="6"/>
  <c r="M1678" i="6"/>
  <c r="M1677" i="6"/>
  <c r="M1676" i="6"/>
  <c r="M1675" i="6"/>
  <c r="M1674" i="6"/>
  <c r="M1673" i="6"/>
  <c r="M1672" i="6"/>
  <c r="M1671" i="6"/>
  <c r="M1670" i="6"/>
  <c r="M1669" i="6"/>
  <c r="M1668" i="6"/>
  <c r="M1667" i="6"/>
  <c r="M1666" i="6"/>
  <c r="M1665" i="6"/>
  <c r="M1664" i="6"/>
  <c r="M1663" i="6"/>
  <c r="M1662" i="6"/>
  <c r="M1661" i="6"/>
  <c r="M1660" i="6"/>
  <c r="M1659" i="6"/>
  <c r="M1658" i="6"/>
  <c r="M1657" i="6"/>
  <c r="M1656" i="6"/>
  <c r="M1655" i="6"/>
  <c r="M1654" i="6"/>
  <c r="M1653" i="6"/>
  <c r="M1652" i="6"/>
  <c r="M1651" i="6"/>
  <c r="M1650" i="6"/>
  <c r="M1649" i="6"/>
  <c r="M1648" i="6"/>
  <c r="M1647" i="6"/>
  <c r="M1646" i="6"/>
  <c r="M1645" i="6"/>
  <c r="M1644" i="6"/>
  <c r="M1643" i="6"/>
  <c r="M1642" i="6"/>
  <c r="M1641" i="6"/>
  <c r="M1640" i="6"/>
  <c r="M1639" i="6"/>
  <c r="M1638" i="6"/>
  <c r="M1637" i="6"/>
  <c r="M1636" i="6"/>
  <c r="M1635" i="6"/>
  <c r="M1634" i="6"/>
  <c r="M1633" i="6"/>
  <c r="M1632" i="6"/>
  <c r="M1631" i="6"/>
  <c r="M1630" i="6"/>
  <c r="M1629" i="6"/>
  <c r="M1628" i="6"/>
  <c r="M1627" i="6"/>
  <c r="M1626" i="6"/>
  <c r="M1625" i="6"/>
  <c r="M1624" i="6"/>
  <c r="M1623" i="6"/>
  <c r="M1622" i="6"/>
  <c r="M1621" i="6"/>
  <c r="M1620" i="6"/>
  <c r="M1619" i="6"/>
  <c r="M1618" i="6"/>
  <c r="M1617" i="6"/>
  <c r="M1616" i="6"/>
  <c r="M1615" i="6"/>
  <c r="M1614" i="6"/>
  <c r="M1613" i="6"/>
  <c r="M1612" i="6"/>
  <c r="M1611" i="6"/>
  <c r="M1610" i="6"/>
  <c r="M1609" i="6"/>
  <c r="M1608" i="6"/>
  <c r="M1607" i="6"/>
  <c r="M1606" i="6"/>
  <c r="M1605" i="6"/>
  <c r="M1604" i="6"/>
  <c r="M1603" i="6"/>
  <c r="M1602" i="6"/>
  <c r="M1601" i="6"/>
  <c r="M1600" i="6"/>
  <c r="M1599" i="6"/>
  <c r="M1598" i="6"/>
  <c r="M1597" i="6"/>
  <c r="M1596" i="6"/>
  <c r="M1595" i="6"/>
  <c r="M1594" i="6"/>
  <c r="M1593" i="6"/>
  <c r="M1592" i="6"/>
  <c r="M1591" i="6"/>
  <c r="M1590" i="6"/>
  <c r="M1589" i="6"/>
  <c r="M1588" i="6"/>
  <c r="M1587" i="6"/>
  <c r="M1586" i="6"/>
  <c r="M1585" i="6"/>
  <c r="M1584" i="6"/>
  <c r="M1583" i="6"/>
  <c r="M1582" i="6"/>
  <c r="M1581" i="6"/>
  <c r="M1580" i="6"/>
  <c r="M1579" i="6"/>
  <c r="M1578" i="6"/>
  <c r="M1577" i="6"/>
  <c r="M1576" i="6"/>
  <c r="M1575" i="6"/>
  <c r="M1574" i="6"/>
  <c r="M1573" i="6"/>
  <c r="M1572" i="6"/>
  <c r="M1571" i="6"/>
  <c r="M1570" i="6"/>
  <c r="M1569" i="6"/>
  <c r="M1568" i="6"/>
  <c r="M1567" i="6"/>
  <c r="M1566" i="6"/>
  <c r="M1565" i="6"/>
  <c r="M1564" i="6"/>
  <c r="M1563" i="6"/>
  <c r="M1562" i="6"/>
  <c r="M1561" i="6"/>
  <c r="M1560" i="6"/>
  <c r="M1559" i="6"/>
  <c r="M1558" i="6"/>
  <c r="M1557" i="6"/>
  <c r="M1556" i="6"/>
  <c r="M1555" i="6"/>
  <c r="M1554" i="6"/>
  <c r="M1553" i="6"/>
  <c r="M1552" i="6"/>
  <c r="M1551" i="6"/>
  <c r="M1550" i="6"/>
  <c r="M1549" i="6"/>
  <c r="M1548" i="6"/>
  <c r="M1547" i="6"/>
  <c r="M1546" i="6"/>
  <c r="M1545" i="6"/>
  <c r="M1544" i="6"/>
  <c r="M1543" i="6"/>
  <c r="M1542" i="6"/>
  <c r="M1541" i="6"/>
  <c r="M1540" i="6"/>
  <c r="M1539" i="6"/>
  <c r="M1538" i="6"/>
  <c r="M1537" i="6"/>
  <c r="M1536" i="6"/>
  <c r="M1535" i="6"/>
  <c r="M1534" i="6"/>
  <c r="M1533" i="6"/>
  <c r="M1532" i="6"/>
  <c r="M1531" i="6"/>
  <c r="M1530" i="6"/>
  <c r="M1529" i="6"/>
  <c r="M1528" i="6"/>
  <c r="M1527" i="6"/>
  <c r="M1526" i="6"/>
  <c r="M1525" i="6"/>
  <c r="M1524" i="6"/>
  <c r="M1523" i="6"/>
  <c r="M1522" i="6"/>
  <c r="M1521" i="6"/>
  <c r="M1520" i="6"/>
  <c r="M1519" i="6"/>
  <c r="M1518" i="6"/>
  <c r="M1517" i="6"/>
  <c r="M1516" i="6"/>
  <c r="M1515" i="6"/>
  <c r="M1514" i="6"/>
  <c r="M1513" i="6"/>
  <c r="M1512" i="6"/>
  <c r="M1511" i="6"/>
  <c r="M1510" i="6"/>
  <c r="M1509" i="6"/>
  <c r="M1508" i="6"/>
  <c r="M1507" i="6"/>
  <c r="M1506" i="6"/>
  <c r="M1505" i="6"/>
  <c r="M1504" i="6"/>
  <c r="M1503" i="6"/>
  <c r="M1502" i="6"/>
  <c r="M1501" i="6"/>
  <c r="M1500" i="6"/>
  <c r="M1499" i="6"/>
  <c r="M1498" i="6"/>
  <c r="M1497" i="6"/>
  <c r="M1496" i="6"/>
  <c r="M1495" i="6"/>
  <c r="M1494" i="6"/>
  <c r="M1493" i="6"/>
  <c r="M1492" i="6"/>
  <c r="M1491" i="6"/>
  <c r="M1490" i="6"/>
  <c r="M1489" i="6"/>
  <c r="M1488" i="6"/>
  <c r="M1487" i="6"/>
  <c r="M1486" i="6"/>
  <c r="M1485" i="6"/>
  <c r="M1484" i="6"/>
  <c r="M1483" i="6"/>
  <c r="M1482" i="6"/>
  <c r="M1481" i="6"/>
  <c r="M1480" i="6"/>
  <c r="M1479" i="6"/>
  <c r="M1478" i="6"/>
  <c r="M1477" i="6"/>
  <c r="M1476" i="6"/>
  <c r="M1475" i="6"/>
  <c r="M1474" i="6"/>
  <c r="M1473" i="6"/>
  <c r="M1472" i="6"/>
  <c r="M1471" i="6"/>
  <c r="M1470" i="6"/>
  <c r="M1469" i="6"/>
  <c r="M1468" i="6"/>
  <c r="M1467" i="6"/>
  <c r="M1466" i="6"/>
  <c r="M1465" i="6"/>
  <c r="M1464" i="6"/>
  <c r="M1463" i="6"/>
  <c r="M1462" i="6"/>
  <c r="M1461" i="6"/>
  <c r="M1460" i="6"/>
  <c r="M1459" i="6"/>
  <c r="M1458" i="6"/>
  <c r="M1457" i="6"/>
  <c r="M1456" i="6"/>
  <c r="M1455" i="6"/>
  <c r="M1454" i="6"/>
  <c r="M1453" i="6"/>
  <c r="M1452" i="6"/>
  <c r="M1451" i="6"/>
  <c r="M1450" i="6"/>
  <c r="M1449" i="6"/>
  <c r="M1448" i="6"/>
  <c r="M1447" i="6"/>
  <c r="M1446" i="6"/>
  <c r="M1445" i="6"/>
  <c r="M1444" i="6"/>
  <c r="M1443" i="6"/>
  <c r="M1442" i="6"/>
  <c r="M1441" i="6"/>
  <c r="M1440" i="6"/>
  <c r="M1439" i="6"/>
  <c r="M1438" i="6"/>
  <c r="M1437" i="6"/>
  <c r="M1436" i="6"/>
  <c r="M1435" i="6"/>
  <c r="M1434" i="6"/>
  <c r="M1433" i="6"/>
  <c r="M1432" i="6"/>
  <c r="M1431" i="6"/>
  <c r="M1430" i="6"/>
  <c r="M1429" i="6"/>
  <c r="M1428" i="6"/>
  <c r="M1427" i="6"/>
  <c r="M1426" i="6"/>
  <c r="M1425" i="6"/>
  <c r="M1424" i="6"/>
  <c r="M1423" i="6"/>
  <c r="M1422" i="6"/>
  <c r="M1421" i="6"/>
  <c r="M1420" i="6"/>
  <c r="M1419" i="6"/>
  <c r="M1418" i="6"/>
  <c r="M1417" i="6"/>
  <c r="M1416" i="6"/>
  <c r="M1415" i="6"/>
  <c r="M1414" i="6"/>
  <c r="M1413" i="6"/>
  <c r="M1412" i="6"/>
  <c r="M1411" i="6"/>
  <c r="M1410" i="6"/>
  <c r="M1409" i="6"/>
  <c r="M1408" i="6"/>
  <c r="M1407" i="6"/>
  <c r="M1406" i="6"/>
  <c r="M1405" i="6"/>
  <c r="M1404" i="6"/>
  <c r="M1403" i="6"/>
  <c r="M1402" i="6"/>
  <c r="M1401" i="6"/>
  <c r="M1400" i="6"/>
  <c r="M1399" i="6"/>
  <c r="M1398" i="6"/>
  <c r="M1397" i="6"/>
  <c r="M1396" i="6"/>
  <c r="M1395" i="6"/>
  <c r="M1394" i="6"/>
  <c r="M1393" i="6"/>
  <c r="M1392" i="6"/>
  <c r="M1391" i="6"/>
  <c r="M1390" i="6"/>
  <c r="M1389" i="6"/>
  <c r="M1388" i="6"/>
  <c r="M1387" i="6"/>
  <c r="M1386" i="6"/>
  <c r="M1385" i="6"/>
  <c r="M1384" i="6"/>
  <c r="M1383" i="6"/>
  <c r="M1382" i="6"/>
  <c r="M1381" i="6"/>
  <c r="M1380" i="6"/>
  <c r="M1379" i="6"/>
  <c r="M1378" i="6"/>
  <c r="M1377" i="6"/>
  <c r="M1376" i="6"/>
  <c r="M1375" i="6"/>
  <c r="M1374" i="6"/>
  <c r="M1373" i="6"/>
  <c r="M1372" i="6"/>
  <c r="M1371" i="6"/>
  <c r="M1370" i="6"/>
  <c r="M1369" i="6"/>
  <c r="M1368" i="6"/>
  <c r="M1367" i="6"/>
  <c r="M1366" i="6"/>
  <c r="M1365" i="6"/>
  <c r="M1364" i="6"/>
  <c r="M1363" i="6"/>
  <c r="M1362" i="6"/>
  <c r="M1361" i="6"/>
  <c r="M1360" i="6"/>
  <c r="M1359" i="6"/>
  <c r="M1358" i="6"/>
  <c r="M1357" i="6"/>
  <c r="M1356" i="6"/>
  <c r="M1355" i="6"/>
  <c r="M1354" i="6"/>
  <c r="M1353" i="6"/>
  <c r="M1352" i="6"/>
  <c r="M1351" i="6"/>
  <c r="M1350" i="6"/>
  <c r="M1349" i="6"/>
  <c r="M1348" i="6"/>
  <c r="M1347" i="6"/>
  <c r="M1346" i="6"/>
  <c r="M1345" i="6"/>
  <c r="M1344" i="6"/>
  <c r="M1343" i="6"/>
  <c r="M1342" i="6"/>
  <c r="M1341" i="6"/>
  <c r="M1340" i="6"/>
  <c r="M1339" i="6"/>
  <c r="M1338" i="6"/>
  <c r="M1337" i="6"/>
  <c r="M1336" i="6"/>
  <c r="M1335" i="6"/>
  <c r="M1334" i="6"/>
  <c r="M1333" i="6"/>
  <c r="M1332" i="6"/>
  <c r="M1331" i="6"/>
  <c r="M1330" i="6"/>
  <c r="M1329" i="6"/>
  <c r="M1328" i="6"/>
  <c r="M1327" i="6"/>
  <c r="M1326" i="6"/>
  <c r="M1325" i="6"/>
  <c r="M1324" i="6"/>
  <c r="M1323" i="6"/>
  <c r="M1322" i="6"/>
  <c r="M1321" i="6"/>
  <c r="M1320" i="6"/>
  <c r="M1319" i="6"/>
  <c r="M1318" i="6"/>
  <c r="M1317" i="6"/>
  <c r="M1316" i="6"/>
  <c r="M1315" i="6"/>
  <c r="M1314" i="6"/>
  <c r="M1313" i="6"/>
  <c r="M1312" i="6"/>
  <c r="M1311" i="6"/>
  <c r="M1310" i="6"/>
  <c r="M1309" i="6"/>
  <c r="M1308" i="6"/>
  <c r="M1307" i="6"/>
  <c r="M1306" i="6"/>
  <c r="M1305" i="6"/>
  <c r="M1304" i="6"/>
  <c r="M1303" i="6"/>
  <c r="M1302" i="6"/>
  <c r="M1301" i="6"/>
  <c r="M1300" i="6"/>
  <c r="M1299" i="6"/>
  <c r="M1298" i="6"/>
  <c r="M1297" i="6"/>
  <c r="M1296" i="6"/>
  <c r="M1295" i="6"/>
  <c r="M1294" i="6"/>
  <c r="M1293" i="6"/>
  <c r="M1292" i="6"/>
  <c r="M1291" i="6"/>
  <c r="M1290" i="6"/>
  <c r="M1289" i="6"/>
  <c r="M1288" i="6"/>
  <c r="M1287" i="6"/>
  <c r="M1286" i="6"/>
  <c r="M1285" i="6"/>
  <c r="M1284" i="6"/>
  <c r="M1283" i="6"/>
  <c r="M1282" i="6"/>
  <c r="M1281" i="6"/>
  <c r="M1280" i="6"/>
  <c r="M1279" i="6"/>
  <c r="M1278" i="6"/>
  <c r="M1277" i="6"/>
  <c r="M1276" i="6"/>
  <c r="M1275" i="6"/>
  <c r="M1274" i="6"/>
  <c r="M1273" i="6"/>
  <c r="M1272" i="6"/>
  <c r="M1271" i="6"/>
  <c r="M1270" i="6"/>
  <c r="M1269" i="6"/>
  <c r="M1268" i="6"/>
  <c r="M1267" i="6"/>
  <c r="M1266" i="6"/>
  <c r="M1265" i="6"/>
  <c r="M1264" i="6"/>
  <c r="M1263" i="6"/>
  <c r="M1262" i="6"/>
  <c r="M1261" i="6"/>
  <c r="M1260" i="6"/>
  <c r="M1259" i="6"/>
  <c r="M1258" i="6"/>
  <c r="M1257" i="6"/>
  <c r="M1256" i="6"/>
  <c r="M1255" i="6"/>
  <c r="M1254" i="6"/>
  <c r="M1253" i="6"/>
  <c r="M1252" i="6"/>
  <c r="M1251" i="6"/>
  <c r="M1250" i="6"/>
  <c r="M1249" i="6"/>
  <c r="M1248" i="6"/>
  <c r="M1247" i="6"/>
  <c r="M1246" i="6"/>
  <c r="M1245" i="6"/>
  <c r="M1244" i="6"/>
  <c r="M1243" i="6"/>
  <c r="M1242" i="6"/>
  <c r="M1241" i="6"/>
  <c r="M1240" i="6"/>
  <c r="M1239" i="6"/>
  <c r="M1238" i="6"/>
  <c r="M1237" i="6"/>
  <c r="M1236" i="6"/>
  <c r="M1235" i="6"/>
  <c r="M1234" i="6"/>
  <c r="M1233" i="6"/>
  <c r="M1232" i="6"/>
  <c r="M1231" i="6"/>
  <c r="M1230" i="6"/>
  <c r="M1229" i="6"/>
  <c r="M1228" i="6"/>
  <c r="M1227" i="6"/>
  <c r="M1226" i="6"/>
  <c r="M1225" i="6"/>
  <c r="M1224" i="6"/>
  <c r="M1223" i="6"/>
  <c r="M1222" i="6"/>
  <c r="M1221" i="6"/>
  <c r="M1220" i="6"/>
  <c r="M1219" i="6"/>
  <c r="M1218" i="6"/>
  <c r="M1217" i="6"/>
  <c r="M1216" i="6"/>
  <c r="M1215" i="6"/>
  <c r="M1214" i="6"/>
  <c r="M1213" i="6"/>
  <c r="M1212" i="6"/>
  <c r="M1211" i="6"/>
  <c r="M1210" i="6"/>
  <c r="M1209" i="6"/>
  <c r="M1208" i="6"/>
  <c r="M1207" i="6"/>
  <c r="M1206" i="6"/>
  <c r="M1205" i="6"/>
  <c r="M1204" i="6"/>
  <c r="M1203" i="6"/>
  <c r="M1202" i="6"/>
  <c r="M1201" i="6"/>
  <c r="M1200" i="6"/>
  <c r="M1199" i="6"/>
  <c r="M1198" i="6"/>
  <c r="M1197" i="6"/>
  <c r="M1196" i="6"/>
  <c r="M1195" i="6"/>
  <c r="M1194" i="6"/>
  <c r="M1193" i="6"/>
  <c r="M1192" i="6"/>
  <c r="M1191" i="6"/>
  <c r="M1190" i="6"/>
  <c r="M1189" i="6"/>
  <c r="M1188" i="6"/>
  <c r="M1187" i="6"/>
  <c r="M1186" i="6"/>
  <c r="M1185" i="6"/>
  <c r="M1184" i="6"/>
  <c r="M1183" i="6"/>
  <c r="M1182" i="6"/>
  <c r="M1181" i="6"/>
  <c r="M1180" i="6"/>
  <c r="M1179" i="6"/>
  <c r="M1178" i="6"/>
  <c r="M1177" i="6"/>
  <c r="M1176" i="6"/>
  <c r="M1175" i="6"/>
  <c r="M1174" i="6"/>
  <c r="M1173" i="6"/>
  <c r="M1172" i="6"/>
  <c r="M1171" i="6"/>
  <c r="M1170" i="6"/>
  <c r="M1169" i="6"/>
  <c r="M1168" i="6"/>
  <c r="M1167" i="6"/>
  <c r="M1166" i="6"/>
  <c r="M1165" i="6"/>
  <c r="M1164" i="6"/>
  <c r="M1163" i="6"/>
  <c r="M1162" i="6"/>
  <c r="M1161" i="6"/>
  <c r="M1160" i="6"/>
  <c r="M1159" i="6"/>
  <c r="M1158" i="6"/>
  <c r="M1157" i="6"/>
  <c r="M1156" i="6"/>
  <c r="M1155" i="6"/>
  <c r="M1154" i="6"/>
  <c r="M1153" i="6"/>
  <c r="M1152" i="6"/>
  <c r="M1151" i="6"/>
  <c r="M1150" i="6"/>
  <c r="M1149" i="6"/>
  <c r="M1148" i="6"/>
  <c r="M1147" i="6"/>
  <c r="M1146" i="6"/>
  <c r="M1145" i="6"/>
  <c r="M1144" i="6"/>
  <c r="M1143" i="6"/>
  <c r="M1142" i="6"/>
  <c r="M1141" i="6"/>
  <c r="M1140" i="6"/>
  <c r="M1139" i="6"/>
  <c r="M1138" i="6"/>
  <c r="M1137" i="6"/>
  <c r="M1136" i="6"/>
  <c r="M1135" i="6"/>
  <c r="M1134" i="6"/>
  <c r="M1133" i="6"/>
  <c r="M1132" i="6"/>
  <c r="M1131" i="6"/>
  <c r="M1130" i="6"/>
  <c r="M1129" i="6"/>
  <c r="M1128" i="6"/>
  <c r="M1127" i="6"/>
  <c r="M1126" i="6"/>
  <c r="M1125" i="6"/>
  <c r="M1124" i="6"/>
  <c r="M1123" i="6"/>
  <c r="M1122" i="6"/>
  <c r="M1121" i="6"/>
  <c r="M1120" i="6"/>
  <c r="M1119" i="6"/>
  <c r="M1118" i="6"/>
  <c r="M1117" i="6"/>
  <c r="M1116" i="6"/>
  <c r="M1115" i="6"/>
  <c r="M1114" i="6"/>
  <c r="M1113" i="6"/>
  <c r="M1112" i="6"/>
  <c r="M1111" i="6"/>
  <c r="N1110" i="6"/>
  <c r="L1110" i="6"/>
  <c r="M1110" i="6" s="1"/>
  <c r="K1110" i="6"/>
  <c r="N1109" i="6"/>
  <c r="L1109" i="6"/>
  <c r="M1109" i="6" s="1"/>
  <c r="K1109" i="6"/>
  <c r="N1108" i="6"/>
  <c r="L1108" i="6"/>
  <c r="M1108" i="6" s="1"/>
  <c r="K1108" i="6"/>
  <c r="N1107" i="6"/>
  <c r="L1107" i="6"/>
  <c r="M1107" i="6" s="1"/>
  <c r="K1107" i="6"/>
  <c r="N1106" i="6"/>
  <c r="L1106" i="6"/>
  <c r="M1106" i="6" s="1"/>
  <c r="K1106" i="6"/>
  <c r="N1105" i="6"/>
  <c r="L1105" i="6"/>
  <c r="M1105" i="6" s="1"/>
  <c r="K1105" i="6"/>
  <c r="N1104" i="6"/>
  <c r="L1104" i="6"/>
  <c r="M1104" i="6" s="1"/>
  <c r="K1104" i="6"/>
  <c r="N1103" i="6"/>
  <c r="L1103" i="6"/>
  <c r="M1103" i="6" s="1"/>
  <c r="K1103" i="6"/>
  <c r="N1102" i="6"/>
  <c r="L1102" i="6"/>
  <c r="M1102" i="6" s="1"/>
  <c r="K1102" i="6"/>
  <c r="N1101" i="6"/>
  <c r="L1101" i="6"/>
  <c r="M1101" i="6" s="1"/>
  <c r="K1101" i="6"/>
  <c r="N1100" i="6"/>
  <c r="L1100" i="6"/>
  <c r="M1100" i="6" s="1"/>
  <c r="K1100" i="6"/>
  <c r="N1099" i="6"/>
  <c r="L1099" i="6"/>
  <c r="M1099" i="6" s="1"/>
  <c r="K1099" i="6"/>
  <c r="N1098" i="6"/>
  <c r="L1098" i="6"/>
  <c r="M1098" i="6" s="1"/>
  <c r="K1098" i="6"/>
  <c r="N1097" i="6"/>
  <c r="L1097" i="6"/>
  <c r="M1097" i="6" s="1"/>
  <c r="K1097" i="6"/>
  <c r="N1096" i="6"/>
  <c r="L1096" i="6"/>
  <c r="M1096" i="6" s="1"/>
  <c r="K1096" i="6"/>
  <c r="N1095" i="6"/>
  <c r="L1095" i="6"/>
  <c r="M1095" i="6" s="1"/>
  <c r="K1095" i="6"/>
  <c r="N1094" i="6"/>
  <c r="L1094" i="6"/>
  <c r="M1094" i="6" s="1"/>
  <c r="K1094" i="6"/>
  <c r="N1093" i="6"/>
  <c r="L1093" i="6"/>
  <c r="M1093" i="6" s="1"/>
  <c r="K1093" i="6"/>
  <c r="N1092" i="6"/>
  <c r="L1092" i="6"/>
  <c r="M1092" i="6" s="1"/>
  <c r="K1092" i="6"/>
  <c r="N1091" i="6"/>
  <c r="L1091" i="6"/>
  <c r="M1091" i="6" s="1"/>
  <c r="K1091" i="6"/>
  <c r="N1090" i="6"/>
  <c r="L1090" i="6"/>
  <c r="M1090" i="6" s="1"/>
  <c r="K1090" i="6"/>
  <c r="N1089" i="6"/>
  <c r="L1089" i="6"/>
  <c r="M1089" i="6" s="1"/>
  <c r="K1089" i="6"/>
  <c r="N1088" i="6"/>
  <c r="L1088" i="6"/>
  <c r="M1088" i="6" s="1"/>
  <c r="K1088" i="6"/>
  <c r="N1087" i="6"/>
  <c r="L1087" i="6"/>
  <c r="M1087" i="6" s="1"/>
  <c r="K1087" i="6"/>
  <c r="N1086" i="6"/>
  <c r="L1086" i="6"/>
  <c r="M1086" i="6" s="1"/>
  <c r="K1086" i="6"/>
  <c r="N1085" i="6"/>
  <c r="L1085" i="6"/>
  <c r="M1085" i="6" s="1"/>
  <c r="K1085" i="6"/>
  <c r="N1084" i="6"/>
  <c r="L1084" i="6"/>
  <c r="M1084" i="6" s="1"/>
  <c r="K1084" i="6"/>
  <c r="N1083" i="6"/>
  <c r="L1083" i="6"/>
  <c r="M1083" i="6" s="1"/>
  <c r="K1083" i="6"/>
  <c r="N1082" i="6"/>
  <c r="L1082" i="6"/>
  <c r="M1082" i="6" s="1"/>
  <c r="K1082" i="6"/>
  <c r="N1081" i="6"/>
  <c r="L1081" i="6"/>
  <c r="M1081" i="6" s="1"/>
  <c r="K1081" i="6"/>
  <c r="N1080" i="6"/>
  <c r="L1080" i="6"/>
  <c r="M1080" i="6" s="1"/>
  <c r="K1080" i="6"/>
  <c r="N1079" i="6"/>
  <c r="L1079" i="6"/>
  <c r="M1079" i="6" s="1"/>
  <c r="K1079" i="6"/>
  <c r="N1078" i="6"/>
  <c r="L1078" i="6"/>
  <c r="M1078" i="6" s="1"/>
  <c r="K1078" i="6"/>
  <c r="N1077" i="6"/>
  <c r="L1077" i="6"/>
  <c r="M1077" i="6" s="1"/>
  <c r="K1077" i="6"/>
  <c r="N1076" i="6"/>
  <c r="L1076" i="6"/>
  <c r="M1076" i="6" s="1"/>
  <c r="K1076" i="6"/>
  <c r="N1075" i="6"/>
  <c r="L1075" i="6"/>
  <c r="M1075" i="6" s="1"/>
  <c r="K1075" i="6"/>
  <c r="N1074" i="6"/>
  <c r="L1074" i="6"/>
  <c r="M1074" i="6" s="1"/>
  <c r="K1074" i="6"/>
  <c r="N1073" i="6"/>
  <c r="L1073" i="6"/>
  <c r="M1073" i="6" s="1"/>
  <c r="K1073" i="6"/>
  <c r="N1072" i="6"/>
  <c r="L1072" i="6"/>
  <c r="M1072" i="6" s="1"/>
  <c r="K1072" i="6"/>
  <c r="N1071" i="6"/>
  <c r="L1071" i="6"/>
  <c r="M1071" i="6" s="1"/>
  <c r="K1071" i="6"/>
  <c r="N1070" i="6"/>
  <c r="L1070" i="6"/>
  <c r="M1070" i="6" s="1"/>
  <c r="K1070" i="6"/>
  <c r="N1069" i="6"/>
  <c r="L1069" i="6"/>
  <c r="M1069" i="6" s="1"/>
  <c r="K1069" i="6"/>
  <c r="N1068" i="6"/>
  <c r="L1068" i="6"/>
  <c r="M1068" i="6" s="1"/>
  <c r="K1068" i="6"/>
  <c r="N1067" i="6"/>
  <c r="L1067" i="6"/>
  <c r="M1067" i="6" s="1"/>
  <c r="K1067" i="6"/>
  <c r="N1066" i="6"/>
  <c r="L1066" i="6"/>
  <c r="M1066" i="6" s="1"/>
  <c r="K1066" i="6"/>
  <c r="N1065" i="6"/>
  <c r="L1065" i="6"/>
  <c r="M1065" i="6" s="1"/>
  <c r="K1065" i="6"/>
  <c r="N1064" i="6"/>
  <c r="L1064" i="6"/>
  <c r="M1064" i="6" s="1"/>
  <c r="K1064" i="6"/>
  <c r="N1063" i="6"/>
  <c r="L1063" i="6"/>
  <c r="M1063" i="6" s="1"/>
  <c r="K1063" i="6"/>
  <c r="N1062" i="6"/>
  <c r="L1062" i="6"/>
  <c r="M1062" i="6" s="1"/>
  <c r="K1062" i="6"/>
  <c r="N1061" i="6"/>
  <c r="L1061" i="6"/>
  <c r="M1061" i="6" s="1"/>
  <c r="K1061" i="6"/>
  <c r="N1060" i="6"/>
  <c r="L1060" i="6"/>
  <c r="M1060" i="6" s="1"/>
  <c r="K1060" i="6"/>
  <c r="N1059" i="6"/>
  <c r="L1059" i="6"/>
  <c r="M1059" i="6" s="1"/>
  <c r="K1059" i="6"/>
  <c r="N1058" i="6"/>
  <c r="L1058" i="6"/>
  <c r="M1058" i="6" s="1"/>
  <c r="K1058" i="6"/>
  <c r="N1057" i="6"/>
  <c r="L1057" i="6"/>
  <c r="M1057" i="6" s="1"/>
  <c r="K1057" i="6"/>
  <c r="N1056" i="6"/>
  <c r="L1056" i="6"/>
  <c r="M1056" i="6" s="1"/>
  <c r="K1056" i="6"/>
  <c r="N1055" i="6"/>
  <c r="L1055" i="6"/>
  <c r="M1055" i="6" s="1"/>
  <c r="K1055" i="6"/>
  <c r="N1054" i="6"/>
  <c r="L1054" i="6"/>
  <c r="M1054" i="6" s="1"/>
  <c r="K1054" i="6"/>
  <c r="N1053" i="6"/>
  <c r="L1053" i="6"/>
  <c r="M1053" i="6" s="1"/>
  <c r="K1053" i="6"/>
  <c r="N1052" i="6"/>
  <c r="L1052" i="6"/>
  <c r="M1052" i="6" s="1"/>
  <c r="K1052" i="6"/>
  <c r="N1051" i="6"/>
  <c r="L1051" i="6"/>
  <c r="M1051" i="6" s="1"/>
  <c r="K1051" i="6"/>
  <c r="N1050" i="6"/>
  <c r="L1050" i="6"/>
  <c r="M1050" i="6" s="1"/>
  <c r="K1050" i="6"/>
  <c r="N1049" i="6"/>
  <c r="L1049" i="6"/>
  <c r="M1049" i="6" s="1"/>
  <c r="K1049" i="6"/>
  <c r="N1048" i="6"/>
  <c r="L1048" i="6"/>
  <c r="M1048" i="6" s="1"/>
  <c r="K1048" i="6"/>
  <c r="N1047" i="6"/>
  <c r="L1047" i="6"/>
  <c r="M1047" i="6" s="1"/>
  <c r="K1047" i="6"/>
  <c r="N1046" i="6"/>
  <c r="L1046" i="6"/>
  <c r="M1046" i="6" s="1"/>
  <c r="K1046" i="6"/>
  <c r="N1045" i="6"/>
  <c r="L1045" i="6"/>
  <c r="M1045" i="6" s="1"/>
  <c r="K1045" i="6"/>
  <c r="N1044" i="6"/>
  <c r="L1044" i="6"/>
  <c r="M1044" i="6" s="1"/>
  <c r="K1044" i="6"/>
  <c r="N1043" i="6"/>
  <c r="L1043" i="6"/>
  <c r="M1043" i="6" s="1"/>
  <c r="K1043" i="6"/>
  <c r="N1042" i="6"/>
  <c r="L1042" i="6"/>
  <c r="M1042" i="6" s="1"/>
  <c r="K1042" i="6"/>
  <c r="N1041" i="6"/>
  <c r="L1041" i="6"/>
  <c r="M1041" i="6" s="1"/>
  <c r="K1041" i="6"/>
  <c r="N1040" i="6"/>
  <c r="L1040" i="6"/>
  <c r="M1040" i="6" s="1"/>
  <c r="K1040" i="6"/>
  <c r="N1039" i="6"/>
  <c r="L1039" i="6"/>
  <c r="M1039" i="6" s="1"/>
  <c r="K1039" i="6"/>
  <c r="N1038" i="6"/>
  <c r="L1038" i="6"/>
  <c r="M1038" i="6" s="1"/>
  <c r="K1038" i="6"/>
  <c r="N1037" i="6"/>
  <c r="L1037" i="6"/>
  <c r="M1037" i="6" s="1"/>
  <c r="K1037" i="6"/>
  <c r="N1036" i="6"/>
  <c r="L1036" i="6"/>
  <c r="M1036" i="6" s="1"/>
  <c r="K1036" i="6"/>
  <c r="N1035" i="6"/>
  <c r="L1035" i="6"/>
  <c r="M1035" i="6" s="1"/>
  <c r="K1035" i="6"/>
  <c r="N1034" i="6"/>
  <c r="L1034" i="6"/>
  <c r="M1034" i="6" s="1"/>
  <c r="K1034" i="6"/>
  <c r="N1033" i="6"/>
  <c r="L1033" i="6"/>
  <c r="M1033" i="6" s="1"/>
  <c r="K1033" i="6"/>
  <c r="N1032" i="6"/>
  <c r="L1032" i="6"/>
  <c r="M1032" i="6" s="1"/>
  <c r="K1032" i="6"/>
  <c r="N1031" i="6"/>
  <c r="L1031" i="6"/>
  <c r="M1031" i="6" s="1"/>
  <c r="K1031" i="6"/>
  <c r="N1030" i="6"/>
  <c r="L1030" i="6"/>
  <c r="M1030" i="6" s="1"/>
  <c r="K1030" i="6"/>
  <c r="N1029" i="6"/>
  <c r="L1029" i="6"/>
  <c r="M1029" i="6" s="1"/>
  <c r="K1029" i="6"/>
  <c r="N1028" i="6"/>
  <c r="L1028" i="6"/>
  <c r="M1028" i="6" s="1"/>
  <c r="K1028" i="6"/>
  <c r="N1027" i="6"/>
  <c r="L1027" i="6"/>
  <c r="M1027" i="6" s="1"/>
  <c r="K1027" i="6"/>
  <c r="N1026" i="6"/>
  <c r="L1026" i="6"/>
  <c r="M1026" i="6" s="1"/>
  <c r="K1026" i="6"/>
  <c r="N1025" i="6"/>
  <c r="L1025" i="6"/>
  <c r="M1025" i="6" s="1"/>
  <c r="K1025" i="6"/>
  <c r="N1024" i="6"/>
  <c r="L1024" i="6"/>
  <c r="M1024" i="6" s="1"/>
  <c r="K1024" i="6"/>
  <c r="N1023" i="6"/>
  <c r="L1023" i="6"/>
  <c r="M1023" i="6" s="1"/>
  <c r="K1023" i="6"/>
  <c r="N1022" i="6"/>
  <c r="L1022" i="6"/>
  <c r="M1022" i="6" s="1"/>
  <c r="K1022" i="6"/>
  <c r="N1021" i="6"/>
  <c r="L1021" i="6"/>
  <c r="M1021" i="6" s="1"/>
  <c r="K1021" i="6"/>
  <c r="N1020" i="6"/>
  <c r="L1020" i="6"/>
  <c r="M1020" i="6" s="1"/>
  <c r="K1020" i="6"/>
  <c r="N1019" i="6"/>
  <c r="L1019" i="6"/>
  <c r="M1019" i="6" s="1"/>
  <c r="K1019" i="6"/>
  <c r="N1018" i="6"/>
  <c r="L1018" i="6"/>
  <c r="M1018" i="6" s="1"/>
  <c r="K1018" i="6"/>
  <c r="N1017" i="6"/>
  <c r="L1017" i="6"/>
  <c r="M1017" i="6" s="1"/>
  <c r="K1017" i="6"/>
  <c r="N1016" i="6"/>
  <c r="L1016" i="6"/>
  <c r="M1016" i="6" s="1"/>
  <c r="K1016" i="6"/>
  <c r="N1015" i="6"/>
  <c r="L1015" i="6"/>
  <c r="M1015" i="6" s="1"/>
  <c r="K1015" i="6"/>
  <c r="N1014" i="6"/>
  <c r="L1014" i="6"/>
  <c r="M1014" i="6" s="1"/>
  <c r="K1014" i="6"/>
  <c r="N1013" i="6"/>
  <c r="L1013" i="6"/>
  <c r="M1013" i="6" s="1"/>
  <c r="K1013" i="6"/>
  <c r="N1012" i="6"/>
  <c r="L1012" i="6"/>
  <c r="M1012" i="6" s="1"/>
  <c r="K1012" i="6"/>
  <c r="N1011" i="6"/>
  <c r="L1011" i="6"/>
  <c r="M1011" i="6" s="1"/>
  <c r="K1011" i="6"/>
  <c r="N1010" i="6"/>
  <c r="L1010" i="6"/>
  <c r="M1010" i="6" s="1"/>
  <c r="K1010" i="6"/>
  <c r="N1009" i="6"/>
  <c r="L1009" i="6"/>
  <c r="M1009" i="6" s="1"/>
  <c r="K1009" i="6"/>
  <c r="N1008" i="6"/>
  <c r="L1008" i="6"/>
  <c r="M1008" i="6" s="1"/>
  <c r="K1008" i="6"/>
  <c r="N1007" i="6"/>
  <c r="L1007" i="6"/>
  <c r="M1007" i="6" s="1"/>
  <c r="K1007" i="6"/>
  <c r="N1006" i="6"/>
  <c r="L1006" i="6"/>
  <c r="M1006" i="6" s="1"/>
  <c r="K1006" i="6"/>
  <c r="N1005" i="6"/>
  <c r="L1005" i="6"/>
  <c r="M1005" i="6" s="1"/>
  <c r="K1005" i="6"/>
  <c r="N1004" i="6"/>
  <c r="L1004" i="6"/>
  <c r="M1004" i="6" s="1"/>
  <c r="K1004" i="6"/>
  <c r="N1003" i="6"/>
  <c r="L1003" i="6"/>
  <c r="M1003" i="6" s="1"/>
  <c r="K1003" i="6"/>
  <c r="N1002" i="6"/>
  <c r="L1002" i="6"/>
  <c r="M1002" i="6" s="1"/>
  <c r="K1002" i="6"/>
  <c r="N1001" i="6"/>
  <c r="L1001" i="6"/>
  <c r="M1001" i="6" s="1"/>
  <c r="K1001" i="6"/>
  <c r="N1000" i="6"/>
  <c r="L1000" i="6"/>
  <c r="M1000" i="6" s="1"/>
  <c r="K1000" i="6"/>
  <c r="N999" i="6"/>
  <c r="L999" i="6"/>
  <c r="M999" i="6" s="1"/>
  <c r="K999" i="6"/>
  <c r="N998" i="6"/>
  <c r="L998" i="6"/>
  <c r="M998" i="6" s="1"/>
  <c r="K998" i="6"/>
  <c r="N997" i="6"/>
  <c r="L997" i="6"/>
  <c r="M997" i="6" s="1"/>
  <c r="K997" i="6"/>
  <c r="N996" i="6"/>
  <c r="L996" i="6"/>
  <c r="M996" i="6" s="1"/>
  <c r="K996" i="6"/>
  <c r="N995" i="6"/>
  <c r="L995" i="6"/>
  <c r="M995" i="6" s="1"/>
  <c r="K995" i="6"/>
  <c r="N994" i="6"/>
  <c r="L994" i="6"/>
  <c r="M994" i="6" s="1"/>
  <c r="K994" i="6"/>
  <c r="N993" i="6"/>
  <c r="L993" i="6"/>
  <c r="M993" i="6" s="1"/>
  <c r="K993" i="6"/>
  <c r="N992" i="6"/>
  <c r="L992" i="6"/>
  <c r="M992" i="6" s="1"/>
  <c r="K992" i="6"/>
  <c r="N991" i="6"/>
  <c r="L991" i="6"/>
  <c r="M991" i="6" s="1"/>
  <c r="K991" i="6"/>
  <c r="N990" i="6"/>
  <c r="L990" i="6"/>
  <c r="M990" i="6" s="1"/>
  <c r="K990" i="6"/>
  <c r="N989" i="6"/>
  <c r="L989" i="6"/>
  <c r="M989" i="6" s="1"/>
  <c r="K989" i="6"/>
  <c r="N988" i="6"/>
  <c r="L988" i="6"/>
  <c r="M988" i="6" s="1"/>
  <c r="K988" i="6"/>
  <c r="N987" i="6"/>
  <c r="L987" i="6"/>
  <c r="M987" i="6" s="1"/>
  <c r="K987" i="6"/>
  <c r="N986" i="6"/>
  <c r="L986" i="6"/>
  <c r="M986" i="6" s="1"/>
  <c r="K986" i="6"/>
  <c r="N985" i="6"/>
  <c r="L985" i="6"/>
  <c r="M985" i="6" s="1"/>
  <c r="K985" i="6"/>
  <c r="N984" i="6"/>
  <c r="L984" i="6"/>
  <c r="M984" i="6" s="1"/>
  <c r="K984" i="6"/>
  <c r="N983" i="6"/>
  <c r="L983" i="6"/>
  <c r="M983" i="6" s="1"/>
  <c r="K983" i="6"/>
  <c r="N982" i="6"/>
  <c r="L982" i="6"/>
  <c r="M982" i="6" s="1"/>
  <c r="K982" i="6"/>
  <c r="N981" i="6"/>
  <c r="L981" i="6"/>
  <c r="M981" i="6" s="1"/>
  <c r="K981" i="6"/>
  <c r="N980" i="6"/>
  <c r="L980" i="6"/>
  <c r="M980" i="6" s="1"/>
  <c r="K980" i="6"/>
  <c r="N979" i="6"/>
  <c r="L979" i="6"/>
  <c r="M979" i="6" s="1"/>
  <c r="K979" i="6"/>
  <c r="N978" i="6"/>
  <c r="L978" i="6"/>
  <c r="M978" i="6" s="1"/>
  <c r="K978" i="6"/>
  <c r="N977" i="6"/>
  <c r="L977" i="6"/>
  <c r="M977" i="6" s="1"/>
  <c r="K977" i="6"/>
  <c r="N976" i="6"/>
  <c r="L976" i="6"/>
  <c r="M976" i="6" s="1"/>
  <c r="K976" i="6"/>
  <c r="N975" i="6"/>
  <c r="L975" i="6"/>
  <c r="M975" i="6" s="1"/>
  <c r="K975" i="6"/>
  <c r="N974" i="6"/>
  <c r="L974" i="6"/>
  <c r="M974" i="6" s="1"/>
  <c r="K974" i="6"/>
  <c r="N973" i="6"/>
  <c r="L973" i="6"/>
  <c r="M973" i="6" s="1"/>
  <c r="K973" i="6"/>
  <c r="N972" i="6"/>
  <c r="L972" i="6"/>
  <c r="M972" i="6" s="1"/>
  <c r="K972" i="6"/>
  <c r="N971" i="6"/>
  <c r="L971" i="6"/>
  <c r="M971" i="6" s="1"/>
  <c r="K971" i="6"/>
  <c r="N970" i="6"/>
  <c r="L970" i="6"/>
  <c r="M970" i="6" s="1"/>
  <c r="K970" i="6"/>
  <c r="N969" i="6"/>
  <c r="M969" i="6"/>
  <c r="L969" i="6"/>
  <c r="K969" i="6"/>
  <c r="N968" i="6"/>
  <c r="M968" i="6"/>
  <c r="L968" i="6"/>
  <c r="K968" i="6"/>
  <c r="N967" i="6"/>
  <c r="M967" i="6"/>
  <c r="L967" i="6"/>
  <c r="K967" i="6"/>
  <c r="N966" i="6"/>
  <c r="M966" i="6"/>
  <c r="L966" i="6"/>
  <c r="K966" i="6"/>
  <c r="N965" i="6"/>
  <c r="M965" i="6"/>
  <c r="L965" i="6"/>
  <c r="K965" i="6"/>
  <c r="N964" i="6"/>
  <c r="M964" i="6"/>
  <c r="L964" i="6"/>
  <c r="K964" i="6"/>
  <c r="N963" i="6"/>
  <c r="M963" i="6"/>
  <c r="L963" i="6"/>
  <c r="K963" i="6"/>
  <c r="N962" i="6"/>
  <c r="M962" i="6"/>
  <c r="L962" i="6"/>
  <c r="K962" i="6"/>
  <c r="N961" i="6"/>
  <c r="M961" i="6"/>
  <c r="L961" i="6"/>
  <c r="K961" i="6"/>
  <c r="N960" i="6"/>
  <c r="M960" i="6"/>
  <c r="L960" i="6"/>
  <c r="K960" i="6"/>
  <c r="N959" i="6"/>
  <c r="M959" i="6"/>
  <c r="L959" i="6"/>
  <c r="K959" i="6"/>
  <c r="N958" i="6"/>
  <c r="M958" i="6"/>
  <c r="L958" i="6"/>
  <c r="K958" i="6"/>
  <c r="N957" i="6"/>
  <c r="M957" i="6"/>
  <c r="L957" i="6"/>
  <c r="K957" i="6"/>
  <c r="N956" i="6"/>
  <c r="M956" i="6"/>
  <c r="L956" i="6"/>
  <c r="K956" i="6"/>
  <c r="N955" i="6"/>
  <c r="M955" i="6"/>
  <c r="L955" i="6"/>
  <c r="K955" i="6"/>
  <c r="N954" i="6"/>
  <c r="M954" i="6"/>
  <c r="L954" i="6"/>
  <c r="K954" i="6"/>
  <c r="N953" i="6"/>
  <c r="M953" i="6"/>
  <c r="L953" i="6"/>
  <c r="K953" i="6"/>
  <c r="N952" i="6"/>
  <c r="M952" i="6"/>
  <c r="L952" i="6"/>
  <c r="K952" i="6"/>
  <c r="N951" i="6"/>
  <c r="M951" i="6"/>
  <c r="L951" i="6"/>
  <c r="K951" i="6"/>
  <c r="N950" i="6"/>
  <c r="M950" i="6"/>
  <c r="L950" i="6"/>
  <c r="K950" i="6"/>
  <c r="N949" i="6"/>
  <c r="M949" i="6"/>
  <c r="L949" i="6"/>
  <c r="K949" i="6"/>
  <c r="N948" i="6"/>
  <c r="M948" i="6"/>
  <c r="L948" i="6"/>
  <c r="K948" i="6"/>
  <c r="N947" i="6"/>
  <c r="M947" i="6"/>
  <c r="L947" i="6"/>
  <c r="K947" i="6"/>
  <c r="N946" i="6"/>
  <c r="M946" i="6"/>
  <c r="L946" i="6"/>
  <c r="K946" i="6"/>
  <c r="N945" i="6"/>
  <c r="M945" i="6"/>
  <c r="L945" i="6"/>
  <c r="K945" i="6"/>
  <c r="N944" i="6"/>
  <c r="M944" i="6"/>
  <c r="L944" i="6"/>
  <c r="K944" i="6"/>
  <c r="N943" i="6"/>
  <c r="M943" i="6"/>
  <c r="L943" i="6"/>
  <c r="K943" i="6"/>
  <c r="N942" i="6"/>
  <c r="M942" i="6"/>
  <c r="L942" i="6"/>
  <c r="K942" i="6"/>
  <c r="N941" i="6"/>
  <c r="M941" i="6"/>
  <c r="L941" i="6"/>
  <c r="K941" i="6"/>
  <c r="N940" i="6"/>
  <c r="M940" i="6"/>
  <c r="L940" i="6"/>
  <c r="K940" i="6"/>
  <c r="N939" i="6"/>
  <c r="M939" i="6"/>
  <c r="L939" i="6"/>
  <c r="K939" i="6"/>
  <c r="N938" i="6"/>
  <c r="M938" i="6"/>
  <c r="L938" i="6"/>
  <c r="K938" i="6"/>
  <c r="N937" i="6"/>
  <c r="M937" i="6"/>
  <c r="L937" i="6"/>
  <c r="K937" i="6"/>
  <c r="N936" i="6"/>
  <c r="M936" i="6"/>
  <c r="L936" i="6"/>
  <c r="K936" i="6"/>
  <c r="N935" i="6"/>
  <c r="M935" i="6"/>
  <c r="L935" i="6"/>
  <c r="K935" i="6"/>
  <c r="N934" i="6"/>
  <c r="M934" i="6"/>
  <c r="L934" i="6"/>
  <c r="K934" i="6"/>
  <c r="N933" i="6"/>
  <c r="M933" i="6"/>
  <c r="L933" i="6"/>
  <c r="K933" i="6"/>
  <c r="N932" i="6"/>
  <c r="M932" i="6"/>
  <c r="L932" i="6"/>
  <c r="K932" i="6"/>
  <c r="N931" i="6"/>
  <c r="M931" i="6"/>
  <c r="L931" i="6"/>
  <c r="K931" i="6"/>
  <c r="N930" i="6"/>
  <c r="M930" i="6"/>
  <c r="L930" i="6"/>
  <c r="K930" i="6"/>
  <c r="N929" i="6"/>
  <c r="M929" i="6"/>
  <c r="L929" i="6"/>
  <c r="K929" i="6"/>
  <c r="N928" i="6"/>
  <c r="M928" i="6"/>
  <c r="L928" i="6"/>
  <c r="K928" i="6"/>
  <c r="N927" i="6"/>
  <c r="M927" i="6"/>
  <c r="L927" i="6"/>
  <c r="K927" i="6"/>
  <c r="N926" i="6"/>
  <c r="M926" i="6"/>
  <c r="L926" i="6"/>
  <c r="K926" i="6"/>
  <c r="N925" i="6"/>
  <c r="M925" i="6"/>
  <c r="L925" i="6"/>
  <c r="K925" i="6"/>
  <c r="N924" i="6"/>
  <c r="M924" i="6"/>
  <c r="L924" i="6"/>
  <c r="K924" i="6"/>
  <c r="N923" i="6"/>
  <c r="M923" i="6"/>
  <c r="L923" i="6"/>
  <c r="K923" i="6"/>
  <c r="N922" i="6"/>
  <c r="M922" i="6"/>
  <c r="L922" i="6"/>
  <c r="K922" i="6"/>
  <c r="N921" i="6"/>
  <c r="M921" i="6"/>
  <c r="L921" i="6"/>
  <c r="K921" i="6"/>
  <c r="N920" i="6"/>
  <c r="M920" i="6"/>
  <c r="L920" i="6"/>
  <c r="K920" i="6"/>
  <c r="N919" i="6"/>
  <c r="M919" i="6"/>
  <c r="L919" i="6"/>
  <c r="K919" i="6"/>
  <c r="N918" i="6"/>
  <c r="M918" i="6"/>
  <c r="L918" i="6"/>
  <c r="K918" i="6"/>
  <c r="N917" i="6"/>
  <c r="M917" i="6"/>
  <c r="L917" i="6"/>
  <c r="K917" i="6"/>
  <c r="N916" i="6"/>
  <c r="M916" i="6"/>
  <c r="L916" i="6"/>
  <c r="K916" i="6"/>
  <c r="N915" i="6"/>
  <c r="M915" i="6"/>
  <c r="L915" i="6"/>
  <c r="K915" i="6"/>
  <c r="N914" i="6"/>
  <c r="M914" i="6"/>
  <c r="L914" i="6"/>
  <c r="K914" i="6"/>
  <c r="N913" i="6"/>
  <c r="M913" i="6"/>
  <c r="L913" i="6"/>
  <c r="K913" i="6"/>
  <c r="N912" i="6"/>
  <c r="M912" i="6"/>
  <c r="L912" i="6"/>
  <c r="K912" i="6"/>
  <c r="N911" i="6"/>
  <c r="M911" i="6"/>
  <c r="L911" i="6"/>
  <c r="K911" i="6"/>
  <c r="N910" i="6"/>
  <c r="M910" i="6"/>
  <c r="L910" i="6"/>
  <c r="K910" i="6"/>
  <c r="N909" i="6"/>
  <c r="M909" i="6"/>
  <c r="L909" i="6"/>
  <c r="K909" i="6"/>
  <c r="N908" i="6"/>
  <c r="M908" i="6"/>
  <c r="L908" i="6"/>
  <c r="K908" i="6"/>
  <c r="N907" i="6"/>
  <c r="M907" i="6"/>
  <c r="L907" i="6"/>
  <c r="K907" i="6"/>
  <c r="N906" i="6"/>
  <c r="M906" i="6"/>
  <c r="L906" i="6"/>
  <c r="K906" i="6"/>
  <c r="N905" i="6"/>
  <c r="M905" i="6"/>
  <c r="L905" i="6"/>
  <c r="K905" i="6"/>
  <c r="N904" i="6"/>
  <c r="M904" i="6"/>
  <c r="L904" i="6"/>
  <c r="K904" i="6"/>
  <c r="N903" i="6"/>
  <c r="M903" i="6"/>
  <c r="L903" i="6"/>
  <c r="K903" i="6"/>
  <c r="N902" i="6"/>
  <c r="M902" i="6"/>
  <c r="L902" i="6"/>
  <c r="K902" i="6"/>
  <c r="N901" i="6"/>
  <c r="M901" i="6"/>
  <c r="L901" i="6"/>
  <c r="K901" i="6"/>
  <c r="N900" i="6"/>
  <c r="M900" i="6"/>
  <c r="L900" i="6"/>
  <c r="K900" i="6"/>
  <c r="N899" i="6"/>
  <c r="M899" i="6"/>
  <c r="L899" i="6"/>
  <c r="K899" i="6"/>
  <c r="N898" i="6"/>
  <c r="M898" i="6"/>
  <c r="L898" i="6"/>
  <c r="K898" i="6"/>
  <c r="N897" i="6"/>
  <c r="M897" i="6"/>
  <c r="L897" i="6"/>
  <c r="K897" i="6"/>
  <c r="N896" i="6"/>
  <c r="M896" i="6"/>
  <c r="L896" i="6"/>
  <c r="K896" i="6"/>
  <c r="N895" i="6"/>
  <c r="M895" i="6"/>
  <c r="L895" i="6"/>
  <c r="K895" i="6"/>
  <c r="N894" i="6"/>
  <c r="M894" i="6"/>
  <c r="L894" i="6"/>
  <c r="K894" i="6"/>
  <c r="N893" i="6"/>
  <c r="M893" i="6"/>
  <c r="L893" i="6"/>
  <c r="K893" i="6"/>
  <c r="N892" i="6"/>
  <c r="M892" i="6"/>
  <c r="L892" i="6"/>
  <c r="K892" i="6"/>
  <c r="N891" i="6"/>
  <c r="M891" i="6"/>
  <c r="L891" i="6"/>
  <c r="K891" i="6"/>
  <c r="N890" i="6"/>
  <c r="M890" i="6"/>
  <c r="L890" i="6"/>
  <c r="K890" i="6"/>
  <c r="N889" i="6"/>
  <c r="M889" i="6"/>
  <c r="L889" i="6"/>
  <c r="K889" i="6"/>
  <c r="N888" i="6"/>
  <c r="M888" i="6"/>
  <c r="L888" i="6"/>
  <c r="K888" i="6"/>
  <c r="N887" i="6"/>
  <c r="M887" i="6"/>
  <c r="L887" i="6"/>
  <c r="K887" i="6"/>
  <c r="N886" i="6"/>
  <c r="M886" i="6"/>
  <c r="L886" i="6"/>
  <c r="K886" i="6"/>
  <c r="N885" i="6"/>
  <c r="M885" i="6"/>
  <c r="L885" i="6"/>
  <c r="K885" i="6"/>
  <c r="N884" i="6"/>
  <c r="M884" i="6"/>
  <c r="L884" i="6"/>
  <c r="K884" i="6"/>
  <c r="N883" i="6"/>
  <c r="M883" i="6"/>
  <c r="L883" i="6"/>
  <c r="K883" i="6"/>
  <c r="N882" i="6"/>
  <c r="M882" i="6"/>
  <c r="L882" i="6"/>
  <c r="K882" i="6"/>
  <c r="N881" i="6"/>
  <c r="M881" i="6"/>
  <c r="L881" i="6"/>
  <c r="K881" i="6"/>
  <c r="N880" i="6"/>
  <c r="M880" i="6"/>
  <c r="L880" i="6"/>
  <c r="K880" i="6"/>
  <c r="N879" i="6"/>
  <c r="M879" i="6"/>
  <c r="L879" i="6"/>
  <c r="K879" i="6"/>
  <c r="N878" i="6"/>
  <c r="M878" i="6"/>
  <c r="L878" i="6"/>
  <c r="K878" i="6"/>
  <c r="N877" i="6"/>
  <c r="M877" i="6"/>
  <c r="L877" i="6"/>
  <c r="K877" i="6"/>
  <c r="N876" i="6"/>
  <c r="M876" i="6"/>
  <c r="L876" i="6"/>
  <c r="K876" i="6"/>
  <c r="N875" i="6"/>
  <c r="M875" i="6"/>
  <c r="L875" i="6"/>
  <c r="K875" i="6"/>
  <c r="N874" i="6"/>
  <c r="M874" i="6"/>
  <c r="L874" i="6"/>
  <c r="K874" i="6"/>
  <c r="N873" i="6"/>
  <c r="M873" i="6"/>
  <c r="L873" i="6"/>
  <c r="K873" i="6"/>
  <c r="N872" i="6"/>
  <c r="M872" i="6"/>
  <c r="L872" i="6"/>
  <c r="K872" i="6"/>
  <c r="N871" i="6"/>
  <c r="M871" i="6"/>
  <c r="L871" i="6"/>
  <c r="K871" i="6"/>
  <c r="N870" i="6"/>
  <c r="M870" i="6"/>
  <c r="L870" i="6"/>
  <c r="K870" i="6"/>
  <c r="N869" i="6"/>
  <c r="M869" i="6"/>
  <c r="L869" i="6"/>
  <c r="K869" i="6"/>
  <c r="N868" i="6"/>
  <c r="M868" i="6"/>
  <c r="L868" i="6"/>
  <c r="K868" i="6"/>
  <c r="N867" i="6"/>
  <c r="M867" i="6"/>
  <c r="L867" i="6"/>
  <c r="K867" i="6"/>
  <c r="N866" i="6"/>
  <c r="M866" i="6"/>
  <c r="L866" i="6"/>
  <c r="K866" i="6"/>
  <c r="N865" i="6"/>
  <c r="M865" i="6"/>
  <c r="L865" i="6"/>
  <c r="K865" i="6"/>
  <c r="N864" i="6"/>
  <c r="M864" i="6"/>
  <c r="L864" i="6"/>
  <c r="K864" i="6"/>
  <c r="N863" i="6"/>
  <c r="M863" i="6"/>
  <c r="L863" i="6"/>
  <c r="K863" i="6"/>
  <c r="N862" i="6"/>
  <c r="M862" i="6"/>
  <c r="L862" i="6"/>
  <c r="K862" i="6"/>
  <c r="N861" i="6"/>
  <c r="M861" i="6"/>
  <c r="L861" i="6"/>
  <c r="K861" i="6"/>
  <c r="N860" i="6"/>
  <c r="M860" i="6"/>
  <c r="L860" i="6"/>
  <c r="K860" i="6"/>
  <c r="N859" i="6"/>
  <c r="M859" i="6"/>
  <c r="L859" i="6"/>
  <c r="K859" i="6"/>
  <c r="N858" i="6"/>
  <c r="M858" i="6"/>
  <c r="L858" i="6"/>
  <c r="K858" i="6"/>
  <c r="N857" i="6"/>
  <c r="M857" i="6"/>
  <c r="L857" i="6"/>
  <c r="K857" i="6"/>
  <c r="N856" i="6"/>
  <c r="M856" i="6"/>
  <c r="L856" i="6"/>
  <c r="K856" i="6"/>
  <c r="N855" i="6"/>
  <c r="M855" i="6"/>
  <c r="L855" i="6"/>
  <c r="K855" i="6"/>
  <c r="N854" i="6"/>
  <c r="M854" i="6"/>
  <c r="L854" i="6"/>
  <c r="K854" i="6"/>
  <c r="N853" i="6"/>
  <c r="M853" i="6"/>
  <c r="L853" i="6"/>
  <c r="K853" i="6"/>
  <c r="N852" i="6"/>
  <c r="M852" i="6"/>
  <c r="L852" i="6"/>
  <c r="K852" i="6"/>
  <c r="N851" i="6"/>
  <c r="M851" i="6"/>
  <c r="L851" i="6"/>
  <c r="K851" i="6"/>
  <c r="N850" i="6"/>
  <c r="M850" i="6"/>
  <c r="L850" i="6"/>
  <c r="K850" i="6"/>
  <c r="N849" i="6"/>
  <c r="M849" i="6"/>
  <c r="L849" i="6"/>
  <c r="K849" i="6"/>
  <c r="N848" i="6"/>
  <c r="M848" i="6"/>
  <c r="L848" i="6"/>
  <c r="K848" i="6"/>
  <c r="N847" i="6"/>
  <c r="M847" i="6"/>
  <c r="L847" i="6"/>
  <c r="K847" i="6"/>
  <c r="N846" i="6"/>
  <c r="M846" i="6"/>
  <c r="L846" i="6"/>
  <c r="K846" i="6"/>
  <c r="N845" i="6"/>
  <c r="M845" i="6"/>
  <c r="L845" i="6"/>
  <c r="K845" i="6"/>
  <c r="N844" i="6"/>
  <c r="M844" i="6"/>
  <c r="L844" i="6"/>
  <c r="K844" i="6"/>
  <c r="N843" i="6"/>
  <c r="M843" i="6"/>
  <c r="L843" i="6"/>
  <c r="K843" i="6"/>
  <c r="N842" i="6"/>
  <c r="M842" i="6"/>
  <c r="L842" i="6"/>
  <c r="K842" i="6"/>
  <c r="N841" i="6"/>
  <c r="M841" i="6"/>
  <c r="L841" i="6"/>
  <c r="K841" i="6"/>
  <c r="N840" i="6"/>
  <c r="M840" i="6"/>
  <c r="L840" i="6"/>
  <c r="K840" i="6"/>
  <c r="N839" i="6"/>
  <c r="M839" i="6"/>
  <c r="L839" i="6"/>
  <c r="K839" i="6"/>
  <c r="N838" i="6"/>
  <c r="M838" i="6"/>
  <c r="L838" i="6"/>
  <c r="K838" i="6"/>
  <c r="N837" i="6"/>
  <c r="M837" i="6"/>
  <c r="L837" i="6"/>
  <c r="K837" i="6"/>
  <c r="N836" i="6"/>
  <c r="M836" i="6"/>
  <c r="L836" i="6"/>
  <c r="K836" i="6"/>
  <c r="N835" i="6"/>
  <c r="M835" i="6"/>
  <c r="L835" i="6"/>
  <c r="K835" i="6"/>
  <c r="N834" i="6"/>
  <c r="M834" i="6"/>
  <c r="L834" i="6"/>
  <c r="K834" i="6"/>
  <c r="N833" i="6"/>
  <c r="M833" i="6"/>
  <c r="L833" i="6"/>
  <c r="K833" i="6"/>
  <c r="N832" i="6"/>
  <c r="M832" i="6"/>
  <c r="L832" i="6"/>
  <c r="K832" i="6"/>
  <c r="N831" i="6"/>
  <c r="M831" i="6"/>
  <c r="L831" i="6"/>
  <c r="K831" i="6"/>
  <c r="N830" i="6"/>
  <c r="M830" i="6"/>
  <c r="L830" i="6"/>
  <c r="K830" i="6"/>
  <c r="N829" i="6"/>
  <c r="M829" i="6"/>
  <c r="L829" i="6"/>
  <c r="K829" i="6"/>
  <c r="N828" i="6"/>
  <c r="M828" i="6"/>
  <c r="L828" i="6"/>
  <c r="K828" i="6"/>
  <c r="N827" i="6"/>
  <c r="M827" i="6"/>
  <c r="L827" i="6"/>
  <c r="K827" i="6"/>
  <c r="N826" i="6"/>
  <c r="M826" i="6"/>
  <c r="L826" i="6"/>
  <c r="K826" i="6"/>
  <c r="N825" i="6"/>
  <c r="M825" i="6"/>
  <c r="L825" i="6"/>
  <c r="K825" i="6"/>
  <c r="N824" i="6"/>
  <c r="M824" i="6"/>
  <c r="L824" i="6"/>
  <c r="K824" i="6"/>
  <c r="N823" i="6"/>
  <c r="M823" i="6"/>
  <c r="L823" i="6"/>
  <c r="K823" i="6"/>
  <c r="N822" i="6"/>
  <c r="M822" i="6"/>
  <c r="L822" i="6"/>
  <c r="K822" i="6"/>
  <c r="N821" i="6"/>
  <c r="M821" i="6"/>
  <c r="L821" i="6"/>
  <c r="K821" i="6"/>
  <c r="N820" i="6"/>
  <c r="M820" i="6"/>
  <c r="L820" i="6"/>
  <c r="K820" i="6"/>
  <c r="N819" i="6"/>
  <c r="M819" i="6"/>
  <c r="L819" i="6"/>
  <c r="K819" i="6"/>
  <c r="N818" i="6"/>
  <c r="M818" i="6"/>
  <c r="L818" i="6"/>
  <c r="K818" i="6"/>
  <c r="N817" i="6"/>
  <c r="M817" i="6"/>
  <c r="L817" i="6"/>
  <c r="K817" i="6"/>
  <c r="N816" i="6"/>
  <c r="M816" i="6"/>
  <c r="L816" i="6"/>
  <c r="K816" i="6"/>
  <c r="N815" i="6"/>
  <c r="M815" i="6"/>
  <c r="L815" i="6"/>
  <c r="K815" i="6"/>
  <c r="N814" i="6"/>
  <c r="M814" i="6"/>
  <c r="L814" i="6"/>
  <c r="K814" i="6"/>
  <c r="N813" i="6"/>
  <c r="M813" i="6"/>
  <c r="L813" i="6"/>
  <c r="K813" i="6"/>
  <c r="N812" i="6"/>
  <c r="M812" i="6"/>
  <c r="L812" i="6"/>
  <c r="K812" i="6"/>
  <c r="N811" i="6"/>
  <c r="M811" i="6"/>
  <c r="L811" i="6"/>
  <c r="K811" i="6"/>
  <c r="N810" i="6"/>
  <c r="M810" i="6"/>
  <c r="L810" i="6"/>
  <c r="K810" i="6"/>
  <c r="N809" i="6"/>
  <c r="M809" i="6"/>
  <c r="L809" i="6"/>
  <c r="K809" i="6"/>
  <c r="N808" i="6"/>
  <c r="M808" i="6"/>
  <c r="L808" i="6"/>
  <c r="K808" i="6"/>
  <c r="N807" i="6"/>
  <c r="M807" i="6"/>
  <c r="L807" i="6"/>
  <c r="K807" i="6"/>
  <c r="N806" i="6"/>
  <c r="M806" i="6"/>
  <c r="L806" i="6"/>
  <c r="K806" i="6"/>
  <c r="N805" i="6"/>
  <c r="M805" i="6"/>
  <c r="L805" i="6"/>
  <c r="K805" i="6"/>
  <c r="N804" i="6"/>
  <c r="M804" i="6"/>
  <c r="L804" i="6"/>
  <c r="K804" i="6"/>
  <c r="N803" i="6"/>
  <c r="M803" i="6"/>
  <c r="L803" i="6"/>
  <c r="K803" i="6"/>
  <c r="N802" i="6"/>
  <c r="M802" i="6"/>
  <c r="L802" i="6"/>
  <c r="K802" i="6"/>
  <c r="N801" i="6"/>
  <c r="M801" i="6"/>
  <c r="L801" i="6"/>
  <c r="K801" i="6"/>
  <c r="N800" i="6"/>
  <c r="M800" i="6"/>
  <c r="L800" i="6"/>
  <c r="K800" i="6"/>
  <c r="N799" i="6"/>
  <c r="M799" i="6"/>
  <c r="L799" i="6"/>
  <c r="K799" i="6"/>
  <c r="N798" i="6"/>
  <c r="M798" i="6"/>
  <c r="L798" i="6"/>
  <c r="K798" i="6"/>
  <c r="N797" i="6"/>
  <c r="M797" i="6"/>
  <c r="L797" i="6"/>
  <c r="K797" i="6"/>
  <c r="N796" i="6"/>
  <c r="M796" i="6"/>
  <c r="L796" i="6"/>
  <c r="K796" i="6"/>
  <c r="N795" i="6"/>
  <c r="M795" i="6"/>
  <c r="L795" i="6"/>
  <c r="K795" i="6"/>
  <c r="N794" i="6"/>
  <c r="M794" i="6"/>
  <c r="L794" i="6"/>
  <c r="K794" i="6"/>
  <c r="N793" i="6"/>
  <c r="M793" i="6"/>
  <c r="L793" i="6"/>
  <c r="K793" i="6"/>
  <c r="N792" i="6"/>
  <c r="M792" i="6"/>
  <c r="L792" i="6"/>
  <c r="K792" i="6"/>
  <c r="N791" i="6"/>
  <c r="M791" i="6"/>
  <c r="L791" i="6"/>
  <c r="K791" i="6"/>
  <c r="N790" i="6"/>
  <c r="M790" i="6"/>
  <c r="L790" i="6"/>
  <c r="K790" i="6"/>
  <c r="N789" i="6"/>
  <c r="M789" i="6"/>
  <c r="L789" i="6"/>
  <c r="K789" i="6"/>
  <c r="N788" i="6"/>
  <c r="M788" i="6"/>
  <c r="L788" i="6"/>
  <c r="K788" i="6"/>
  <c r="N787" i="6"/>
  <c r="M787" i="6"/>
  <c r="L787" i="6"/>
  <c r="K787" i="6"/>
  <c r="N786" i="6"/>
  <c r="M786" i="6"/>
  <c r="L786" i="6"/>
  <c r="K786" i="6"/>
  <c r="N785" i="6"/>
  <c r="M785" i="6"/>
  <c r="L785" i="6"/>
  <c r="K785" i="6"/>
  <c r="N784" i="6"/>
  <c r="M784" i="6"/>
  <c r="L784" i="6"/>
  <c r="K784" i="6"/>
  <c r="N783" i="6"/>
  <c r="M783" i="6"/>
  <c r="L783" i="6"/>
  <c r="K783" i="6"/>
  <c r="N782" i="6"/>
  <c r="M782" i="6"/>
  <c r="L782" i="6"/>
  <c r="K782" i="6"/>
  <c r="N781" i="6"/>
  <c r="M781" i="6"/>
  <c r="L781" i="6"/>
  <c r="K781" i="6"/>
  <c r="N780" i="6"/>
  <c r="M780" i="6"/>
  <c r="L780" i="6"/>
  <c r="K780" i="6"/>
  <c r="N779" i="6"/>
  <c r="M779" i="6"/>
  <c r="L779" i="6"/>
  <c r="K779" i="6"/>
  <c r="N778" i="6"/>
  <c r="M778" i="6"/>
  <c r="L778" i="6"/>
  <c r="K778" i="6"/>
  <c r="N777" i="6"/>
  <c r="M777" i="6"/>
  <c r="L777" i="6"/>
  <c r="K777" i="6"/>
  <c r="N776" i="6"/>
  <c r="M776" i="6"/>
  <c r="L776" i="6"/>
  <c r="K776" i="6"/>
  <c r="N775" i="6"/>
  <c r="M775" i="6"/>
  <c r="L775" i="6"/>
  <c r="K775" i="6"/>
  <c r="N774" i="6"/>
  <c r="M774" i="6"/>
  <c r="L774" i="6"/>
  <c r="K774" i="6"/>
  <c r="N773" i="6"/>
  <c r="M773" i="6"/>
  <c r="L773" i="6"/>
  <c r="K773" i="6"/>
  <c r="N772" i="6"/>
  <c r="M772" i="6"/>
  <c r="L772" i="6"/>
  <c r="K772" i="6"/>
  <c r="N771" i="6"/>
  <c r="M771" i="6"/>
  <c r="L771" i="6"/>
  <c r="K771" i="6"/>
  <c r="N770" i="6"/>
  <c r="M770" i="6"/>
  <c r="L770" i="6"/>
  <c r="K770" i="6"/>
  <c r="N769" i="6"/>
  <c r="M769" i="6"/>
  <c r="L769" i="6"/>
  <c r="K769" i="6"/>
  <c r="N768" i="6"/>
  <c r="M768" i="6"/>
  <c r="L768" i="6"/>
  <c r="K768" i="6"/>
  <c r="N767" i="6"/>
  <c r="M767" i="6"/>
  <c r="L767" i="6"/>
  <c r="K767" i="6"/>
  <c r="N766" i="6"/>
  <c r="M766" i="6"/>
  <c r="L766" i="6"/>
  <c r="K766" i="6"/>
  <c r="N765" i="6"/>
  <c r="M765" i="6"/>
  <c r="L765" i="6"/>
  <c r="K765" i="6"/>
  <c r="N764" i="6"/>
  <c r="M764" i="6"/>
  <c r="L764" i="6"/>
  <c r="K764" i="6"/>
  <c r="N763" i="6"/>
  <c r="M763" i="6"/>
  <c r="L763" i="6"/>
  <c r="K763" i="6"/>
  <c r="N762" i="6"/>
  <c r="M762" i="6"/>
  <c r="L762" i="6"/>
  <c r="K762" i="6"/>
  <c r="N761" i="6"/>
  <c r="M761" i="6"/>
  <c r="L761" i="6"/>
  <c r="K761" i="6"/>
  <c r="N760" i="6"/>
  <c r="M760" i="6"/>
  <c r="L760" i="6"/>
  <c r="K760" i="6"/>
  <c r="N759" i="6"/>
  <c r="M759" i="6"/>
  <c r="L759" i="6"/>
  <c r="K759" i="6"/>
  <c r="N758" i="6"/>
  <c r="M758" i="6"/>
  <c r="L758" i="6"/>
  <c r="K758" i="6"/>
  <c r="N757" i="6"/>
  <c r="M757" i="6"/>
  <c r="L757" i="6"/>
  <c r="K757" i="6"/>
  <c r="N756" i="6"/>
  <c r="M756" i="6"/>
  <c r="L756" i="6"/>
  <c r="K756" i="6"/>
  <c r="N755" i="6"/>
  <c r="M755" i="6"/>
  <c r="L755" i="6"/>
  <c r="K755" i="6"/>
  <c r="N754" i="6"/>
  <c r="M754" i="6"/>
  <c r="L754" i="6"/>
  <c r="K754" i="6"/>
  <c r="N753" i="6"/>
  <c r="M753" i="6"/>
  <c r="L753" i="6"/>
  <c r="K753" i="6"/>
  <c r="N752" i="6"/>
  <c r="M752" i="6"/>
  <c r="L752" i="6"/>
  <c r="K752" i="6"/>
  <c r="N751" i="6"/>
  <c r="M751" i="6"/>
  <c r="L751" i="6"/>
  <c r="K751" i="6"/>
  <c r="N750" i="6"/>
  <c r="M750" i="6"/>
  <c r="L750" i="6"/>
  <c r="K750" i="6"/>
  <c r="N749" i="6"/>
  <c r="M749" i="6"/>
  <c r="L749" i="6"/>
  <c r="K749" i="6"/>
  <c r="N748" i="6"/>
  <c r="M748" i="6"/>
  <c r="L748" i="6"/>
  <c r="K748" i="6"/>
  <c r="N747" i="6"/>
  <c r="M747" i="6"/>
  <c r="L747" i="6"/>
  <c r="K747" i="6"/>
  <c r="N746" i="6"/>
  <c r="M746" i="6"/>
  <c r="L746" i="6"/>
  <c r="K746" i="6"/>
  <c r="N745" i="6"/>
  <c r="M745" i="6"/>
  <c r="L745" i="6"/>
  <c r="K745" i="6"/>
  <c r="N744" i="6"/>
  <c r="M744" i="6"/>
  <c r="L744" i="6"/>
  <c r="K744" i="6"/>
  <c r="N743" i="6"/>
  <c r="M743" i="6"/>
  <c r="L743" i="6"/>
  <c r="K743" i="6"/>
  <c r="N742" i="6"/>
  <c r="M742" i="6"/>
  <c r="L742" i="6"/>
  <c r="K742" i="6"/>
  <c r="N741" i="6"/>
  <c r="M741" i="6"/>
  <c r="L741" i="6"/>
  <c r="K741" i="6"/>
  <c r="N740" i="6"/>
  <c r="M740" i="6"/>
  <c r="L740" i="6"/>
  <c r="K740" i="6"/>
  <c r="N739" i="6"/>
  <c r="M739" i="6"/>
  <c r="L739" i="6"/>
  <c r="K739" i="6"/>
  <c r="N738" i="6"/>
  <c r="M738" i="6"/>
  <c r="L738" i="6"/>
  <c r="K738" i="6"/>
  <c r="N737" i="6"/>
  <c r="M737" i="6"/>
  <c r="L737" i="6"/>
  <c r="K737" i="6"/>
  <c r="N736" i="6"/>
  <c r="M736" i="6"/>
  <c r="L736" i="6"/>
  <c r="K736" i="6"/>
  <c r="N735" i="6"/>
  <c r="M735" i="6"/>
  <c r="L735" i="6"/>
  <c r="K735" i="6"/>
  <c r="N734" i="6"/>
  <c r="M734" i="6"/>
  <c r="L734" i="6"/>
  <c r="K734" i="6"/>
  <c r="N733" i="6"/>
  <c r="M733" i="6"/>
  <c r="L733" i="6"/>
  <c r="K733" i="6"/>
  <c r="N732" i="6"/>
  <c r="M732" i="6"/>
  <c r="L732" i="6"/>
  <c r="K732" i="6"/>
  <c r="N731" i="6"/>
  <c r="M731" i="6"/>
  <c r="L731" i="6"/>
  <c r="K731" i="6"/>
  <c r="N730" i="6"/>
  <c r="M730" i="6"/>
  <c r="L730" i="6"/>
  <c r="K730" i="6"/>
  <c r="N729" i="6"/>
  <c r="M729" i="6"/>
  <c r="L729" i="6"/>
  <c r="K729" i="6"/>
  <c r="N728" i="6"/>
  <c r="M728" i="6"/>
  <c r="L728" i="6"/>
  <c r="K728" i="6"/>
  <c r="N727" i="6"/>
  <c r="M727" i="6"/>
  <c r="L727" i="6"/>
  <c r="K727" i="6"/>
  <c r="N726" i="6"/>
  <c r="M726" i="6"/>
  <c r="L726" i="6"/>
  <c r="K726" i="6"/>
  <c r="N725" i="6"/>
  <c r="M725" i="6"/>
  <c r="L725" i="6"/>
  <c r="K725" i="6"/>
  <c r="N724" i="6"/>
  <c r="M724" i="6"/>
  <c r="L724" i="6"/>
  <c r="K724" i="6"/>
  <c r="N723" i="6"/>
  <c r="M723" i="6"/>
  <c r="L723" i="6"/>
  <c r="K723" i="6"/>
  <c r="N722" i="6"/>
  <c r="M722" i="6"/>
  <c r="L722" i="6"/>
  <c r="K722" i="6"/>
  <c r="N721" i="6"/>
  <c r="M721" i="6"/>
  <c r="L721" i="6"/>
  <c r="K721" i="6"/>
  <c r="N720" i="6"/>
  <c r="M720" i="6"/>
  <c r="L720" i="6"/>
  <c r="K720" i="6"/>
  <c r="N719" i="6"/>
  <c r="M719" i="6"/>
  <c r="L719" i="6"/>
  <c r="K719" i="6"/>
  <c r="N718" i="6"/>
  <c r="M718" i="6"/>
  <c r="L718" i="6"/>
  <c r="K718" i="6"/>
  <c r="N717" i="6"/>
  <c r="M717" i="6"/>
  <c r="L717" i="6"/>
  <c r="K717" i="6"/>
  <c r="N716" i="6"/>
  <c r="M716" i="6"/>
  <c r="L716" i="6"/>
  <c r="K716" i="6"/>
  <c r="N715" i="6"/>
  <c r="M715" i="6"/>
  <c r="L715" i="6"/>
  <c r="K715" i="6"/>
  <c r="N714" i="6"/>
  <c r="M714" i="6"/>
  <c r="L714" i="6"/>
  <c r="K714" i="6"/>
  <c r="N713" i="6"/>
  <c r="M713" i="6"/>
  <c r="L713" i="6"/>
  <c r="K713" i="6"/>
  <c r="N712" i="6"/>
  <c r="M712" i="6"/>
  <c r="L712" i="6"/>
  <c r="K712" i="6"/>
  <c r="N711" i="6"/>
  <c r="M711" i="6"/>
  <c r="L711" i="6"/>
  <c r="K711" i="6"/>
  <c r="N710" i="6"/>
  <c r="M710" i="6"/>
  <c r="L710" i="6"/>
  <c r="K710" i="6"/>
  <c r="N709" i="6"/>
  <c r="M709" i="6"/>
  <c r="L709" i="6"/>
  <c r="K709" i="6"/>
  <c r="N708" i="6"/>
  <c r="M708" i="6"/>
  <c r="L708" i="6"/>
  <c r="K708" i="6"/>
  <c r="N707" i="6"/>
  <c r="M707" i="6"/>
  <c r="L707" i="6"/>
  <c r="K707" i="6"/>
  <c r="N706" i="6"/>
  <c r="M706" i="6"/>
  <c r="L706" i="6"/>
  <c r="K706" i="6"/>
  <c r="N705" i="6"/>
  <c r="M705" i="6"/>
  <c r="L705" i="6"/>
  <c r="K705" i="6"/>
  <c r="N704" i="6"/>
  <c r="M704" i="6"/>
  <c r="L704" i="6"/>
  <c r="K704" i="6"/>
  <c r="N703" i="6"/>
  <c r="M703" i="6"/>
  <c r="L703" i="6"/>
  <c r="K703" i="6"/>
  <c r="N702" i="6"/>
  <c r="M702" i="6"/>
  <c r="L702" i="6"/>
  <c r="K702" i="6"/>
  <c r="N701" i="6"/>
  <c r="M701" i="6"/>
  <c r="L701" i="6"/>
  <c r="K701" i="6"/>
  <c r="N700" i="6"/>
  <c r="M700" i="6"/>
  <c r="L700" i="6"/>
  <c r="K700" i="6"/>
  <c r="N699" i="6"/>
  <c r="M699" i="6"/>
  <c r="L699" i="6"/>
  <c r="K699" i="6"/>
  <c r="N698" i="6"/>
  <c r="M698" i="6"/>
  <c r="L698" i="6"/>
  <c r="K698" i="6"/>
  <c r="N697" i="6"/>
  <c r="M697" i="6"/>
  <c r="L697" i="6"/>
  <c r="K697" i="6"/>
  <c r="N696" i="6"/>
  <c r="M696" i="6"/>
  <c r="L696" i="6"/>
  <c r="K696" i="6"/>
  <c r="N695" i="6"/>
  <c r="M695" i="6"/>
  <c r="L695" i="6"/>
  <c r="K695" i="6"/>
  <c r="N694" i="6"/>
  <c r="M694" i="6"/>
  <c r="L694" i="6"/>
  <c r="K694" i="6"/>
  <c r="N693" i="6"/>
  <c r="M693" i="6"/>
  <c r="L693" i="6"/>
  <c r="K693" i="6"/>
  <c r="N692" i="6"/>
  <c r="M692" i="6"/>
  <c r="L692" i="6"/>
  <c r="K692" i="6"/>
  <c r="N691" i="6"/>
  <c r="M691" i="6"/>
  <c r="L691" i="6"/>
  <c r="K691" i="6"/>
  <c r="N690" i="6"/>
  <c r="M690" i="6"/>
  <c r="L690" i="6"/>
  <c r="K690" i="6"/>
  <c r="N689" i="6"/>
  <c r="M689" i="6"/>
  <c r="L689" i="6"/>
  <c r="K689" i="6"/>
  <c r="N688" i="6"/>
  <c r="M688" i="6"/>
  <c r="L688" i="6"/>
  <c r="K688" i="6"/>
  <c r="N687" i="6"/>
  <c r="M687" i="6"/>
  <c r="L687" i="6"/>
  <c r="K687" i="6"/>
  <c r="N686" i="6"/>
  <c r="M686" i="6"/>
  <c r="L686" i="6"/>
  <c r="K686" i="6"/>
  <c r="N685" i="6"/>
  <c r="M685" i="6"/>
  <c r="L685" i="6"/>
  <c r="K685" i="6"/>
  <c r="N684" i="6"/>
  <c r="M684" i="6"/>
  <c r="L684" i="6"/>
  <c r="K684" i="6"/>
  <c r="N683" i="6"/>
  <c r="M683" i="6"/>
  <c r="L683" i="6"/>
  <c r="K683" i="6"/>
  <c r="N682" i="6"/>
  <c r="M682" i="6"/>
  <c r="L682" i="6"/>
  <c r="K682" i="6"/>
  <c r="N681" i="6"/>
  <c r="M681" i="6"/>
  <c r="L681" i="6"/>
  <c r="K681" i="6"/>
  <c r="N680" i="6"/>
  <c r="M680" i="6"/>
  <c r="L680" i="6"/>
  <c r="K680" i="6"/>
  <c r="N679" i="6"/>
  <c r="M679" i="6"/>
  <c r="L679" i="6"/>
  <c r="K679" i="6"/>
  <c r="N678" i="6"/>
  <c r="M678" i="6"/>
  <c r="L678" i="6"/>
  <c r="K678" i="6"/>
  <c r="N677" i="6"/>
  <c r="M677" i="6"/>
  <c r="L677" i="6"/>
  <c r="K677" i="6"/>
  <c r="N676" i="6"/>
  <c r="M676" i="6"/>
  <c r="L676" i="6"/>
  <c r="K676" i="6"/>
  <c r="N675" i="6"/>
  <c r="M675" i="6"/>
  <c r="L675" i="6"/>
  <c r="K675" i="6"/>
  <c r="N674" i="6"/>
  <c r="M674" i="6"/>
  <c r="L674" i="6"/>
  <c r="K674" i="6"/>
  <c r="N673" i="6"/>
  <c r="M673" i="6"/>
  <c r="L673" i="6"/>
  <c r="K673" i="6"/>
  <c r="N672" i="6"/>
  <c r="M672" i="6"/>
  <c r="L672" i="6"/>
  <c r="K672" i="6"/>
  <c r="N671" i="6"/>
  <c r="M671" i="6"/>
  <c r="L671" i="6"/>
  <c r="K671" i="6"/>
  <c r="N670" i="6"/>
  <c r="M670" i="6"/>
  <c r="L670" i="6"/>
  <c r="K670" i="6"/>
  <c r="N669" i="6"/>
  <c r="M669" i="6"/>
  <c r="L669" i="6"/>
  <c r="K669" i="6"/>
  <c r="N668" i="6"/>
  <c r="M668" i="6"/>
  <c r="L668" i="6"/>
  <c r="K668" i="6"/>
  <c r="N667" i="6"/>
  <c r="M667" i="6"/>
  <c r="L667" i="6"/>
  <c r="K667" i="6"/>
  <c r="N666" i="6"/>
  <c r="M666" i="6"/>
  <c r="L666" i="6"/>
  <c r="K666" i="6"/>
  <c r="N665" i="6"/>
  <c r="M665" i="6"/>
  <c r="L665" i="6"/>
  <c r="K665" i="6"/>
  <c r="N664" i="6"/>
  <c r="M664" i="6"/>
  <c r="L664" i="6"/>
  <c r="K664" i="6"/>
  <c r="N663" i="6"/>
  <c r="M663" i="6"/>
  <c r="L663" i="6"/>
  <c r="K663" i="6"/>
  <c r="N662" i="6"/>
  <c r="M662" i="6"/>
  <c r="L662" i="6"/>
  <c r="K662" i="6"/>
  <c r="N661" i="6"/>
  <c r="M661" i="6"/>
  <c r="L661" i="6"/>
  <c r="K661" i="6"/>
  <c r="N660" i="6"/>
  <c r="M660" i="6"/>
  <c r="L660" i="6"/>
  <c r="K660" i="6"/>
  <c r="N659" i="6"/>
  <c r="M659" i="6"/>
  <c r="L659" i="6"/>
  <c r="K659" i="6"/>
  <c r="N658" i="6"/>
  <c r="M658" i="6"/>
  <c r="L658" i="6"/>
  <c r="K658" i="6"/>
  <c r="N657" i="6"/>
  <c r="M657" i="6"/>
  <c r="L657" i="6"/>
  <c r="K657" i="6"/>
  <c r="N656" i="6"/>
  <c r="M656" i="6"/>
  <c r="L656" i="6"/>
  <c r="K656" i="6"/>
  <c r="N655" i="6"/>
  <c r="M655" i="6"/>
  <c r="L655" i="6"/>
  <c r="K655" i="6"/>
  <c r="N654" i="6"/>
  <c r="M654" i="6"/>
  <c r="L654" i="6"/>
  <c r="K654" i="6"/>
  <c r="N653" i="6"/>
  <c r="M653" i="6"/>
  <c r="L653" i="6"/>
  <c r="K653" i="6"/>
  <c r="N652" i="6"/>
  <c r="M652" i="6"/>
  <c r="L652" i="6"/>
  <c r="K652" i="6"/>
  <c r="N651" i="6"/>
  <c r="M651" i="6"/>
  <c r="L651" i="6"/>
  <c r="K651" i="6"/>
  <c r="N650" i="6"/>
  <c r="M650" i="6"/>
  <c r="L650" i="6"/>
  <c r="K650" i="6"/>
  <c r="N649" i="6"/>
  <c r="M649" i="6"/>
  <c r="L649" i="6"/>
  <c r="K649" i="6"/>
  <c r="N648" i="6"/>
  <c r="M648" i="6"/>
  <c r="L648" i="6"/>
  <c r="K648" i="6"/>
  <c r="N647" i="6"/>
  <c r="M647" i="6"/>
  <c r="L647" i="6"/>
  <c r="K647" i="6"/>
  <c r="N646" i="6"/>
  <c r="M646" i="6"/>
  <c r="L646" i="6"/>
  <c r="K646" i="6"/>
  <c r="N645" i="6"/>
  <c r="M645" i="6"/>
  <c r="L645" i="6"/>
  <c r="K645" i="6"/>
  <c r="N644" i="6"/>
  <c r="M644" i="6"/>
  <c r="L644" i="6"/>
  <c r="K644" i="6"/>
  <c r="N643" i="6"/>
  <c r="M643" i="6"/>
  <c r="L643" i="6"/>
  <c r="K643" i="6"/>
  <c r="N642" i="6"/>
  <c r="M642" i="6"/>
  <c r="L642" i="6"/>
  <c r="K642" i="6"/>
  <c r="N641" i="6"/>
  <c r="M641" i="6"/>
  <c r="L641" i="6"/>
  <c r="K641" i="6"/>
  <c r="N640" i="6"/>
  <c r="M640" i="6"/>
  <c r="L640" i="6"/>
  <c r="K640" i="6"/>
  <c r="N639" i="6"/>
  <c r="M639" i="6"/>
  <c r="L639" i="6"/>
  <c r="K639" i="6"/>
  <c r="N638" i="6"/>
  <c r="M638" i="6"/>
  <c r="L638" i="6"/>
  <c r="K638" i="6"/>
  <c r="N637" i="6"/>
  <c r="M637" i="6"/>
  <c r="L637" i="6"/>
  <c r="K637" i="6"/>
  <c r="N636" i="6"/>
  <c r="M636" i="6"/>
  <c r="L636" i="6"/>
  <c r="K636" i="6"/>
  <c r="N635" i="6"/>
  <c r="M635" i="6"/>
  <c r="L635" i="6"/>
  <c r="K635" i="6"/>
  <c r="N634" i="6"/>
  <c r="M634" i="6"/>
  <c r="L634" i="6"/>
  <c r="K634" i="6"/>
  <c r="N633" i="6"/>
  <c r="M633" i="6"/>
  <c r="L633" i="6"/>
  <c r="K633" i="6"/>
  <c r="N632" i="6"/>
  <c r="M632" i="6"/>
  <c r="L632" i="6"/>
  <c r="K632" i="6"/>
  <c r="N631" i="6"/>
  <c r="M631" i="6"/>
  <c r="L631" i="6"/>
  <c r="K631" i="6"/>
  <c r="N630" i="6"/>
  <c r="M630" i="6"/>
  <c r="L630" i="6"/>
  <c r="K630" i="6"/>
  <c r="N629" i="6"/>
  <c r="M629" i="6"/>
  <c r="L629" i="6"/>
  <c r="K629" i="6"/>
  <c r="N628" i="6"/>
  <c r="M628" i="6"/>
  <c r="L628" i="6"/>
  <c r="K628" i="6"/>
  <c r="N627" i="6"/>
  <c r="M627" i="6"/>
  <c r="L627" i="6"/>
  <c r="K627" i="6"/>
  <c r="N626" i="6"/>
  <c r="M626" i="6"/>
  <c r="L626" i="6"/>
  <c r="K626" i="6"/>
  <c r="N625" i="6"/>
  <c r="M625" i="6"/>
  <c r="L625" i="6"/>
  <c r="K625" i="6"/>
  <c r="N624" i="6"/>
  <c r="M624" i="6"/>
  <c r="L624" i="6"/>
  <c r="K624" i="6"/>
  <c r="N623" i="6"/>
  <c r="M623" i="6"/>
  <c r="L623" i="6"/>
  <c r="K623" i="6"/>
  <c r="N622" i="6"/>
  <c r="M622" i="6"/>
  <c r="L622" i="6"/>
  <c r="K622" i="6"/>
  <c r="N621" i="6"/>
  <c r="M621" i="6"/>
  <c r="L621" i="6"/>
  <c r="K621" i="6"/>
  <c r="N620" i="6"/>
  <c r="M620" i="6"/>
  <c r="L620" i="6"/>
  <c r="K620" i="6"/>
  <c r="N619" i="6"/>
  <c r="M619" i="6"/>
  <c r="L619" i="6"/>
  <c r="K619" i="6"/>
  <c r="N618" i="6"/>
  <c r="M618" i="6"/>
  <c r="L618" i="6"/>
  <c r="K618" i="6"/>
  <c r="N617" i="6"/>
  <c r="M617" i="6"/>
  <c r="L617" i="6"/>
  <c r="K617" i="6"/>
  <c r="N616" i="6"/>
  <c r="M616" i="6"/>
  <c r="L616" i="6"/>
  <c r="K616" i="6"/>
  <c r="N615" i="6"/>
  <c r="M615" i="6"/>
  <c r="L615" i="6"/>
  <c r="K615" i="6"/>
  <c r="N614" i="6"/>
  <c r="M614" i="6"/>
  <c r="L614" i="6"/>
  <c r="K614" i="6"/>
  <c r="N613" i="6"/>
  <c r="M613" i="6"/>
  <c r="L613" i="6"/>
  <c r="K613" i="6"/>
  <c r="N612" i="6"/>
  <c r="M612" i="6"/>
  <c r="L612" i="6"/>
  <c r="K612" i="6"/>
  <c r="N611" i="6"/>
  <c r="M611" i="6"/>
  <c r="L611" i="6"/>
  <c r="K611" i="6"/>
  <c r="N610" i="6"/>
  <c r="M610" i="6"/>
  <c r="L610" i="6"/>
  <c r="K610" i="6"/>
  <c r="N609" i="6"/>
  <c r="M609" i="6"/>
  <c r="L609" i="6"/>
  <c r="K609" i="6"/>
  <c r="N608" i="6"/>
  <c r="M608" i="6"/>
  <c r="L608" i="6"/>
  <c r="K608" i="6"/>
  <c r="N607" i="6"/>
  <c r="M607" i="6"/>
  <c r="L607" i="6"/>
  <c r="K607" i="6"/>
  <c r="N606" i="6"/>
  <c r="M606" i="6"/>
  <c r="L606" i="6"/>
  <c r="K606" i="6"/>
  <c r="N605" i="6"/>
  <c r="M605" i="6"/>
  <c r="L605" i="6"/>
  <c r="K605" i="6"/>
  <c r="N604" i="6"/>
  <c r="M604" i="6"/>
  <c r="L604" i="6"/>
  <c r="K604" i="6"/>
  <c r="N603" i="6"/>
  <c r="M603" i="6"/>
  <c r="L603" i="6"/>
  <c r="K603" i="6"/>
  <c r="N602" i="6"/>
  <c r="M602" i="6"/>
  <c r="L602" i="6"/>
  <c r="K602" i="6"/>
  <c r="N601" i="6"/>
  <c r="M601" i="6"/>
  <c r="L601" i="6"/>
  <c r="K601" i="6"/>
  <c r="N600" i="6"/>
  <c r="M600" i="6"/>
  <c r="L600" i="6"/>
  <c r="K600" i="6"/>
  <c r="N599" i="6"/>
  <c r="M599" i="6"/>
  <c r="L599" i="6"/>
  <c r="K599" i="6"/>
  <c r="N598" i="6"/>
  <c r="M598" i="6"/>
  <c r="L598" i="6"/>
  <c r="K598" i="6"/>
  <c r="N597" i="6"/>
  <c r="M597" i="6"/>
  <c r="L597" i="6"/>
  <c r="K597" i="6"/>
  <c r="N596" i="6"/>
  <c r="M596" i="6"/>
  <c r="L596" i="6"/>
  <c r="K596" i="6"/>
  <c r="N595" i="6"/>
  <c r="M595" i="6"/>
  <c r="L595" i="6"/>
  <c r="K595" i="6"/>
  <c r="N594" i="6"/>
  <c r="M594" i="6"/>
  <c r="L594" i="6"/>
  <c r="K594" i="6"/>
  <c r="N593" i="6"/>
  <c r="M593" i="6"/>
  <c r="L593" i="6"/>
  <c r="K593" i="6"/>
  <c r="N592" i="6"/>
  <c r="M592" i="6"/>
  <c r="L592" i="6"/>
  <c r="K592" i="6"/>
  <c r="N591" i="6"/>
  <c r="M591" i="6"/>
  <c r="L591" i="6"/>
  <c r="K591" i="6"/>
  <c r="N590" i="6"/>
  <c r="M590" i="6"/>
  <c r="L590" i="6"/>
  <c r="K590" i="6"/>
  <c r="N589" i="6"/>
  <c r="M589" i="6"/>
  <c r="L589" i="6"/>
  <c r="K589" i="6"/>
  <c r="N588" i="6"/>
  <c r="M588" i="6"/>
  <c r="L588" i="6"/>
  <c r="K588" i="6"/>
  <c r="N587" i="6"/>
  <c r="M587" i="6"/>
  <c r="L587" i="6"/>
  <c r="K587" i="6"/>
  <c r="N586" i="6"/>
  <c r="M586" i="6"/>
  <c r="L586" i="6"/>
  <c r="K586" i="6"/>
  <c r="N585" i="6"/>
  <c r="M585" i="6"/>
  <c r="L585" i="6"/>
  <c r="K585" i="6"/>
  <c r="N584" i="6"/>
  <c r="M584" i="6"/>
  <c r="L584" i="6"/>
  <c r="K584" i="6"/>
  <c r="N583" i="6"/>
  <c r="M583" i="6"/>
  <c r="L583" i="6"/>
  <c r="K583" i="6"/>
  <c r="N582" i="6"/>
  <c r="M582" i="6"/>
  <c r="L582" i="6"/>
  <c r="K582" i="6"/>
  <c r="N581" i="6"/>
  <c r="M581" i="6"/>
  <c r="L581" i="6"/>
  <c r="K581" i="6"/>
  <c r="N580" i="6"/>
  <c r="M580" i="6"/>
  <c r="L580" i="6"/>
  <c r="K580" i="6"/>
  <c r="N579" i="6"/>
  <c r="M579" i="6"/>
  <c r="L579" i="6"/>
  <c r="K579" i="6"/>
  <c r="N578" i="6"/>
  <c r="M578" i="6"/>
  <c r="L578" i="6"/>
  <c r="K578" i="6"/>
  <c r="N577" i="6"/>
  <c r="M577" i="6"/>
  <c r="L577" i="6"/>
  <c r="K577" i="6"/>
  <c r="N576" i="6"/>
  <c r="M576" i="6"/>
  <c r="L576" i="6"/>
  <c r="K576" i="6"/>
  <c r="N575" i="6"/>
  <c r="M575" i="6"/>
  <c r="L575" i="6"/>
  <c r="K575" i="6"/>
  <c r="N574" i="6"/>
  <c r="M574" i="6"/>
  <c r="L574" i="6"/>
  <c r="K574" i="6"/>
  <c r="N573" i="6"/>
  <c r="M573" i="6"/>
  <c r="L573" i="6"/>
  <c r="K573" i="6"/>
  <c r="N572" i="6"/>
  <c r="M572" i="6"/>
  <c r="L572" i="6"/>
  <c r="K572" i="6"/>
  <c r="N571" i="6"/>
  <c r="M571" i="6"/>
  <c r="L571" i="6"/>
  <c r="K571" i="6"/>
  <c r="N570" i="6"/>
  <c r="M570" i="6"/>
  <c r="L570" i="6"/>
  <c r="K570" i="6"/>
  <c r="N569" i="6"/>
  <c r="M569" i="6"/>
  <c r="L569" i="6"/>
  <c r="K569" i="6"/>
  <c r="N568" i="6"/>
  <c r="M568" i="6"/>
  <c r="L568" i="6"/>
  <c r="K568" i="6"/>
  <c r="N567" i="6"/>
  <c r="M567" i="6"/>
  <c r="L567" i="6"/>
  <c r="K567" i="6"/>
  <c r="N566" i="6"/>
  <c r="M566" i="6"/>
  <c r="L566" i="6"/>
  <c r="K566" i="6"/>
  <c r="N565" i="6"/>
  <c r="M565" i="6"/>
  <c r="L565" i="6"/>
  <c r="K565" i="6"/>
  <c r="N564" i="6"/>
  <c r="M564" i="6"/>
  <c r="L564" i="6"/>
  <c r="K564" i="6"/>
  <c r="N563" i="6"/>
  <c r="M563" i="6"/>
  <c r="L563" i="6"/>
  <c r="K563" i="6"/>
  <c r="N562" i="6"/>
  <c r="M562" i="6"/>
  <c r="L562" i="6"/>
  <c r="K562" i="6"/>
  <c r="N561" i="6"/>
  <c r="M561" i="6"/>
  <c r="L561" i="6"/>
  <c r="K561" i="6"/>
  <c r="N560" i="6"/>
  <c r="M560" i="6"/>
  <c r="L560" i="6"/>
  <c r="K560" i="6"/>
  <c r="N559" i="6"/>
  <c r="M559" i="6"/>
  <c r="L559" i="6"/>
  <c r="K559" i="6"/>
  <c r="N558" i="6"/>
  <c r="M558" i="6"/>
  <c r="L558" i="6"/>
  <c r="K558" i="6"/>
  <c r="N557" i="6"/>
  <c r="M557" i="6"/>
  <c r="L557" i="6"/>
  <c r="K557" i="6"/>
  <c r="N556" i="6"/>
  <c r="M556" i="6"/>
  <c r="L556" i="6"/>
  <c r="K556" i="6"/>
  <c r="N555" i="6"/>
  <c r="M555" i="6"/>
  <c r="L555" i="6"/>
  <c r="K555" i="6"/>
  <c r="N554" i="6"/>
  <c r="M554" i="6"/>
  <c r="L554" i="6"/>
  <c r="K554" i="6"/>
  <c r="N553" i="6"/>
  <c r="M553" i="6"/>
  <c r="L553" i="6"/>
  <c r="K553" i="6"/>
  <c r="N552" i="6"/>
  <c r="M552" i="6"/>
  <c r="L552" i="6"/>
  <c r="K552" i="6"/>
  <c r="N551" i="6"/>
  <c r="M551" i="6"/>
  <c r="L551" i="6"/>
  <c r="K551" i="6"/>
  <c r="N550" i="6"/>
  <c r="M550" i="6"/>
  <c r="L550" i="6"/>
  <c r="K550" i="6"/>
  <c r="N549" i="6"/>
  <c r="M549" i="6"/>
  <c r="L549" i="6"/>
  <c r="K549" i="6"/>
  <c r="N548" i="6"/>
  <c r="M548" i="6"/>
  <c r="L548" i="6"/>
  <c r="K548" i="6"/>
  <c r="N547" i="6"/>
  <c r="M547" i="6"/>
  <c r="L547" i="6"/>
  <c r="K547" i="6"/>
  <c r="N546" i="6"/>
  <c r="M546" i="6"/>
  <c r="L546" i="6"/>
  <c r="K546" i="6"/>
  <c r="N545" i="6"/>
  <c r="M545" i="6"/>
  <c r="L545" i="6"/>
  <c r="K545" i="6"/>
  <c r="N544" i="6"/>
  <c r="M544" i="6"/>
  <c r="L544" i="6"/>
  <c r="K544" i="6"/>
  <c r="N543" i="6"/>
  <c r="M543" i="6"/>
  <c r="L543" i="6"/>
  <c r="K543" i="6"/>
  <c r="N542" i="6"/>
  <c r="M542" i="6"/>
  <c r="L542" i="6"/>
  <c r="K542" i="6"/>
  <c r="N541" i="6"/>
  <c r="M541" i="6"/>
  <c r="L541" i="6"/>
  <c r="K541" i="6"/>
  <c r="N540" i="6"/>
  <c r="M540" i="6"/>
  <c r="L540" i="6"/>
  <c r="K540" i="6"/>
  <c r="N539" i="6"/>
  <c r="M539" i="6"/>
  <c r="L539" i="6"/>
  <c r="K539" i="6"/>
  <c r="N538" i="6"/>
  <c r="M538" i="6"/>
  <c r="L538" i="6"/>
  <c r="K538" i="6"/>
  <c r="N537" i="6"/>
  <c r="M537" i="6"/>
  <c r="L537" i="6"/>
  <c r="K537" i="6"/>
  <c r="N536" i="6"/>
  <c r="M536" i="6"/>
  <c r="L536" i="6"/>
  <c r="K536" i="6"/>
  <c r="N535" i="6"/>
  <c r="M535" i="6"/>
  <c r="L535" i="6"/>
  <c r="K535" i="6"/>
  <c r="N534" i="6"/>
  <c r="M534" i="6"/>
  <c r="L534" i="6"/>
  <c r="K534" i="6"/>
  <c r="N533" i="6"/>
  <c r="M533" i="6"/>
  <c r="L533" i="6"/>
  <c r="K533" i="6"/>
  <c r="N532" i="6"/>
  <c r="M532" i="6"/>
  <c r="L532" i="6"/>
  <c r="K532" i="6"/>
  <c r="N531" i="6"/>
  <c r="M531" i="6"/>
  <c r="L531" i="6"/>
  <c r="K531" i="6"/>
  <c r="N530" i="6"/>
  <c r="M530" i="6"/>
  <c r="L530" i="6"/>
  <c r="K530" i="6"/>
  <c r="N529" i="6"/>
  <c r="M529" i="6"/>
  <c r="L529" i="6"/>
  <c r="K529" i="6"/>
  <c r="N528" i="6"/>
  <c r="M528" i="6"/>
  <c r="L528" i="6"/>
  <c r="K528" i="6"/>
  <c r="N527" i="6"/>
  <c r="M527" i="6"/>
  <c r="L527" i="6"/>
  <c r="K527" i="6"/>
  <c r="N526" i="6"/>
  <c r="M526" i="6"/>
  <c r="L526" i="6"/>
  <c r="K526" i="6"/>
  <c r="N525" i="6"/>
  <c r="M525" i="6"/>
  <c r="L525" i="6"/>
  <c r="K525" i="6"/>
  <c r="N524" i="6"/>
  <c r="M524" i="6"/>
  <c r="L524" i="6"/>
  <c r="K524" i="6"/>
  <c r="N523" i="6"/>
  <c r="M523" i="6"/>
  <c r="L523" i="6"/>
  <c r="K523" i="6"/>
  <c r="N522" i="6"/>
  <c r="M522" i="6"/>
  <c r="L522" i="6"/>
  <c r="K522" i="6"/>
  <c r="N521" i="6"/>
  <c r="M521" i="6"/>
  <c r="L521" i="6"/>
  <c r="K521" i="6"/>
  <c r="N520" i="6"/>
  <c r="M520" i="6"/>
  <c r="L520" i="6"/>
  <c r="K520" i="6"/>
  <c r="N519" i="6"/>
  <c r="M519" i="6"/>
  <c r="L519" i="6"/>
  <c r="K519" i="6"/>
  <c r="N518" i="6"/>
  <c r="M518" i="6"/>
  <c r="L518" i="6"/>
  <c r="K518" i="6"/>
  <c r="N517" i="6"/>
  <c r="M517" i="6"/>
  <c r="L517" i="6"/>
  <c r="K517" i="6"/>
  <c r="N516" i="6"/>
  <c r="M516" i="6"/>
  <c r="L516" i="6"/>
  <c r="K516" i="6"/>
  <c r="N515" i="6"/>
  <c r="M515" i="6"/>
  <c r="L515" i="6"/>
  <c r="K515" i="6"/>
  <c r="N514" i="6"/>
  <c r="M514" i="6"/>
  <c r="L514" i="6"/>
  <c r="K514" i="6"/>
  <c r="N513" i="6"/>
  <c r="M513" i="6"/>
  <c r="L513" i="6"/>
  <c r="K513" i="6"/>
  <c r="N512" i="6"/>
  <c r="M512" i="6"/>
  <c r="L512" i="6"/>
  <c r="K512" i="6"/>
  <c r="N511" i="6"/>
  <c r="M511" i="6"/>
  <c r="L511" i="6"/>
  <c r="K511" i="6"/>
  <c r="N510" i="6"/>
  <c r="M510" i="6"/>
  <c r="L510" i="6"/>
  <c r="K510" i="6"/>
  <c r="N509" i="6"/>
  <c r="M509" i="6"/>
  <c r="L509" i="6"/>
  <c r="K509" i="6"/>
  <c r="N508" i="6"/>
  <c r="M508" i="6"/>
  <c r="L508" i="6"/>
  <c r="K508" i="6"/>
  <c r="N507" i="6"/>
  <c r="M507" i="6"/>
  <c r="L507" i="6"/>
  <c r="K507" i="6"/>
  <c r="N506" i="6"/>
  <c r="M506" i="6"/>
  <c r="L506" i="6"/>
  <c r="K506" i="6"/>
  <c r="N505" i="6"/>
  <c r="M505" i="6"/>
  <c r="L505" i="6"/>
  <c r="K505" i="6"/>
  <c r="N504" i="6"/>
  <c r="M504" i="6"/>
  <c r="L504" i="6"/>
  <c r="K504" i="6"/>
  <c r="N503" i="6"/>
  <c r="M503" i="6"/>
  <c r="L503" i="6"/>
  <c r="K503" i="6"/>
  <c r="N502" i="6"/>
  <c r="M502" i="6"/>
  <c r="L502" i="6"/>
  <c r="K502" i="6"/>
  <c r="N501" i="6"/>
  <c r="M501" i="6"/>
  <c r="L501" i="6"/>
  <c r="K501" i="6"/>
  <c r="N500" i="6"/>
  <c r="M500" i="6"/>
  <c r="L500" i="6"/>
  <c r="K500" i="6"/>
  <c r="N499" i="6"/>
  <c r="M499" i="6"/>
  <c r="L499" i="6"/>
  <c r="K499" i="6"/>
  <c r="N498" i="6"/>
  <c r="M498" i="6"/>
  <c r="L498" i="6"/>
  <c r="K498" i="6"/>
  <c r="N497" i="6"/>
  <c r="M497" i="6"/>
  <c r="L497" i="6"/>
  <c r="K497" i="6"/>
  <c r="N496" i="6"/>
  <c r="M496" i="6"/>
  <c r="L496" i="6"/>
  <c r="K496" i="6"/>
  <c r="N495" i="6"/>
  <c r="M495" i="6"/>
  <c r="L495" i="6"/>
  <c r="K495" i="6"/>
  <c r="N494" i="6"/>
  <c r="M494" i="6"/>
  <c r="L494" i="6"/>
  <c r="K494" i="6"/>
  <c r="N493" i="6"/>
  <c r="M493" i="6"/>
  <c r="L493" i="6"/>
  <c r="K493" i="6"/>
  <c r="N492" i="6"/>
  <c r="M492" i="6"/>
  <c r="L492" i="6"/>
  <c r="K492" i="6"/>
  <c r="N491" i="6"/>
  <c r="M491" i="6"/>
  <c r="L491" i="6"/>
  <c r="K491" i="6"/>
  <c r="N490" i="6"/>
  <c r="M490" i="6"/>
  <c r="L490" i="6"/>
  <c r="K490" i="6"/>
  <c r="N489" i="6"/>
  <c r="M489" i="6"/>
  <c r="L489" i="6"/>
  <c r="K489" i="6"/>
  <c r="N488" i="6"/>
  <c r="M488" i="6"/>
  <c r="L488" i="6"/>
  <c r="K488" i="6"/>
  <c r="N487" i="6"/>
  <c r="M487" i="6"/>
  <c r="L487" i="6"/>
  <c r="K487" i="6"/>
  <c r="N486" i="6"/>
  <c r="M486" i="6"/>
  <c r="L486" i="6"/>
  <c r="K486" i="6"/>
  <c r="N485" i="6"/>
  <c r="M485" i="6"/>
  <c r="L485" i="6"/>
  <c r="K485" i="6"/>
  <c r="N484" i="6"/>
  <c r="M484" i="6"/>
  <c r="L484" i="6"/>
  <c r="K484" i="6"/>
  <c r="N483" i="6"/>
  <c r="M483" i="6"/>
  <c r="L483" i="6"/>
  <c r="K483" i="6"/>
  <c r="N482" i="6"/>
  <c r="M482" i="6"/>
  <c r="L482" i="6"/>
  <c r="K482" i="6"/>
  <c r="N481" i="6"/>
  <c r="M481" i="6"/>
  <c r="L481" i="6"/>
  <c r="K481" i="6"/>
  <c r="N480" i="6"/>
  <c r="M480" i="6"/>
  <c r="L480" i="6"/>
  <c r="K480" i="6"/>
  <c r="N479" i="6"/>
  <c r="M479" i="6"/>
  <c r="L479" i="6"/>
  <c r="K479" i="6"/>
  <c r="N478" i="6"/>
  <c r="M478" i="6"/>
  <c r="L478" i="6"/>
  <c r="K478" i="6"/>
  <c r="N477" i="6"/>
  <c r="M477" i="6"/>
  <c r="L477" i="6"/>
  <c r="K477" i="6"/>
  <c r="N476" i="6"/>
  <c r="M476" i="6"/>
  <c r="L476" i="6"/>
  <c r="K476" i="6"/>
  <c r="N475" i="6"/>
  <c r="M475" i="6"/>
  <c r="L475" i="6"/>
  <c r="K475" i="6"/>
  <c r="N474" i="6"/>
  <c r="M474" i="6"/>
  <c r="L474" i="6"/>
  <c r="K474" i="6"/>
  <c r="N473" i="6"/>
  <c r="M473" i="6"/>
  <c r="L473" i="6"/>
  <c r="K473" i="6"/>
  <c r="N472" i="6"/>
  <c r="M472" i="6"/>
  <c r="L472" i="6"/>
  <c r="K472" i="6"/>
  <c r="N471" i="6"/>
  <c r="M471" i="6"/>
  <c r="L471" i="6"/>
  <c r="K471" i="6"/>
  <c r="N470" i="6"/>
  <c r="M470" i="6"/>
  <c r="L470" i="6"/>
  <c r="K470" i="6"/>
  <c r="N469" i="6"/>
  <c r="M469" i="6"/>
  <c r="L469" i="6"/>
  <c r="K469" i="6"/>
  <c r="N468" i="6"/>
  <c r="M468" i="6"/>
  <c r="L468" i="6"/>
  <c r="K468" i="6"/>
  <c r="N467" i="6"/>
  <c r="M467" i="6"/>
  <c r="L467" i="6"/>
  <c r="K467" i="6"/>
  <c r="N466" i="6"/>
  <c r="M466" i="6"/>
  <c r="L466" i="6"/>
  <c r="K466" i="6"/>
  <c r="N465" i="6"/>
  <c r="M465" i="6"/>
  <c r="L465" i="6"/>
  <c r="K465" i="6"/>
  <c r="N464" i="6"/>
  <c r="M464" i="6"/>
  <c r="L464" i="6"/>
  <c r="K464" i="6"/>
  <c r="N463" i="6"/>
  <c r="M463" i="6"/>
  <c r="L463" i="6"/>
  <c r="K463" i="6"/>
  <c r="N462" i="6"/>
  <c r="M462" i="6"/>
  <c r="L462" i="6"/>
  <c r="K462" i="6"/>
  <c r="N461" i="6"/>
  <c r="M461" i="6"/>
  <c r="L461" i="6"/>
  <c r="K461" i="6"/>
  <c r="N460" i="6"/>
  <c r="M460" i="6"/>
  <c r="L460" i="6"/>
  <c r="K460" i="6"/>
  <c r="N459" i="6"/>
  <c r="M459" i="6"/>
  <c r="L459" i="6"/>
  <c r="K459" i="6"/>
  <c r="N458" i="6"/>
  <c r="M458" i="6"/>
  <c r="L458" i="6"/>
  <c r="K458" i="6"/>
  <c r="N457" i="6"/>
  <c r="M457" i="6"/>
  <c r="L457" i="6"/>
  <c r="K457" i="6"/>
  <c r="N456" i="6"/>
  <c r="M456" i="6"/>
  <c r="L456" i="6"/>
  <c r="K456" i="6"/>
  <c r="N455" i="6"/>
  <c r="M455" i="6"/>
  <c r="L455" i="6"/>
  <c r="K455" i="6"/>
  <c r="N454" i="6"/>
  <c r="M454" i="6"/>
  <c r="L454" i="6"/>
  <c r="K454" i="6"/>
  <c r="N453" i="6"/>
  <c r="M453" i="6"/>
  <c r="L453" i="6"/>
  <c r="K453" i="6"/>
  <c r="N452" i="6"/>
  <c r="M452" i="6"/>
  <c r="L452" i="6"/>
  <c r="K452" i="6"/>
  <c r="N451" i="6"/>
  <c r="M451" i="6"/>
  <c r="L451" i="6"/>
  <c r="K451" i="6"/>
  <c r="N450" i="6"/>
  <c r="M450" i="6"/>
  <c r="L450" i="6"/>
  <c r="K450" i="6"/>
  <c r="N449" i="6"/>
  <c r="M449" i="6"/>
  <c r="L449" i="6"/>
  <c r="K449" i="6"/>
  <c r="N448" i="6"/>
  <c r="M448" i="6"/>
  <c r="L448" i="6"/>
  <c r="K448" i="6"/>
  <c r="N447" i="6"/>
  <c r="M447" i="6"/>
  <c r="L447" i="6"/>
  <c r="K447" i="6"/>
  <c r="N446" i="6"/>
  <c r="M446" i="6"/>
  <c r="L446" i="6"/>
  <c r="K446" i="6"/>
  <c r="N445" i="6"/>
  <c r="M445" i="6"/>
  <c r="L445" i="6"/>
  <c r="K445" i="6"/>
  <c r="N444" i="6"/>
  <c r="M444" i="6"/>
  <c r="L444" i="6"/>
  <c r="K444" i="6"/>
  <c r="N443" i="6"/>
  <c r="M443" i="6"/>
  <c r="L443" i="6"/>
  <c r="K443" i="6"/>
  <c r="N442" i="6"/>
  <c r="M442" i="6"/>
  <c r="L442" i="6"/>
  <c r="K442" i="6"/>
  <c r="N441" i="6"/>
  <c r="M441" i="6"/>
  <c r="L441" i="6"/>
  <c r="K441" i="6"/>
  <c r="N440" i="6"/>
  <c r="M440" i="6"/>
  <c r="L440" i="6"/>
  <c r="K440" i="6"/>
  <c r="N439" i="6"/>
  <c r="M439" i="6"/>
  <c r="L439" i="6"/>
  <c r="K439" i="6"/>
  <c r="N438" i="6"/>
  <c r="M438" i="6"/>
  <c r="L438" i="6"/>
  <c r="K438" i="6"/>
  <c r="N437" i="6"/>
  <c r="M437" i="6"/>
  <c r="L437" i="6"/>
  <c r="K437" i="6"/>
  <c r="N436" i="6"/>
  <c r="M436" i="6"/>
  <c r="L436" i="6"/>
  <c r="K436" i="6"/>
  <c r="N435" i="6"/>
  <c r="M435" i="6"/>
  <c r="L435" i="6"/>
  <c r="K435" i="6"/>
  <c r="N434" i="6"/>
  <c r="M434" i="6"/>
  <c r="L434" i="6"/>
  <c r="K434" i="6"/>
  <c r="N433" i="6"/>
  <c r="M433" i="6"/>
  <c r="L433" i="6"/>
  <c r="K433" i="6"/>
  <c r="N432" i="6"/>
  <c r="M432" i="6"/>
  <c r="L432" i="6"/>
  <c r="K432" i="6"/>
  <c r="N431" i="6"/>
  <c r="M431" i="6"/>
  <c r="L431" i="6"/>
  <c r="K431" i="6"/>
  <c r="N430" i="6"/>
  <c r="M430" i="6"/>
  <c r="L430" i="6"/>
  <c r="K430" i="6"/>
  <c r="N429" i="6"/>
  <c r="M429" i="6"/>
  <c r="L429" i="6"/>
  <c r="K429" i="6"/>
  <c r="N428" i="6"/>
  <c r="M428" i="6"/>
  <c r="L428" i="6"/>
  <c r="K428" i="6"/>
  <c r="N427" i="6"/>
  <c r="M427" i="6"/>
  <c r="L427" i="6"/>
  <c r="K427" i="6"/>
  <c r="N426" i="6"/>
  <c r="M426" i="6"/>
  <c r="L426" i="6"/>
  <c r="K426" i="6"/>
  <c r="N425" i="6"/>
  <c r="M425" i="6"/>
  <c r="L425" i="6"/>
  <c r="K425" i="6"/>
  <c r="N424" i="6"/>
  <c r="M424" i="6"/>
  <c r="L424" i="6"/>
  <c r="K424" i="6"/>
  <c r="N423" i="6"/>
  <c r="M423" i="6"/>
  <c r="L423" i="6"/>
  <c r="K423" i="6"/>
  <c r="N422" i="6"/>
  <c r="M422" i="6"/>
  <c r="L422" i="6"/>
  <c r="K422" i="6"/>
  <c r="N421" i="6"/>
  <c r="M421" i="6"/>
  <c r="L421" i="6"/>
  <c r="K421" i="6"/>
  <c r="N420" i="6"/>
  <c r="M420" i="6"/>
  <c r="L420" i="6"/>
  <c r="K420" i="6"/>
  <c r="N419" i="6"/>
  <c r="M419" i="6"/>
  <c r="L419" i="6"/>
  <c r="K419" i="6"/>
  <c r="N418" i="6"/>
  <c r="M418" i="6"/>
  <c r="L418" i="6"/>
  <c r="K418" i="6"/>
  <c r="N417" i="6"/>
  <c r="M417" i="6"/>
  <c r="L417" i="6"/>
  <c r="K417" i="6"/>
  <c r="N416" i="6"/>
  <c r="M416" i="6"/>
  <c r="L416" i="6"/>
  <c r="K416" i="6"/>
  <c r="N415" i="6"/>
  <c r="M415" i="6"/>
  <c r="L415" i="6"/>
  <c r="K415" i="6"/>
  <c r="N414" i="6"/>
  <c r="M414" i="6"/>
  <c r="L414" i="6"/>
  <c r="K414" i="6"/>
  <c r="N413" i="6"/>
  <c r="M413" i="6"/>
  <c r="L413" i="6"/>
  <c r="K413" i="6"/>
  <c r="N412" i="6"/>
  <c r="M412" i="6"/>
  <c r="L412" i="6"/>
  <c r="K412" i="6"/>
  <c r="N411" i="6"/>
  <c r="M411" i="6"/>
  <c r="L411" i="6"/>
  <c r="K411" i="6"/>
  <c r="N410" i="6"/>
  <c r="M410" i="6"/>
  <c r="L410" i="6"/>
  <c r="K410" i="6"/>
  <c r="N409" i="6"/>
  <c r="M409" i="6"/>
  <c r="L409" i="6"/>
  <c r="K409" i="6"/>
  <c r="N408" i="6"/>
  <c r="M408" i="6"/>
  <c r="L408" i="6"/>
  <c r="K408" i="6"/>
  <c r="N407" i="6"/>
  <c r="M407" i="6"/>
  <c r="L407" i="6"/>
  <c r="K407" i="6"/>
  <c r="N406" i="6"/>
  <c r="M406" i="6"/>
  <c r="L406" i="6"/>
  <c r="K406" i="6"/>
  <c r="N405" i="6"/>
  <c r="M405" i="6"/>
  <c r="L405" i="6"/>
  <c r="K405" i="6"/>
  <c r="N404" i="6"/>
  <c r="M404" i="6"/>
  <c r="L404" i="6"/>
  <c r="K404" i="6"/>
  <c r="N403" i="6"/>
  <c r="M403" i="6"/>
  <c r="L403" i="6"/>
  <c r="K403" i="6"/>
  <c r="N402" i="6"/>
  <c r="M402" i="6"/>
  <c r="L402" i="6"/>
  <c r="K402" i="6"/>
  <c r="N401" i="6"/>
  <c r="M401" i="6"/>
  <c r="L401" i="6"/>
  <c r="K401" i="6"/>
  <c r="N400" i="6"/>
  <c r="M400" i="6"/>
  <c r="L400" i="6"/>
  <c r="K400" i="6"/>
  <c r="N399" i="6"/>
  <c r="M399" i="6"/>
  <c r="L399" i="6"/>
  <c r="K399" i="6"/>
  <c r="N398" i="6"/>
  <c r="M398" i="6"/>
  <c r="L398" i="6"/>
  <c r="K398" i="6"/>
  <c r="N397" i="6"/>
  <c r="M397" i="6"/>
  <c r="L397" i="6"/>
  <c r="K397" i="6"/>
  <c r="N396" i="6"/>
  <c r="M396" i="6"/>
  <c r="L396" i="6"/>
  <c r="K396" i="6"/>
  <c r="N395" i="6"/>
  <c r="M395" i="6"/>
  <c r="L395" i="6"/>
  <c r="K395" i="6"/>
  <c r="N394" i="6"/>
  <c r="M394" i="6"/>
  <c r="L394" i="6"/>
  <c r="K394" i="6"/>
  <c r="N393" i="6"/>
  <c r="M393" i="6"/>
  <c r="L393" i="6"/>
  <c r="K393" i="6"/>
  <c r="N392" i="6"/>
  <c r="M392" i="6"/>
  <c r="L392" i="6"/>
  <c r="K392" i="6"/>
  <c r="N391" i="6"/>
  <c r="M391" i="6"/>
  <c r="L391" i="6"/>
  <c r="K391" i="6"/>
  <c r="N390" i="6"/>
  <c r="M390" i="6"/>
  <c r="L390" i="6"/>
  <c r="K390" i="6"/>
  <c r="N389" i="6"/>
  <c r="M389" i="6"/>
  <c r="L389" i="6"/>
  <c r="K389" i="6"/>
  <c r="N388" i="6"/>
  <c r="M388" i="6"/>
  <c r="L388" i="6"/>
  <c r="K388" i="6"/>
  <c r="N387" i="6"/>
  <c r="M387" i="6"/>
  <c r="L387" i="6"/>
  <c r="K387" i="6"/>
  <c r="N386" i="6"/>
  <c r="M386" i="6"/>
  <c r="L386" i="6"/>
  <c r="K386" i="6"/>
  <c r="N385" i="6"/>
  <c r="M385" i="6"/>
  <c r="L385" i="6"/>
  <c r="K385" i="6"/>
  <c r="N384" i="6"/>
  <c r="M384" i="6"/>
  <c r="L384" i="6"/>
  <c r="K384" i="6"/>
  <c r="N383" i="6"/>
  <c r="M383" i="6"/>
  <c r="L383" i="6"/>
  <c r="K383" i="6"/>
  <c r="N382" i="6"/>
  <c r="M382" i="6"/>
  <c r="L382" i="6"/>
  <c r="K382" i="6"/>
  <c r="N381" i="6"/>
  <c r="M381" i="6"/>
  <c r="L381" i="6"/>
  <c r="K381" i="6"/>
  <c r="N380" i="6"/>
  <c r="M380" i="6"/>
  <c r="L380" i="6"/>
  <c r="K380" i="6"/>
  <c r="N379" i="6"/>
  <c r="M379" i="6"/>
  <c r="L379" i="6"/>
  <c r="K379" i="6"/>
  <c r="N378" i="6"/>
  <c r="M378" i="6"/>
  <c r="L378" i="6"/>
  <c r="K378" i="6"/>
  <c r="N377" i="6"/>
  <c r="M377" i="6"/>
  <c r="L377" i="6"/>
  <c r="K377" i="6"/>
  <c r="N376" i="6"/>
  <c r="M376" i="6"/>
  <c r="L376" i="6"/>
  <c r="K376" i="6"/>
  <c r="N375" i="6"/>
  <c r="M375" i="6"/>
  <c r="L375" i="6"/>
  <c r="K375" i="6"/>
  <c r="N374" i="6"/>
  <c r="M374" i="6"/>
  <c r="L374" i="6"/>
  <c r="K374" i="6"/>
  <c r="N373" i="6"/>
  <c r="M373" i="6"/>
  <c r="L373" i="6"/>
  <c r="K373" i="6"/>
  <c r="N372" i="6"/>
  <c r="M372" i="6"/>
  <c r="L372" i="6"/>
  <c r="K372" i="6"/>
  <c r="N371" i="6"/>
  <c r="M371" i="6"/>
  <c r="L371" i="6"/>
  <c r="K371" i="6"/>
  <c r="N370" i="6"/>
  <c r="M370" i="6"/>
  <c r="L370" i="6"/>
  <c r="K370" i="6"/>
  <c r="N369" i="6"/>
  <c r="M369" i="6"/>
  <c r="L369" i="6"/>
  <c r="K369" i="6"/>
  <c r="N368" i="6"/>
  <c r="M368" i="6"/>
  <c r="L368" i="6"/>
  <c r="K368" i="6"/>
  <c r="N367" i="6"/>
  <c r="M367" i="6"/>
  <c r="L367" i="6"/>
  <c r="K367" i="6"/>
  <c r="N366" i="6"/>
  <c r="M366" i="6"/>
  <c r="L366" i="6"/>
  <c r="K366" i="6"/>
  <c r="N365" i="6"/>
  <c r="M365" i="6"/>
  <c r="L365" i="6"/>
  <c r="K365" i="6"/>
  <c r="N364" i="6"/>
  <c r="M364" i="6"/>
  <c r="L364" i="6"/>
  <c r="K364" i="6"/>
  <c r="N363" i="6"/>
  <c r="M363" i="6"/>
  <c r="L363" i="6"/>
  <c r="K363" i="6"/>
  <c r="N362" i="6"/>
  <c r="M362" i="6"/>
  <c r="L362" i="6"/>
  <c r="K362" i="6"/>
  <c r="N361" i="6"/>
  <c r="M361" i="6"/>
  <c r="L361" i="6"/>
  <c r="K361" i="6"/>
  <c r="N360" i="6"/>
  <c r="M360" i="6"/>
  <c r="L360" i="6"/>
  <c r="K360" i="6"/>
  <c r="N359" i="6"/>
  <c r="M359" i="6"/>
  <c r="L359" i="6"/>
  <c r="K359" i="6"/>
  <c r="N358" i="6"/>
  <c r="M358" i="6"/>
  <c r="L358" i="6"/>
  <c r="K358" i="6"/>
  <c r="N357" i="6"/>
  <c r="M357" i="6"/>
  <c r="L357" i="6"/>
  <c r="K357" i="6"/>
  <c r="N356" i="6"/>
  <c r="M356" i="6"/>
  <c r="L356" i="6"/>
  <c r="K356" i="6"/>
  <c r="N355" i="6"/>
  <c r="M355" i="6"/>
  <c r="L355" i="6"/>
  <c r="K355" i="6"/>
  <c r="N354" i="6"/>
  <c r="M354" i="6"/>
  <c r="L354" i="6"/>
  <c r="K354" i="6"/>
  <c r="N353" i="6"/>
  <c r="M353" i="6"/>
  <c r="L353" i="6"/>
  <c r="K353" i="6"/>
  <c r="N352" i="6"/>
  <c r="M352" i="6"/>
  <c r="L352" i="6"/>
  <c r="K352" i="6"/>
  <c r="N351" i="6"/>
  <c r="M351" i="6"/>
  <c r="L351" i="6"/>
  <c r="K351" i="6"/>
  <c r="N350" i="6"/>
  <c r="M350" i="6"/>
  <c r="L350" i="6"/>
  <c r="K350" i="6"/>
  <c r="N349" i="6"/>
  <c r="M349" i="6"/>
  <c r="L349" i="6"/>
  <c r="K349" i="6"/>
  <c r="N348" i="6"/>
  <c r="M348" i="6"/>
  <c r="L348" i="6"/>
  <c r="K348" i="6"/>
  <c r="N347" i="6"/>
  <c r="M347" i="6"/>
  <c r="L347" i="6"/>
  <c r="K347" i="6"/>
  <c r="N346" i="6"/>
  <c r="M346" i="6"/>
  <c r="L346" i="6"/>
  <c r="K346" i="6"/>
  <c r="N345" i="6"/>
  <c r="M345" i="6"/>
  <c r="L345" i="6"/>
  <c r="K345" i="6"/>
  <c r="N344" i="6"/>
  <c r="M344" i="6"/>
  <c r="L344" i="6"/>
  <c r="K344" i="6"/>
  <c r="N343" i="6"/>
  <c r="M343" i="6"/>
  <c r="L343" i="6"/>
  <c r="K343" i="6"/>
  <c r="N342" i="6"/>
  <c r="M342" i="6"/>
  <c r="L342" i="6"/>
  <c r="K342" i="6"/>
  <c r="N341" i="6"/>
  <c r="M341" i="6"/>
  <c r="L341" i="6"/>
  <c r="K341" i="6"/>
  <c r="N340" i="6"/>
  <c r="M340" i="6"/>
  <c r="L340" i="6"/>
  <c r="K340" i="6"/>
  <c r="N339" i="6"/>
  <c r="M339" i="6"/>
  <c r="L339" i="6"/>
  <c r="K339" i="6"/>
  <c r="N338" i="6"/>
  <c r="M338" i="6"/>
  <c r="L338" i="6"/>
  <c r="K338" i="6"/>
  <c r="N337" i="6"/>
  <c r="M337" i="6"/>
  <c r="L337" i="6"/>
  <c r="K337" i="6"/>
  <c r="N336" i="6"/>
  <c r="M336" i="6"/>
  <c r="L336" i="6"/>
  <c r="K336" i="6"/>
  <c r="N335" i="6"/>
  <c r="M335" i="6"/>
  <c r="L335" i="6"/>
  <c r="K335" i="6"/>
  <c r="N334" i="6"/>
  <c r="M334" i="6"/>
  <c r="L334" i="6"/>
  <c r="K334" i="6"/>
  <c r="N333" i="6"/>
  <c r="M333" i="6"/>
  <c r="L333" i="6"/>
  <c r="K333" i="6"/>
  <c r="N332" i="6"/>
  <c r="M332" i="6"/>
  <c r="L332" i="6"/>
  <c r="K332" i="6"/>
  <c r="N331" i="6"/>
  <c r="M331" i="6"/>
  <c r="L331" i="6"/>
  <c r="K331" i="6"/>
  <c r="N330" i="6"/>
  <c r="M330" i="6"/>
  <c r="L330" i="6"/>
  <c r="K330" i="6"/>
  <c r="N329" i="6"/>
  <c r="M329" i="6"/>
  <c r="L329" i="6"/>
  <c r="K329" i="6"/>
  <c r="N328" i="6"/>
  <c r="M328" i="6"/>
  <c r="L328" i="6"/>
  <c r="K328" i="6"/>
  <c r="N327" i="6"/>
  <c r="M327" i="6"/>
  <c r="L327" i="6"/>
  <c r="K327" i="6"/>
  <c r="N326" i="6"/>
  <c r="M326" i="6"/>
  <c r="L326" i="6"/>
  <c r="K326" i="6"/>
  <c r="N325" i="6"/>
  <c r="M325" i="6"/>
  <c r="L325" i="6"/>
  <c r="K325" i="6"/>
  <c r="N324" i="6"/>
  <c r="M324" i="6"/>
  <c r="L324" i="6"/>
  <c r="K324" i="6"/>
  <c r="N323" i="6"/>
  <c r="M323" i="6"/>
  <c r="L323" i="6"/>
  <c r="K323" i="6"/>
  <c r="N322" i="6"/>
  <c r="M322" i="6"/>
  <c r="L322" i="6"/>
  <c r="K322" i="6"/>
  <c r="N321" i="6"/>
  <c r="M321" i="6"/>
  <c r="L321" i="6"/>
  <c r="K321" i="6"/>
  <c r="N320" i="6"/>
  <c r="M320" i="6"/>
  <c r="L320" i="6"/>
  <c r="K320" i="6"/>
  <c r="N319" i="6"/>
  <c r="M319" i="6"/>
  <c r="L319" i="6"/>
  <c r="K319" i="6"/>
  <c r="N318" i="6"/>
  <c r="M318" i="6"/>
  <c r="L318" i="6"/>
  <c r="K318" i="6"/>
  <c r="N317" i="6"/>
  <c r="M317" i="6"/>
  <c r="L317" i="6"/>
  <c r="K317" i="6"/>
  <c r="N316" i="6"/>
  <c r="M316" i="6"/>
  <c r="L316" i="6"/>
  <c r="K316" i="6"/>
  <c r="N315" i="6"/>
  <c r="M315" i="6"/>
  <c r="L315" i="6"/>
  <c r="K315" i="6"/>
  <c r="N314" i="6"/>
  <c r="M314" i="6"/>
  <c r="L314" i="6"/>
  <c r="K314" i="6"/>
  <c r="N313" i="6"/>
  <c r="M313" i="6"/>
  <c r="L313" i="6"/>
  <c r="K313" i="6"/>
  <c r="N312" i="6"/>
  <c r="M312" i="6"/>
  <c r="L312" i="6"/>
  <c r="K312" i="6"/>
  <c r="N311" i="6"/>
  <c r="M311" i="6"/>
  <c r="L311" i="6"/>
  <c r="K311" i="6"/>
  <c r="N310" i="6"/>
  <c r="M310" i="6"/>
  <c r="L310" i="6"/>
  <c r="K310" i="6"/>
  <c r="N309" i="6"/>
  <c r="M309" i="6"/>
  <c r="L309" i="6"/>
  <c r="K309" i="6"/>
  <c r="N308" i="6"/>
  <c r="M308" i="6"/>
  <c r="L308" i="6"/>
  <c r="K308" i="6"/>
  <c r="N307" i="6"/>
  <c r="M307" i="6"/>
  <c r="L307" i="6"/>
  <c r="K307" i="6"/>
  <c r="N306" i="6"/>
  <c r="M306" i="6"/>
  <c r="L306" i="6"/>
  <c r="K306" i="6"/>
  <c r="N305" i="6"/>
  <c r="M305" i="6"/>
  <c r="L305" i="6"/>
  <c r="K305" i="6"/>
  <c r="N304" i="6"/>
  <c r="M304" i="6"/>
  <c r="L304" i="6"/>
  <c r="K304" i="6"/>
  <c r="N303" i="6"/>
  <c r="M303" i="6"/>
  <c r="L303" i="6"/>
  <c r="K303" i="6"/>
  <c r="N302" i="6"/>
  <c r="M302" i="6"/>
  <c r="L302" i="6"/>
  <c r="K302" i="6"/>
  <c r="N301" i="6"/>
  <c r="M301" i="6"/>
  <c r="L301" i="6"/>
  <c r="K301" i="6"/>
  <c r="N300" i="6"/>
  <c r="M300" i="6"/>
  <c r="L300" i="6"/>
  <c r="K300" i="6"/>
  <c r="N299" i="6"/>
  <c r="M299" i="6"/>
  <c r="L299" i="6"/>
  <c r="K299" i="6"/>
  <c r="N298" i="6"/>
  <c r="M298" i="6"/>
  <c r="L298" i="6"/>
  <c r="K298" i="6"/>
  <c r="N297" i="6"/>
  <c r="M297" i="6"/>
  <c r="L297" i="6"/>
  <c r="K297" i="6"/>
  <c r="N296" i="6"/>
  <c r="M296" i="6"/>
  <c r="L296" i="6"/>
  <c r="K296" i="6"/>
  <c r="N295" i="6"/>
  <c r="M295" i="6"/>
  <c r="L295" i="6"/>
  <c r="K295" i="6"/>
  <c r="N294" i="6"/>
  <c r="M294" i="6"/>
  <c r="L294" i="6"/>
  <c r="K294" i="6"/>
  <c r="N293" i="6"/>
  <c r="M293" i="6"/>
  <c r="L293" i="6"/>
  <c r="K293" i="6"/>
  <c r="N292" i="6"/>
  <c r="M292" i="6"/>
  <c r="L292" i="6"/>
  <c r="K292" i="6"/>
  <c r="N291" i="6"/>
  <c r="M291" i="6"/>
  <c r="L291" i="6"/>
  <c r="K291" i="6"/>
  <c r="N290" i="6"/>
  <c r="M290" i="6"/>
  <c r="L290" i="6"/>
  <c r="K290" i="6"/>
  <c r="N289" i="6"/>
  <c r="M289" i="6"/>
  <c r="L289" i="6"/>
  <c r="K289" i="6"/>
  <c r="N288" i="6"/>
  <c r="M288" i="6"/>
  <c r="L288" i="6"/>
  <c r="K288" i="6"/>
  <c r="N287" i="6"/>
  <c r="M287" i="6"/>
  <c r="L287" i="6"/>
  <c r="K287" i="6"/>
  <c r="N286" i="6"/>
  <c r="M286" i="6"/>
  <c r="L286" i="6"/>
  <c r="K286" i="6"/>
  <c r="N285" i="6"/>
  <c r="M285" i="6"/>
  <c r="L285" i="6"/>
  <c r="K285" i="6"/>
  <c r="N284" i="6"/>
  <c r="M284" i="6"/>
  <c r="L284" i="6"/>
  <c r="K284" i="6"/>
  <c r="N283" i="6"/>
  <c r="M283" i="6"/>
  <c r="L283" i="6"/>
  <c r="K283" i="6"/>
  <c r="N282" i="6"/>
  <c r="M282" i="6"/>
  <c r="L282" i="6"/>
  <c r="K282" i="6"/>
  <c r="N281" i="6"/>
  <c r="M281" i="6"/>
  <c r="L281" i="6"/>
  <c r="K281" i="6"/>
  <c r="N280" i="6"/>
  <c r="M280" i="6"/>
  <c r="L280" i="6"/>
  <c r="K280" i="6"/>
  <c r="N279" i="6"/>
  <c r="M279" i="6"/>
  <c r="L279" i="6"/>
  <c r="K279" i="6"/>
  <c r="N278" i="6"/>
  <c r="M278" i="6"/>
  <c r="L278" i="6"/>
  <c r="K278" i="6"/>
  <c r="N277" i="6"/>
  <c r="M277" i="6"/>
  <c r="L277" i="6"/>
  <c r="K277" i="6"/>
  <c r="N276" i="6"/>
  <c r="M276" i="6"/>
  <c r="L276" i="6"/>
  <c r="K276" i="6"/>
  <c r="N275" i="6"/>
  <c r="M275" i="6"/>
  <c r="L275" i="6"/>
  <c r="K275" i="6"/>
  <c r="N274" i="6"/>
  <c r="M274" i="6"/>
  <c r="L274" i="6"/>
  <c r="K274" i="6"/>
  <c r="N273" i="6"/>
  <c r="M273" i="6"/>
  <c r="L273" i="6"/>
  <c r="K273" i="6"/>
  <c r="N272" i="6"/>
  <c r="M272" i="6"/>
  <c r="L272" i="6"/>
  <c r="K272" i="6"/>
  <c r="N271" i="6"/>
  <c r="M271" i="6"/>
  <c r="L271" i="6"/>
  <c r="K271" i="6"/>
  <c r="N270" i="6"/>
  <c r="M270" i="6"/>
  <c r="L270" i="6"/>
  <c r="K270" i="6"/>
  <c r="N269" i="6"/>
  <c r="M269" i="6"/>
  <c r="L269" i="6"/>
  <c r="K269" i="6"/>
  <c r="N268" i="6"/>
  <c r="M268" i="6"/>
  <c r="L268" i="6"/>
  <c r="K268" i="6"/>
  <c r="N267" i="6"/>
  <c r="M267" i="6"/>
  <c r="L267" i="6"/>
  <c r="K267" i="6"/>
  <c r="N266" i="6"/>
  <c r="M266" i="6"/>
  <c r="L266" i="6"/>
  <c r="K266" i="6"/>
  <c r="N265" i="6"/>
  <c r="M265" i="6"/>
  <c r="L265" i="6"/>
  <c r="K265" i="6"/>
  <c r="N264" i="6"/>
  <c r="M264" i="6"/>
  <c r="L264" i="6"/>
  <c r="K264" i="6"/>
  <c r="N263" i="6"/>
  <c r="M263" i="6"/>
  <c r="L263" i="6"/>
  <c r="K263" i="6"/>
  <c r="N262" i="6"/>
  <c r="M262" i="6"/>
  <c r="L262" i="6"/>
  <c r="K262" i="6"/>
  <c r="N261" i="6"/>
  <c r="M261" i="6"/>
  <c r="L261" i="6"/>
  <c r="K261" i="6"/>
  <c r="N260" i="6"/>
  <c r="M260" i="6"/>
  <c r="L260" i="6"/>
  <c r="K260" i="6"/>
  <c r="N259" i="6"/>
  <c r="M259" i="6"/>
  <c r="L259" i="6"/>
  <c r="K259" i="6"/>
  <c r="N258" i="6"/>
  <c r="M258" i="6"/>
  <c r="L258" i="6"/>
  <c r="K258" i="6"/>
  <c r="N257" i="6"/>
  <c r="M257" i="6"/>
  <c r="L257" i="6"/>
  <c r="K257" i="6"/>
  <c r="N256" i="6"/>
  <c r="M256" i="6"/>
  <c r="L256" i="6"/>
  <c r="K256" i="6"/>
  <c r="N255" i="6"/>
  <c r="M255" i="6"/>
  <c r="L255" i="6"/>
  <c r="K255" i="6"/>
  <c r="N254" i="6"/>
  <c r="M254" i="6"/>
  <c r="L254" i="6"/>
  <c r="K254" i="6"/>
  <c r="N253" i="6"/>
  <c r="M253" i="6"/>
  <c r="L253" i="6"/>
  <c r="K253" i="6"/>
  <c r="N252" i="6"/>
  <c r="M252" i="6"/>
  <c r="L252" i="6"/>
  <c r="K252" i="6"/>
  <c r="N251" i="6"/>
  <c r="M251" i="6"/>
  <c r="L251" i="6"/>
  <c r="K251" i="6"/>
  <c r="N250" i="6"/>
  <c r="M250" i="6"/>
  <c r="L250" i="6"/>
  <c r="K250" i="6"/>
  <c r="N249" i="6"/>
  <c r="M249" i="6"/>
  <c r="L249" i="6"/>
  <c r="K249" i="6"/>
  <c r="N248" i="6"/>
  <c r="M248" i="6"/>
  <c r="L248" i="6"/>
  <c r="K248" i="6"/>
  <c r="N247" i="6"/>
  <c r="M247" i="6"/>
  <c r="L247" i="6"/>
  <c r="K247" i="6"/>
  <c r="N246" i="6"/>
  <c r="M246" i="6"/>
  <c r="L246" i="6"/>
  <c r="K246" i="6"/>
  <c r="N245" i="6"/>
  <c r="M245" i="6"/>
  <c r="L245" i="6"/>
  <c r="K245" i="6"/>
  <c r="N244" i="6"/>
  <c r="M244" i="6"/>
  <c r="L244" i="6"/>
  <c r="K244" i="6"/>
  <c r="N243" i="6"/>
  <c r="M243" i="6"/>
  <c r="L243" i="6"/>
  <c r="K243" i="6"/>
  <c r="N242" i="6"/>
  <c r="M242" i="6"/>
  <c r="L242" i="6"/>
  <c r="K242" i="6"/>
  <c r="N241" i="6"/>
  <c r="M241" i="6"/>
  <c r="L241" i="6"/>
  <c r="K241" i="6"/>
  <c r="N240" i="6"/>
  <c r="M240" i="6"/>
  <c r="L240" i="6"/>
  <c r="K240" i="6"/>
  <c r="N239" i="6"/>
  <c r="M239" i="6"/>
  <c r="L239" i="6"/>
  <c r="K239" i="6"/>
  <c r="N238" i="6"/>
  <c r="M238" i="6"/>
  <c r="L238" i="6"/>
  <c r="K238" i="6"/>
  <c r="N237" i="6"/>
  <c r="M237" i="6"/>
  <c r="L237" i="6"/>
  <c r="K237" i="6"/>
  <c r="N236" i="6"/>
  <c r="M236" i="6"/>
  <c r="L236" i="6"/>
  <c r="K236" i="6"/>
  <c r="N235" i="6"/>
  <c r="M235" i="6"/>
  <c r="L235" i="6"/>
  <c r="K235" i="6"/>
  <c r="N234" i="6"/>
  <c r="M234" i="6"/>
  <c r="L234" i="6"/>
  <c r="K234" i="6"/>
  <c r="N233" i="6"/>
  <c r="M233" i="6"/>
  <c r="L233" i="6"/>
  <c r="K233" i="6"/>
  <c r="N232" i="6"/>
  <c r="M232" i="6"/>
  <c r="L232" i="6"/>
  <c r="K232" i="6"/>
  <c r="N231" i="6"/>
  <c r="M231" i="6"/>
  <c r="L231" i="6"/>
  <c r="K231" i="6"/>
  <c r="N230" i="6"/>
  <c r="M230" i="6"/>
  <c r="L230" i="6"/>
  <c r="K230" i="6"/>
  <c r="N229" i="6"/>
  <c r="M229" i="6"/>
  <c r="L229" i="6"/>
  <c r="K229" i="6"/>
  <c r="N228" i="6"/>
  <c r="M228" i="6"/>
  <c r="L228" i="6"/>
  <c r="K228" i="6"/>
  <c r="N227" i="6"/>
  <c r="M227" i="6"/>
  <c r="L227" i="6"/>
  <c r="K227" i="6"/>
  <c r="N226" i="6"/>
  <c r="M226" i="6"/>
  <c r="L226" i="6"/>
  <c r="K226" i="6"/>
  <c r="N225" i="6"/>
  <c r="M225" i="6"/>
  <c r="L225" i="6"/>
  <c r="K225" i="6"/>
  <c r="N224" i="6"/>
  <c r="M224" i="6"/>
  <c r="L224" i="6"/>
  <c r="K224" i="6"/>
  <c r="N223" i="6"/>
  <c r="M223" i="6"/>
  <c r="L223" i="6"/>
  <c r="K223" i="6"/>
  <c r="N222" i="6"/>
  <c r="M222" i="6"/>
  <c r="L222" i="6"/>
  <c r="K222" i="6"/>
  <c r="N221" i="6"/>
  <c r="M221" i="6"/>
  <c r="L221" i="6"/>
  <c r="K221" i="6"/>
  <c r="N220" i="6"/>
  <c r="M220" i="6"/>
  <c r="L220" i="6"/>
  <c r="K220" i="6"/>
  <c r="N219" i="6"/>
  <c r="M219" i="6"/>
  <c r="L219" i="6"/>
  <c r="K219" i="6"/>
  <c r="N218" i="6"/>
  <c r="M218" i="6"/>
  <c r="L218" i="6"/>
  <c r="K218" i="6"/>
  <c r="N217" i="6"/>
  <c r="M217" i="6"/>
  <c r="L217" i="6"/>
  <c r="K217" i="6"/>
  <c r="N216" i="6"/>
  <c r="M216" i="6"/>
  <c r="L216" i="6"/>
  <c r="K216" i="6"/>
  <c r="N215" i="6"/>
  <c r="M215" i="6"/>
  <c r="L215" i="6"/>
  <c r="K215" i="6"/>
  <c r="N214" i="6"/>
  <c r="M214" i="6"/>
  <c r="L214" i="6"/>
  <c r="K214" i="6"/>
  <c r="N213" i="6"/>
  <c r="M213" i="6"/>
  <c r="L213" i="6"/>
  <c r="K213" i="6"/>
  <c r="N212" i="6"/>
  <c r="M212" i="6"/>
  <c r="L212" i="6"/>
  <c r="K212" i="6"/>
  <c r="N211" i="6"/>
  <c r="M211" i="6"/>
  <c r="L211" i="6"/>
  <c r="K211" i="6"/>
  <c r="N210" i="6"/>
  <c r="M210" i="6"/>
  <c r="L210" i="6"/>
  <c r="K210" i="6"/>
  <c r="N209" i="6"/>
  <c r="M209" i="6"/>
  <c r="L209" i="6"/>
  <c r="K209" i="6"/>
  <c r="N208" i="6"/>
  <c r="M208" i="6"/>
  <c r="L208" i="6"/>
  <c r="K208" i="6"/>
  <c r="N207" i="6"/>
  <c r="M207" i="6"/>
  <c r="L207" i="6"/>
  <c r="K207" i="6"/>
  <c r="N206" i="6"/>
  <c r="M206" i="6"/>
  <c r="L206" i="6"/>
  <c r="K206" i="6"/>
  <c r="N205" i="6"/>
  <c r="M205" i="6"/>
  <c r="L205" i="6"/>
  <c r="K205" i="6"/>
  <c r="N204" i="6"/>
  <c r="M204" i="6"/>
  <c r="L204" i="6"/>
  <c r="K204" i="6"/>
  <c r="N203" i="6"/>
  <c r="M203" i="6"/>
  <c r="L203" i="6"/>
  <c r="K203" i="6"/>
  <c r="N202" i="6"/>
  <c r="M202" i="6"/>
  <c r="L202" i="6"/>
  <c r="K202" i="6"/>
  <c r="N201" i="6"/>
  <c r="M201" i="6"/>
  <c r="L201" i="6"/>
  <c r="K201" i="6"/>
  <c r="N200" i="6"/>
  <c r="M200" i="6"/>
  <c r="L200" i="6"/>
  <c r="K200" i="6"/>
  <c r="N199" i="6"/>
  <c r="M199" i="6"/>
  <c r="L199" i="6"/>
  <c r="K199" i="6"/>
  <c r="N198" i="6"/>
  <c r="M198" i="6"/>
  <c r="L198" i="6"/>
  <c r="K198" i="6"/>
  <c r="N197" i="6"/>
  <c r="M197" i="6"/>
  <c r="L197" i="6"/>
  <c r="K197" i="6"/>
  <c r="N196" i="6"/>
  <c r="M196" i="6"/>
  <c r="L196" i="6"/>
  <c r="K196" i="6"/>
  <c r="N195" i="6"/>
  <c r="M195" i="6"/>
  <c r="L195" i="6"/>
  <c r="K195" i="6"/>
  <c r="N194" i="6"/>
  <c r="M194" i="6"/>
  <c r="L194" i="6"/>
  <c r="K194" i="6"/>
  <c r="N193" i="6"/>
  <c r="M193" i="6"/>
  <c r="L193" i="6"/>
  <c r="K193" i="6"/>
  <c r="N192" i="6"/>
  <c r="M192" i="6"/>
  <c r="L192" i="6"/>
  <c r="K192" i="6"/>
  <c r="N191" i="6"/>
  <c r="M191" i="6"/>
  <c r="L191" i="6"/>
  <c r="K191" i="6"/>
  <c r="N190" i="6"/>
  <c r="M190" i="6"/>
  <c r="L190" i="6"/>
  <c r="K190" i="6"/>
  <c r="N189" i="6"/>
  <c r="M189" i="6"/>
  <c r="L189" i="6"/>
  <c r="K189" i="6"/>
  <c r="N188" i="6"/>
  <c r="M188" i="6"/>
  <c r="L188" i="6"/>
  <c r="K188" i="6"/>
  <c r="N187" i="6"/>
  <c r="M187" i="6"/>
  <c r="L187" i="6"/>
  <c r="K187" i="6"/>
  <c r="N186" i="6"/>
  <c r="M186" i="6"/>
  <c r="L186" i="6"/>
  <c r="K186" i="6"/>
  <c r="N185" i="6"/>
  <c r="M185" i="6"/>
  <c r="L185" i="6"/>
  <c r="K185" i="6"/>
  <c r="N184" i="6"/>
  <c r="M184" i="6"/>
  <c r="L184" i="6"/>
  <c r="K184" i="6"/>
  <c r="N183" i="6"/>
  <c r="M183" i="6"/>
  <c r="L183" i="6"/>
  <c r="K183" i="6"/>
  <c r="N182" i="6"/>
  <c r="M182" i="6"/>
  <c r="L182" i="6"/>
  <c r="K182" i="6"/>
  <c r="N181" i="6"/>
  <c r="M181" i="6"/>
  <c r="L181" i="6"/>
  <c r="K181" i="6"/>
  <c r="N180" i="6"/>
  <c r="M180" i="6"/>
  <c r="L180" i="6"/>
  <c r="K180" i="6"/>
  <c r="N179" i="6"/>
  <c r="M179" i="6"/>
  <c r="L179" i="6"/>
  <c r="K179" i="6"/>
  <c r="N178" i="6"/>
  <c r="M178" i="6"/>
  <c r="L178" i="6"/>
  <c r="K178" i="6"/>
  <c r="N177" i="6"/>
  <c r="M177" i="6"/>
  <c r="L177" i="6"/>
  <c r="K177" i="6"/>
  <c r="N176" i="6"/>
  <c r="M176" i="6"/>
  <c r="L176" i="6"/>
  <c r="K176" i="6"/>
  <c r="N175" i="6"/>
  <c r="M175" i="6"/>
  <c r="L175" i="6"/>
  <c r="K175" i="6"/>
  <c r="N174" i="6"/>
  <c r="M174" i="6"/>
  <c r="L174" i="6"/>
  <c r="K174" i="6"/>
  <c r="N173" i="6"/>
  <c r="M173" i="6"/>
  <c r="L173" i="6"/>
  <c r="K173" i="6"/>
  <c r="N172" i="6"/>
  <c r="M172" i="6"/>
  <c r="L172" i="6"/>
  <c r="K172" i="6"/>
  <c r="N171" i="6"/>
  <c r="M171" i="6"/>
  <c r="L171" i="6"/>
  <c r="K171" i="6"/>
  <c r="N170" i="6"/>
  <c r="M170" i="6"/>
  <c r="L170" i="6"/>
  <c r="K170" i="6"/>
  <c r="N169" i="6"/>
  <c r="M169" i="6"/>
  <c r="L169" i="6"/>
  <c r="K169" i="6"/>
  <c r="N168" i="6"/>
  <c r="M168" i="6"/>
  <c r="L168" i="6"/>
  <c r="K168" i="6"/>
  <c r="N167" i="6"/>
  <c r="M167" i="6"/>
  <c r="L167" i="6"/>
  <c r="K167" i="6"/>
  <c r="N166" i="6"/>
  <c r="M166" i="6"/>
  <c r="L166" i="6"/>
  <c r="K166" i="6"/>
  <c r="N165" i="6"/>
  <c r="M165" i="6"/>
  <c r="L165" i="6"/>
  <c r="K165" i="6"/>
  <c r="N164" i="6"/>
  <c r="M164" i="6"/>
  <c r="L164" i="6"/>
  <c r="K164" i="6"/>
  <c r="N163" i="6"/>
  <c r="M163" i="6"/>
  <c r="L163" i="6"/>
  <c r="K163" i="6"/>
  <c r="N162" i="6"/>
  <c r="M162" i="6"/>
  <c r="L162" i="6"/>
  <c r="K162" i="6"/>
  <c r="N161" i="6"/>
  <c r="M161" i="6"/>
  <c r="L161" i="6"/>
  <c r="K161" i="6"/>
  <c r="N160" i="6"/>
  <c r="M160" i="6"/>
  <c r="L160" i="6"/>
  <c r="K160" i="6"/>
  <c r="N159" i="6"/>
  <c r="M159" i="6"/>
  <c r="L159" i="6"/>
  <c r="K159" i="6"/>
  <c r="N158" i="6"/>
  <c r="M158" i="6"/>
  <c r="L158" i="6"/>
  <c r="K158" i="6"/>
  <c r="N157" i="6"/>
  <c r="M157" i="6"/>
  <c r="L157" i="6"/>
  <c r="K157" i="6"/>
  <c r="N156" i="6"/>
  <c r="M156" i="6"/>
  <c r="L156" i="6"/>
  <c r="K156" i="6"/>
  <c r="N155" i="6"/>
  <c r="M155" i="6"/>
  <c r="L155" i="6"/>
  <c r="K155" i="6"/>
  <c r="N154" i="6"/>
  <c r="M154" i="6"/>
  <c r="L154" i="6"/>
  <c r="K154" i="6"/>
  <c r="N153" i="6"/>
  <c r="M153" i="6"/>
  <c r="L153" i="6"/>
  <c r="K153" i="6"/>
  <c r="N152" i="6"/>
  <c r="M152" i="6"/>
  <c r="L152" i="6"/>
  <c r="K152" i="6"/>
  <c r="N151" i="6"/>
  <c r="M151" i="6"/>
  <c r="L151" i="6"/>
  <c r="K151" i="6"/>
  <c r="N150" i="6"/>
  <c r="M150" i="6"/>
  <c r="L150" i="6"/>
  <c r="K150" i="6"/>
  <c r="N149" i="6"/>
  <c r="M149" i="6"/>
  <c r="L149" i="6"/>
  <c r="K149" i="6"/>
  <c r="N148" i="6"/>
  <c r="M148" i="6"/>
  <c r="L148" i="6"/>
  <c r="K148" i="6"/>
  <c r="N147" i="6"/>
  <c r="M147" i="6"/>
  <c r="L147" i="6"/>
  <c r="K147" i="6"/>
  <c r="N146" i="6"/>
  <c r="M146" i="6"/>
  <c r="L146" i="6"/>
  <c r="K146" i="6"/>
  <c r="N145" i="6"/>
  <c r="M145" i="6"/>
  <c r="L145" i="6"/>
  <c r="K145" i="6"/>
  <c r="N144" i="6"/>
  <c r="M144" i="6"/>
  <c r="L144" i="6"/>
  <c r="K144" i="6"/>
  <c r="N143" i="6"/>
  <c r="M143" i="6"/>
  <c r="L143" i="6"/>
  <c r="K143" i="6"/>
  <c r="N142" i="6"/>
  <c r="M142" i="6"/>
  <c r="L142" i="6"/>
  <c r="K142" i="6"/>
  <c r="N141" i="6"/>
  <c r="M141" i="6"/>
  <c r="L141" i="6"/>
  <c r="K141" i="6"/>
  <c r="N140" i="6"/>
  <c r="M140" i="6"/>
  <c r="L140" i="6"/>
  <c r="K140" i="6"/>
  <c r="N139" i="6"/>
  <c r="M139" i="6"/>
  <c r="L139" i="6"/>
  <c r="K139" i="6"/>
  <c r="N138" i="6"/>
  <c r="M138" i="6"/>
  <c r="L138" i="6"/>
  <c r="K138" i="6"/>
  <c r="N137" i="6"/>
  <c r="M137" i="6"/>
  <c r="L137" i="6"/>
  <c r="K137" i="6"/>
  <c r="N136" i="6"/>
  <c r="M136" i="6"/>
  <c r="L136" i="6"/>
  <c r="K136" i="6"/>
  <c r="N135" i="6"/>
  <c r="M135" i="6"/>
  <c r="L135" i="6"/>
  <c r="K135" i="6"/>
  <c r="N134" i="6"/>
  <c r="M134" i="6"/>
  <c r="L134" i="6"/>
  <c r="K134" i="6"/>
  <c r="N133" i="6"/>
  <c r="M133" i="6"/>
  <c r="L133" i="6"/>
  <c r="K133" i="6"/>
  <c r="N132" i="6"/>
  <c r="M132" i="6"/>
  <c r="L132" i="6"/>
  <c r="K132" i="6"/>
  <c r="N131" i="6"/>
  <c r="M131" i="6"/>
  <c r="L131" i="6"/>
  <c r="K131" i="6"/>
  <c r="N130" i="6"/>
  <c r="M130" i="6"/>
  <c r="L130" i="6"/>
  <c r="K130" i="6"/>
  <c r="N129" i="6"/>
  <c r="M129" i="6"/>
  <c r="L129" i="6"/>
  <c r="K129" i="6"/>
  <c r="N128" i="6"/>
  <c r="M128" i="6"/>
  <c r="L128" i="6"/>
  <c r="K128" i="6"/>
  <c r="N127" i="6"/>
  <c r="M127" i="6"/>
  <c r="L127" i="6"/>
  <c r="K127" i="6"/>
  <c r="N126" i="6"/>
  <c r="M126" i="6"/>
  <c r="L126" i="6"/>
  <c r="K126" i="6"/>
  <c r="N125" i="6"/>
  <c r="M125" i="6"/>
  <c r="L125" i="6"/>
  <c r="K125" i="6"/>
  <c r="N124" i="6"/>
  <c r="M124" i="6"/>
  <c r="L124" i="6"/>
  <c r="K124" i="6"/>
  <c r="N123" i="6"/>
  <c r="M123" i="6"/>
  <c r="L123" i="6"/>
  <c r="K123" i="6"/>
  <c r="N122" i="6"/>
  <c r="M122" i="6"/>
  <c r="L122" i="6"/>
  <c r="K122" i="6"/>
  <c r="N121" i="6"/>
  <c r="M121" i="6"/>
  <c r="L121" i="6"/>
  <c r="K121" i="6"/>
  <c r="N120" i="6"/>
  <c r="M120" i="6"/>
  <c r="L120" i="6"/>
  <c r="K120" i="6"/>
  <c r="N119" i="6"/>
  <c r="M119" i="6"/>
  <c r="L119" i="6"/>
  <c r="K119" i="6"/>
  <c r="N118" i="6"/>
  <c r="M118" i="6"/>
  <c r="L118" i="6"/>
  <c r="K118" i="6"/>
  <c r="N117" i="6"/>
  <c r="M117" i="6"/>
  <c r="L117" i="6"/>
  <c r="K117" i="6"/>
  <c r="N116" i="6"/>
  <c r="M116" i="6"/>
  <c r="L116" i="6"/>
  <c r="K116" i="6"/>
  <c r="N115" i="6"/>
  <c r="M115" i="6"/>
  <c r="L115" i="6"/>
  <c r="K115" i="6"/>
  <c r="N114" i="6"/>
  <c r="M114" i="6"/>
  <c r="L114" i="6"/>
  <c r="K114" i="6"/>
  <c r="N113" i="6"/>
  <c r="M113" i="6"/>
  <c r="L113" i="6"/>
  <c r="K113" i="6"/>
  <c r="N112" i="6"/>
  <c r="M112" i="6"/>
  <c r="L112" i="6"/>
  <c r="K112" i="6"/>
  <c r="N111" i="6"/>
  <c r="M111" i="6"/>
  <c r="L111" i="6"/>
  <c r="K111" i="6"/>
  <c r="N110" i="6"/>
  <c r="M110" i="6"/>
  <c r="L110" i="6"/>
  <c r="K110" i="6"/>
  <c r="N109" i="6"/>
  <c r="M109" i="6"/>
  <c r="L109" i="6"/>
  <c r="K109" i="6"/>
  <c r="N108" i="6"/>
  <c r="M108" i="6"/>
  <c r="L108" i="6"/>
  <c r="K108" i="6"/>
  <c r="N107" i="6"/>
  <c r="M107" i="6"/>
  <c r="L107" i="6"/>
  <c r="K107" i="6"/>
  <c r="N106" i="6"/>
  <c r="M106" i="6"/>
  <c r="L106" i="6"/>
  <c r="K106" i="6"/>
  <c r="N105" i="6"/>
  <c r="M105" i="6"/>
  <c r="L105" i="6"/>
  <c r="K105" i="6"/>
  <c r="N104" i="6"/>
  <c r="M104" i="6"/>
  <c r="L104" i="6"/>
  <c r="K104" i="6"/>
  <c r="N103" i="6"/>
  <c r="M103" i="6"/>
  <c r="L103" i="6"/>
  <c r="K103" i="6"/>
  <c r="N102" i="6"/>
  <c r="M102" i="6"/>
  <c r="L102" i="6"/>
  <c r="K102" i="6"/>
  <c r="N101" i="6"/>
  <c r="M101" i="6"/>
  <c r="L101" i="6"/>
  <c r="K101" i="6"/>
  <c r="N100" i="6"/>
  <c r="M100" i="6"/>
  <c r="L100" i="6"/>
  <c r="K100" i="6"/>
  <c r="N99" i="6"/>
  <c r="M99" i="6"/>
  <c r="L99" i="6"/>
  <c r="K99" i="6"/>
  <c r="N98" i="6"/>
  <c r="M98" i="6"/>
  <c r="L98" i="6"/>
  <c r="K98" i="6"/>
  <c r="N97" i="6"/>
  <c r="M97" i="6"/>
  <c r="L97" i="6"/>
  <c r="K97" i="6"/>
  <c r="N96" i="6"/>
  <c r="M96" i="6"/>
  <c r="L96" i="6"/>
  <c r="K96" i="6"/>
  <c r="N95" i="6"/>
  <c r="M95" i="6"/>
  <c r="L95" i="6"/>
  <c r="K95" i="6"/>
  <c r="N94" i="6"/>
  <c r="M94" i="6"/>
  <c r="L94" i="6"/>
  <c r="K94" i="6"/>
  <c r="N93" i="6"/>
  <c r="M93" i="6"/>
  <c r="L93" i="6"/>
  <c r="K93" i="6"/>
  <c r="N92" i="6"/>
  <c r="M92" i="6"/>
  <c r="L92" i="6"/>
  <c r="K92" i="6"/>
  <c r="N91" i="6"/>
  <c r="M91" i="6"/>
  <c r="L91" i="6"/>
  <c r="K91" i="6"/>
  <c r="N90" i="6"/>
  <c r="M90" i="6"/>
  <c r="L90" i="6"/>
  <c r="K90" i="6"/>
  <c r="N89" i="6"/>
  <c r="M89" i="6"/>
  <c r="L89" i="6"/>
  <c r="K89" i="6"/>
  <c r="N88" i="6"/>
  <c r="M88" i="6"/>
  <c r="L88" i="6"/>
  <c r="K88" i="6"/>
  <c r="N87" i="6"/>
  <c r="M87" i="6"/>
  <c r="L87" i="6"/>
  <c r="K87" i="6"/>
  <c r="N86" i="6"/>
  <c r="M86" i="6"/>
  <c r="L86" i="6"/>
  <c r="K86" i="6"/>
  <c r="N85" i="6"/>
  <c r="M85" i="6"/>
  <c r="L85" i="6"/>
  <c r="K85" i="6"/>
  <c r="N84" i="6"/>
  <c r="M84" i="6"/>
  <c r="L84" i="6"/>
  <c r="K84" i="6"/>
  <c r="N83" i="6"/>
  <c r="M83" i="6"/>
  <c r="L83" i="6"/>
  <c r="K83" i="6"/>
  <c r="N82" i="6"/>
  <c r="M82" i="6"/>
  <c r="L82" i="6"/>
  <c r="K82" i="6"/>
  <c r="N81" i="6"/>
  <c r="M81" i="6"/>
  <c r="L81" i="6"/>
  <c r="K81" i="6"/>
  <c r="N80" i="6"/>
  <c r="M80" i="6"/>
  <c r="L80" i="6"/>
  <c r="K80" i="6"/>
  <c r="N79" i="6"/>
  <c r="M79" i="6"/>
  <c r="L79" i="6"/>
  <c r="K79" i="6"/>
  <c r="N78" i="6"/>
  <c r="M78" i="6"/>
  <c r="L78" i="6"/>
  <c r="K78" i="6"/>
  <c r="N77" i="6"/>
  <c r="M77" i="6"/>
  <c r="L77" i="6"/>
  <c r="K77" i="6"/>
  <c r="N76" i="6"/>
  <c r="M76" i="6"/>
  <c r="L76" i="6"/>
  <c r="K76" i="6"/>
  <c r="N75" i="6"/>
  <c r="M75" i="6"/>
  <c r="L75" i="6"/>
  <c r="K75" i="6"/>
  <c r="N74" i="6"/>
  <c r="M74" i="6"/>
  <c r="L74" i="6"/>
  <c r="K74" i="6"/>
  <c r="N73" i="6"/>
  <c r="M73" i="6"/>
  <c r="L73" i="6"/>
  <c r="K73" i="6"/>
  <c r="N72" i="6"/>
  <c r="M72" i="6"/>
  <c r="L72" i="6"/>
  <c r="K72" i="6"/>
  <c r="N71" i="6"/>
  <c r="M71" i="6"/>
  <c r="L71" i="6"/>
  <c r="K71" i="6"/>
  <c r="N70" i="6"/>
  <c r="M70" i="6"/>
  <c r="L70" i="6"/>
  <c r="K70" i="6"/>
  <c r="N69" i="6"/>
  <c r="M69" i="6"/>
  <c r="L69" i="6"/>
  <c r="K69" i="6"/>
  <c r="N68" i="6"/>
  <c r="M68" i="6"/>
  <c r="L68" i="6"/>
  <c r="K68" i="6"/>
  <c r="N67" i="6"/>
  <c r="M67" i="6"/>
  <c r="L67" i="6"/>
  <c r="K67" i="6"/>
  <c r="N66" i="6"/>
  <c r="M66" i="6"/>
  <c r="L66" i="6"/>
  <c r="K66" i="6"/>
  <c r="N65" i="6"/>
  <c r="M65" i="6"/>
  <c r="L65" i="6"/>
  <c r="K65" i="6"/>
  <c r="N64" i="6"/>
  <c r="M64" i="6"/>
  <c r="L64" i="6"/>
  <c r="K64" i="6"/>
  <c r="N63" i="6"/>
  <c r="M63" i="6"/>
  <c r="L63" i="6"/>
  <c r="K63" i="6"/>
  <c r="N62" i="6"/>
  <c r="M62" i="6"/>
  <c r="L62" i="6"/>
  <c r="K62" i="6"/>
  <c r="N61" i="6"/>
  <c r="M61" i="6"/>
  <c r="L61" i="6"/>
  <c r="K61" i="6"/>
  <c r="N60" i="6"/>
  <c r="M60" i="6"/>
  <c r="L60" i="6"/>
  <c r="K60" i="6"/>
  <c r="N59" i="6"/>
  <c r="M59" i="6"/>
  <c r="L59" i="6"/>
  <c r="K59" i="6"/>
  <c r="N58" i="6"/>
  <c r="M58" i="6"/>
  <c r="L58" i="6"/>
  <c r="K58" i="6"/>
  <c r="N57" i="6"/>
  <c r="M57" i="6"/>
  <c r="L57" i="6"/>
  <c r="K57" i="6"/>
  <c r="N56" i="6"/>
  <c r="M56" i="6"/>
  <c r="L56" i="6"/>
  <c r="K56" i="6"/>
  <c r="N55" i="6"/>
  <c r="M55" i="6"/>
  <c r="L55" i="6"/>
  <c r="K55" i="6"/>
  <c r="N54" i="6"/>
  <c r="M54" i="6"/>
  <c r="L54" i="6"/>
  <c r="K54" i="6"/>
  <c r="N53" i="6"/>
  <c r="M53" i="6"/>
  <c r="L53" i="6"/>
  <c r="K53" i="6"/>
  <c r="N52" i="6"/>
  <c r="M52" i="6"/>
  <c r="L52" i="6"/>
  <c r="K52" i="6"/>
  <c r="N51" i="6"/>
  <c r="M51" i="6"/>
  <c r="L51" i="6"/>
  <c r="K51" i="6"/>
  <c r="N50" i="6"/>
  <c r="M50" i="6"/>
  <c r="L50" i="6"/>
  <c r="K50" i="6"/>
  <c r="N49" i="6"/>
  <c r="M49" i="6"/>
  <c r="L49" i="6"/>
  <c r="K49" i="6"/>
  <c r="N48" i="6"/>
  <c r="M48" i="6"/>
  <c r="L48" i="6"/>
  <c r="K48" i="6"/>
  <c r="N47" i="6"/>
  <c r="M47" i="6"/>
  <c r="L47" i="6"/>
  <c r="K47" i="6"/>
  <c r="N46" i="6"/>
  <c r="M46" i="6"/>
  <c r="L46" i="6"/>
  <c r="K46" i="6"/>
  <c r="N45" i="6"/>
  <c r="M45" i="6"/>
  <c r="L45" i="6"/>
  <c r="K45" i="6"/>
  <c r="N44" i="6"/>
  <c r="M44" i="6"/>
  <c r="L44" i="6"/>
  <c r="K44" i="6"/>
  <c r="N43" i="6"/>
  <c r="M43" i="6"/>
  <c r="L43" i="6"/>
  <c r="K43" i="6"/>
  <c r="N42" i="6"/>
  <c r="M42" i="6"/>
  <c r="L42" i="6"/>
  <c r="K42" i="6"/>
  <c r="N41" i="6"/>
  <c r="M41" i="6"/>
  <c r="L41" i="6"/>
  <c r="K41" i="6"/>
  <c r="N40" i="6"/>
  <c r="M40" i="6"/>
  <c r="L40" i="6"/>
  <c r="K40" i="6"/>
  <c r="N39" i="6"/>
  <c r="M39" i="6"/>
  <c r="L39" i="6"/>
  <c r="K39" i="6"/>
  <c r="N38" i="6"/>
  <c r="M38" i="6"/>
  <c r="L38" i="6"/>
  <c r="K38" i="6"/>
  <c r="N37" i="6"/>
  <c r="M37" i="6"/>
  <c r="L37" i="6"/>
  <c r="K37" i="6"/>
  <c r="N36" i="6"/>
  <c r="M36" i="6"/>
  <c r="L36" i="6"/>
  <c r="K36" i="6"/>
  <c r="N35" i="6"/>
  <c r="M35" i="6"/>
  <c r="L35" i="6"/>
  <c r="K35" i="6"/>
  <c r="N34" i="6"/>
  <c r="M34" i="6"/>
  <c r="L34" i="6"/>
  <c r="K34" i="6"/>
  <c r="N33" i="6"/>
  <c r="M33" i="6"/>
  <c r="L33" i="6"/>
  <c r="K33" i="6"/>
  <c r="N32" i="6"/>
  <c r="M32" i="6"/>
  <c r="L32" i="6"/>
  <c r="K32" i="6"/>
  <c r="N31" i="6"/>
  <c r="M31" i="6"/>
  <c r="L31" i="6"/>
  <c r="K31" i="6"/>
  <c r="N30" i="6"/>
  <c r="M30" i="6"/>
  <c r="L30" i="6"/>
  <c r="K30" i="6"/>
  <c r="N29" i="6"/>
  <c r="M29" i="6"/>
  <c r="L29" i="6"/>
  <c r="K29" i="6"/>
  <c r="N28" i="6"/>
  <c r="M28" i="6"/>
  <c r="L28" i="6"/>
  <c r="K28" i="6"/>
  <c r="N27" i="6"/>
  <c r="M27" i="6"/>
  <c r="L27" i="6"/>
  <c r="K27" i="6"/>
  <c r="N26" i="6"/>
  <c r="M26" i="6"/>
  <c r="L26" i="6"/>
  <c r="K26" i="6"/>
  <c r="N25" i="6"/>
  <c r="M25" i="6"/>
  <c r="L25" i="6"/>
  <c r="K25" i="6"/>
  <c r="N24" i="6"/>
  <c r="M24" i="6"/>
  <c r="L24" i="6"/>
  <c r="K24" i="6"/>
  <c r="N23" i="6"/>
  <c r="M23" i="6"/>
  <c r="L23" i="6"/>
  <c r="K23" i="6"/>
  <c r="N22" i="6"/>
  <c r="M22" i="6"/>
  <c r="L22" i="6"/>
  <c r="K22" i="6"/>
  <c r="N21" i="6"/>
  <c r="M21" i="6"/>
  <c r="L21" i="6"/>
  <c r="K21" i="6"/>
  <c r="N20" i="6"/>
  <c r="M20" i="6"/>
  <c r="L20" i="6"/>
  <c r="K20" i="6"/>
  <c r="N19" i="6"/>
  <c r="M19" i="6"/>
  <c r="L19" i="6"/>
  <c r="K19" i="6"/>
  <c r="N18" i="6"/>
  <c r="M18" i="6"/>
  <c r="L18" i="6"/>
  <c r="K18" i="6"/>
  <c r="N17" i="6"/>
  <c r="M17" i="6"/>
  <c r="L17" i="6"/>
  <c r="K17" i="6"/>
  <c r="N16" i="6"/>
  <c r="M16" i="6"/>
  <c r="L16" i="6"/>
  <c r="K16" i="6"/>
  <c r="N15" i="6"/>
  <c r="M15" i="6"/>
  <c r="L15" i="6"/>
  <c r="K15" i="6"/>
  <c r="N14" i="6"/>
  <c r="M14" i="6"/>
  <c r="L14" i="6"/>
  <c r="K14" i="6"/>
  <c r="O13" i="6"/>
  <c r="N13" i="6"/>
  <c r="L13" i="6"/>
  <c r="K13" i="6"/>
  <c r="O12" i="6"/>
  <c r="N12" i="6"/>
  <c r="L12" i="6"/>
  <c r="M12" i="6" s="1"/>
  <c r="P12" i="6" s="1"/>
  <c r="K12" i="6"/>
  <c r="O11" i="6"/>
  <c r="N11" i="6"/>
  <c r="L11" i="6"/>
  <c r="K11" i="6"/>
  <c r="M11" i="6" s="1"/>
  <c r="P11" i="6" s="1"/>
  <c r="O10" i="6"/>
  <c r="N10" i="6"/>
  <c r="M10" i="6"/>
  <c r="P10" i="6" s="1"/>
  <c r="L10" i="6"/>
  <c r="K10" i="6"/>
  <c r="O9" i="6"/>
  <c r="N9" i="6"/>
  <c r="L9" i="6"/>
  <c r="K9" i="6"/>
  <c r="O8" i="6"/>
  <c r="N8" i="6"/>
  <c r="L8" i="6"/>
  <c r="M8" i="6" s="1"/>
  <c r="P8" i="6" s="1"/>
  <c r="K8" i="6"/>
  <c r="O7" i="6"/>
  <c r="N7" i="6"/>
  <c r="L7" i="6"/>
  <c r="K7" i="6"/>
  <c r="M7" i="6" s="1"/>
  <c r="P7" i="6" s="1"/>
  <c r="O6" i="6"/>
  <c r="N6" i="6"/>
  <c r="M6" i="6"/>
  <c r="P6" i="6" s="1"/>
  <c r="L6" i="6"/>
  <c r="K6" i="6"/>
  <c r="O5" i="6"/>
  <c r="N5" i="6"/>
  <c r="L5" i="6"/>
  <c r="K5" i="6"/>
  <c r="O4" i="6"/>
  <c r="N4" i="6"/>
  <c r="M4" i="6"/>
  <c r="P4" i="6" s="1"/>
  <c r="L4" i="6"/>
  <c r="K4" i="6"/>
  <c r="O3" i="6"/>
  <c r="N3" i="6"/>
  <c r="L3" i="6"/>
  <c r="K3" i="6"/>
  <c r="M3" i="6" s="1"/>
  <c r="P3" i="6" s="1"/>
  <c r="O2" i="6"/>
  <c r="N2" i="6"/>
  <c r="M2" i="6"/>
  <c r="L2" i="6"/>
  <c r="K2" i="6"/>
  <c r="F25" i="4"/>
  <c r="E25" i="4"/>
  <c r="D25" i="4"/>
  <c r="C25" i="4"/>
  <c r="B25" i="4"/>
  <c r="A25" i="4"/>
  <c r="C13" i="4"/>
  <c r="C12" i="4"/>
  <c r="C7" i="4"/>
  <c r="C6" i="4"/>
  <c r="E6" i="4" s="1"/>
  <c r="F4" i="4"/>
  <c r="C4" i="4"/>
  <c r="F3" i="4"/>
  <c r="C3" i="4"/>
  <c r="F2" i="4"/>
  <c r="C2" i="4"/>
  <c r="F1" i="4"/>
  <c r="QU29" i="3"/>
  <c r="KQ29" i="3"/>
  <c r="MD28" i="3"/>
  <c r="KP28" i="3"/>
  <c r="FZ28" i="3"/>
  <c r="BJ28" i="3"/>
  <c r="AZ28" i="3"/>
  <c r="AY28" i="3"/>
  <c r="AP28" i="3"/>
  <c r="AF28" i="3"/>
  <c r="Y28" i="3"/>
  <c r="V28" i="3"/>
  <c r="RR26" i="3"/>
  <c r="RO26" i="3"/>
  <c r="RH26" i="3"/>
  <c r="RE26" i="3"/>
  <c r="QX26" i="3"/>
  <c r="QU26" i="3"/>
  <c r="QN26" i="3"/>
  <c r="QK26" i="3"/>
  <c r="QD26" i="3"/>
  <c r="QA26" i="3"/>
  <c r="PT26" i="3"/>
  <c r="PQ26" i="3"/>
  <c r="PJ26" i="3"/>
  <c r="PG26" i="3"/>
  <c r="OZ26" i="3"/>
  <c r="OW26" i="3"/>
  <c r="OS26" i="3"/>
  <c r="OP26" i="3"/>
  <c r="OM26" i="3"/>
  <c r="OF26" i="3"/>
  <c r="OC26" i="3"/>
  <c r="NV26" i="3"/>
  <c r="NS26" i="3"/>
  <c r="NL26" i="3"/>
  <c r="NI26" i="3"/>
  <c r="NB26" i="3"/>
  <c r="MY26" i="3"/>
  <c r="MR26" i="3"/>
  <c r="MO26" i="3"/>
  <c r="MH26" i="3"/>
  <c r="ME26" i="3"/>
  <c r="LX26" i="3"/>
  <c r="LU26" i="3"/>
  <c r="LN26" i="3"/>
  <c r="LK26" i="3"/>
  <c r="LD26" i="3"/>
  <c r="LA26" i="3"/>
  <c r="KT26" i="3"/>
  <c r="KQ26" i="3"/>
  <c r="KJ26" i="3"/>
  <c r="KG26" i="3"/>
  <c r="JZ26" i="3"/>
  <c r="JW26" i="3"/>
  <c r="JP26" i="3"/>
  <c r="JM26" i="3"/>
  <c r="JF26" i="3"/>
  <c r="JC26" i="3"/>
  <c r="IV26" i="3"/>
  <c r="IS26" i="3"/>
  <c r="IO26" i="3"/>
  <c r="IL26" i="3"/>
  <c r="II26" i="3"/>
  <c r="IB26" i="3"/>
  <c r="HY26" i="3"/>
  <c r="HR26" i="3"/>
  <c r="HO26" i="3"/>
  <c r="HH26" i="3"/>
  <c r="HE26" i="3"/>
  <c r="GX26" i="3"/>
  <c r="GU26" i="3"/>
  <c r="GN26" i="3"/>
  <c r="GK26" i="3"/>
  <c r="GD26" i="3"/>
  <c r="GA26" i="3"/>
  <c r="FT26" i="3"/>
  <c r="FQ26" i="3"/>
  <c r="FJ26" i="3"/>
  <c r="FG26" i="3"/>
  <c r="EZ26" i="3"/>
  <c r="EW26" i="3"/>
  <c r="EP26" i="3"/>
  <c r="EM26" i="3"/>
  <c r="EF26" i="3"/>
  <c r="EC26" i="3"/>
  <c r="DV26" i="3"/>
  <c r="DS26" i="3"/>
  <c r="DL26" i="3"/>
  <c r="DI26" i="3"/>
  <c r="DB26" i="3"/>
  <c r="CY26" i="3"/>
  <c r="CR26" i="3"/>
  <c r="CO26" i="3"/>
  <c r="CK26" i="3"/>
  <c r="CH26" i="3"/>
  <c r="CE26" i="3"/>
  <c r="BX26" i="3"/>
  <c r="BU26" i="3"/>
  <c r="BN26" i="3"/>
  <c r="BK26" i="3"/>
  <c r="BD26" i="3"/>
  <c r="BA26" i="3"/>
  <c r="AT26" i="3"/>
  <c r="AQ26" i="3"/>
  <c r="AJ26" i="3"/>
  <c r="AG26" i="3"/>
  <c r="RU25" i="3"/>
  <c r="RK25" i="3"/>
  <c r="RA25" i="3"/>
  <c r="QQ25" i="3"/>
  <c r="QG25" i="3"/>
  <c r="PW25" i="3"/>
  <c r="PM25" i="3"/>
  <c r="PC25" i="3"/>
  <c r="OS25" i="3"/>
  <c r="OI25" i="3"/>
  <c r="NY25" i="3"/>
  <c r="NO25" i="3"/>
  <c r="NO26" i="3" s="1"/>
  <c r="NE25" i="3"/>
  <c r="MU25" i="3"/>
  <c r="MK25" i="3"/>
  <c r="MA25" i="3"/>
  <c r="MA26" i="3" s="1"/>
  <c r="LQ25" i="3"/>
  <c r="LG25" i="3"/>
  <c r="KW25" i="3"/>
  <c r="KM25" i="3"/>
  <c r="KC25" i="3"/>
  <c r="JS25" i="3"/>
  <c r="JI25" i="3"/>
  <c r="IY25" i="3"/>
  <c r="IY26" i="3" s="1"/>
  <c r="IO25" i="3"/>
  <c r="IE25" i="3"/>
  <c r="HU25" i="3"/>
  <c r="HK25" i="3"/>
  <c r="HK26" i="3" s="1"/>
  <c r="HA25" i="3"/>
  <c r="GQ25" i="3"/>
  <c r="GG25" i="3"/>
  <c r="FW25" i="3"/>
  <c r="FW26" i="3" s="1"/>
  <c r="FM25" i="3"/>
  <c r="FC25" i="3"/>
  <c r="ES25" i="3"/>
  <c r="EI25" i="3"/>
  <c r="DY25" i="3"/>
  <c r="DO25" i="3"/>
  <c r="DE25" i="3"/>
  <c r="CU25" i="3"/>
  <c r="CU26" i="3" s="1"/>
  <c r="CK25" i="3"/>
  <c r="CA25" i="3"/>
  <c r="BQ25" i="3"/>
  <c r="BG25" i="3"/>
  <c r="BG26" i="3" s="1"/>
  <c r="AW25" i="3"/>
  <c r="AM25" i="3"/>
  <c r="AC25" i="3"/>
  <c r="S25" i="3"/>
  <c r="J25" i="3"/>
  <c r="RU24" i="3"/>
  <c r="RK24" i="3"/>
  <c r="RA24" i="3"/>
  <c r="QQ24" i="3"/>
  <c r="QG24" i="3"/>
  <c r="PW24" i="3"/>
  <c r="PM24" i="3"/>
  <c r="PC24" i="3"/>
  <c r="OS24" i="3"/>
  <c r="OI24" i="3"/>
  <c r="NY24" i="3"/>
  <c r="NO24" i="3"/>
  <c r="NE24" i="3"/>
  <c r="MU24" i="3"/>
  <c r="MK24" i="3"/>
  <c r="MA24" i="3"/>
  <c r="LQ24" i="3"/>
  <c r="LG24" i="3"/>
  <c r="KW24" i="3"/>
  <c r="KM24" i="3"/>
  <c r="KC24" i="3"/>
  <c r="JS24" i="3"/>
  <c r="JI24" i="3"/>
  <c r="IY24" i="3"/>
  <c r="IO24" i="3"/>
  <c r="IE24" i="3"/>
  <c r="HU24" i="3"/>
  <c r="HK24" i="3"/>
  <c r="HA24" i="3"/>
  <c r="GQ24" i="3"/>
  <c r="GG24" i="3"/>
  <c r="FW24" i="3"/>
  <c r="FM24" i="3"/>
  <c r="FC24" i="3"/>
  <c r="ES24" i="3"/>
  <c r="EI24" i="3"/>
  <c r="DY24" i="3"/>
  <c r="DO24" i="3"/>
  <c r="DE24" i="3"/>
  <c r="CU24" i="3"/>
  <c r="CK24" i="3"/>
  <c r="CA24" i="3"/>
  <c r="BQ24" i="3"/>
  <c r="BG24" i="3"/>
  <c r="AW24" i="3"/>
  <c r="AM24" i="3"/>
  <c r="AC24" i="3"/>
  <c r="AC28" i="3" s="1"/>
  <c r="AC29" i="3" s="1"/>
  <c r="S24" i="3"/>
  <c r="J24" i="3"/>
  <c r="RU23" i="3"/>
  <c r="RK23" i="3"/>
  <c r="RA23" i="3"/>
  <c r="QQ23" i="3"/>
  <c r="QG23" i="3"/>
  <c r="PW23" i="3"/>
  <c r="PW26" i="3" s="1"/>
  <c r="PM23" i="3"/>
  <c r="PC23" i="3"/>
  <c r="OS23" i="3"/>
  <c r="OI23" i="3"/>
  <c r="NY23" i="3"/>
  <c r="NO23" i="3"/>
  <c r="NE23" i="3"/>
  <c r="NE26" i="3" s="1"/>
  <c r="MU23" i="3"/>
  <c r="MK23" i="3"/>
  <c r="MA23" i="3"/>
  <c r="LQ23" i="3"/>
  <c r="LG23" i="3"/>
  <c r="KW23" i="3"/>
  <c r="KM23" i="3"/>
  <c r="KC23" i="3"/>
  <c r="JS23" i="3"/>
  <c r="JS26" i="3" s="1"/>
  <c r="JI23" i="3"/>
  <c r="IY23" i="3"/>
  <c r="IO23" i="3"/>
  <c r="IE23" i="3"/>
  <c r="IE26" i="3" s="1"/>
  <c r="HU23" i="3"/>
  <c r="HK23" i="3"/>
  <c r="HA23" i="3"/>
  <c r="HA26" i="3" s="1"/>
  <c r="GQ23" i="3"/>
  <c r="GG23" i="3"/>
  <c r="FW23" i="3"/>
  <c r="FM23" i="3"/>
  <c r="FC23" i="3"/>
  <c r="FC26" i="3" s="1"/>
  <c r="ES23" i="3"/>
  <c r="EI23" i="3"/>
  <c r="DY23" i="3"/>
  <c r="DO23" i="3"/>
  <c r="DO26" i="3" s="1"/>
  <c r="DE23" i="3"/>
  <c r="CU23" i="3"/>
  <c r="CK23" i="3"/>
  <c r="CA23" i="3"/>
  <c r="CA26" i="3" s="1"/>
  <c r="BQ23" i="3"/>
  <c r="BG23" i="3"/>
  <c r="AV23" i="3"/>
  <c r="AW23" i="3" s="1"/>
  <c r="AW26" i="3" s="1"/>
  <c r="AL23" i="3"/>
  <c r="AM23" i="3" s="1"/>
  <c r="AC23" i="3"/>
  <c r="S23" i="3"/>
  <c r="J23" i="3"/>
  <c r="RU22" i="3"/>
  <c r="RK22" i="3"/>
  <c r="RA22" i="3"/>
  <c r="QQ22" i="3"/>
  <c r="QG22" i="3"/>
  <c r="PW22" i="3"/>
  <c r="PM22" i="3"/>
  <c r="PC22" i="3"/>
  <c r="OS22" i="3"/>
  <c r="OI22" i="3"/>
  <c r="NY22" i="3"/>
  <c r="NO22" i="3"/>
  <c r="NE22" i="3"/>
  <c r="MU22" i="3"/>
  <c r="MK22" i="3"/>
  <c r="MA22" i="3"/>
  <c r="LQ22" i="3"/>
  <c r="LG22" i="3"/>
  <c r="KW22" i="3"/>
  <c r="KM22" i="3"/>
  <c r="KC22" i="3"/>
  <c r="JS22" i="3"/>
  <c r="JI22" i="3"/>
  <c r="IY22" i="3"/>
  <c r="IO22" i="3"/>
  <c r="IE22" i="3"/>
  <c r="HU22" i="3"/>
  <c r="HK22" i="3"/>
  <c r="HA22" i="3"/>
  <c r="GQ22" i="3"/>
  <c r="GG22" i="3"/>
  <c r="FW22" i="3"/>
  <c r="FM22" i="3"/>
  <c r="FC22" i="3"/>
  <c r="ES22" i="3"/>
  <c r="EI22" i="3"/>
  <c r="DY22" i="3"/>
  <c r="DO22" i="3"/>
  <c r="DE22" i="3"/>
  <c r="CU22" i="3"/>
  <c r="CK22" i="3"/>
  <c r="CA22" i="3"/>
  <c r="BQ22" i="3"/>
  <c r="BG22" i="3"/>
  <c r="AW22" i="3"/>
  <c r="AM22" i="3"/>
  <c r="AC22" i="3"/>
  <c r="S22" i="3"/>
  <c r="J22" i="3"/>
  <c r="RU21" i="3"/>
  <c r="RK21" i="3"/>
  <c r="RA21" i="3"/>
  <c r="QQ21" i="3"/>
  <c r="QQ26" i="3" s="1"/>
  <c r="QG21" i="3"/>
  <c r="PW21" i="3"/>
  <c r="PM21" i="3"/>
  <c r="PC21" i="3"/>
  <c r="PC26" i="3" s="1"/>
  <c r="OS21" i="3"/>
  <c r="OI21" i="3"/>
  <c r="NY21" i="3"/>
  <c r="NO21" i="3"/>
  <c r="NE21" i="3"/>
  <c r="MU21" i="3"/>
  <c r="MK21" i="3"/>
  <c r="MA21" i="3"/>
  <c r="LQ21" i="3"/>
  <c r="LG21" i="3"/>
  <c r="KW21" i="3"/>
  <c r="RU20" i="3"/>
  <c r="RK20" i="3"/>
  <c r="RA20" i="3"/>
  <c r="QQ20" i="3"/>
  <c r="QG20" i="3"/>
  <c r="PW20" i="3"/>
  <c r="PM20" i="3"/>
  <c r="PC20" i="3"/>
  <c r="OS20" i="3"/>
  <c r="OI20" i="3"/>
  <c r="NY20" i="3"/>
  <c r="NO20" i="3"/>
  <c r="NE20" i="3"/>
  <c r="MU20" i="3"/>
  <c r="MK20" i="3"/>
  <c r="MA20" i="3"/>
  <c r="LQ20" i="3"/>
  <c r="LG20" i="3"/>
  <c r="KW20" i="3"/>
  <c r="KM20" i="3"/>
  <c r="KC20" i="3"/>
  <c r="JS20" i="3"/>
  <c r="JI20" i="3"/>
  <c r="IY20" i="3"/>
  <c r="IO20" i="3"/>
  <c r="IE20" i="3"/>
  <c r="HU20" i="3"/>
  <c r="HK20" i="3"/>
  <c r="HA20" i="3"/>
  <c r="GQ20" i="3"/>
  <c r="GG20" i="3"/>
  <c r="FW20" i="3"/>
  <c r="FM20" i="3"/>
  <c r="FC20" i="3"/>
  <c r="ES20" i="3"/>
  <c r="EI20" i="3"/>
  <c r="DY20" i="3"/>
  <c r="DO20" i="3"/>
  <c r="DE20" i="3"/>
  <c r="CU20" i="3"/>
  <c r="CK20" i="3"/>
  <c r="CA20" i="3"/>
  <c r="BQ20" i="3"/>
  <c r="BG20" i="3"/>
  <c r="AW20" i="3"/>
  <c r="AV20" i="3"/>
  <c r="AM20" i="3"/>
  <c r="AL20" i="3"/>
  <c r="AC20" i="3"/>
  <c r="AB20" i="3"/>
  <c r="S20" i="3"/>
  <c r="J20" i="3"/>
  <c r="RU19" i="3"/>
  <c r="RK19" i="3"/>
  <c r="RA19" i="3"/>
  <c r="QQ19" i="3"/>
  <c r="QG19" i="3"/>
  <c r="PW19" i="3"/>
  <c r="PM19" i="3"/>
  <c r="PC19" i="3"/>
  <c r="OS19" i="3"/>
  <c r="OI19" i="3"/>
  <c r="NY19" i="3"/>
  <c r="NO19" i="3"/>
  <c r="NE19" i="3"/>
  <c r="MU19" i="3"/>
  <c r="MK19" i="3"/>
  <c r="MA19" i="3"/>
  <c r="LQ19" i="3"/>
  <c r="LG19" i="3"/>
  <c r="KW19" i="3"/>
  <c r="KM19" i="3"/>
  <c r="KC19" i="3"/>
  <c r="JS19" i="3"/>
  <c r="JI19" i="3"/>
  <c r="IY19" i="3"/>
  <c r="RU18" i="3"/>
  <c r="RU26" i="3" s="1"/>
  <c r="RK18" i="3"/>
  <c r="RA18" i="3"/>
  <c r="QQ18" i="3"/>
  <c r="QG18" i="3"/>
  <c r="QG26" i="3" s="1"/>
  <c r="PW18" i="3"/>
  <c r="PM18" i="3"/>
  <c r="PC18" i="3"/>
  <c r="OS18" i="3"/>
  <c r="OI18" i="3"/>
  <c r="NY18" i="3"/>
  <c r="NO18" i="3"/>
  <c r="NE18" i="3"/>
  <c r="MU18" i="3"/>
  <c r="MK18" i="3"/>
  <c r="MA18" i="3"/>
  <c r="LQ18" i="3"/>
  <c r="LQ26" i="3" s="1"/>
  <c r="LG18" i="3"/>
  <c r="KW18" i="3"/>
  <c r="KM18" i="3"/>
  <c r="KC18" i="3"/>
  <c r="KC26" i="3" s="1"/>
  <c r="JS18" i="3"/>
  <c r="JI18" i="3"/>
  <c r="IY18" i="3"/>
  <c r="IO18" i="3"/>
  <c r="IE18" i="3"/>
  <c r="HU18" i="3"/>
  <c r="HK18" i="3"/>
  <c r="HA18" i="3"/>
  <c r="GQ18" i="3"/>
  <c r="GG18" i="3"/>
  <c r="FW18" i="3"/>
  <c r="FM18" i="3"/>
  <c r="FM26" i="3" s="1"/>
  <c r="FC18" i="3"/>
  <c r="ES18" i="3"/>
  <c r="EI18" i="3"/>
  <c r="DY18" i="3"/>
  <c r="DY26" i="3" s="1"/>
  <c r="DO18" i="3"/>
  <c r="DE18" i="3"/>
  <c r="CU18" i="3"/>
  <c r="CK18" i="3"/>
  <c r="CA18" i="3"/>
  <c r="BQ18" i="3"/>
  <c r="BG18" i="3"/>
  <c r="AW18" i="3"/>
  <c r="AM18" i="3"/>
  <c r="AM26" i="3" s="1"/>
  <c r="AC18" i="3"/>
  <c r="S18" i="3"/>
  <c r="J18" i="3"/>
  <c r="RP16" i="3"/>
  <c r="RF16" i="3"/>
  <c r="QV16" i="3"/>
  <c r="QL16" i="3"/>
  <c r="QB16" i="3"/>
  <c r="PR16" i="3"/>
  <c r="PH16" i="3"/>
  <c r="OX16" i="3"/>
  <c r="ON16" i="3"/>
  <c r="OD16" i="3"/>
  <c r="NT16" i="3"/>
  <c r="NJ16" i="3"/>
  <c r="MZ16" i="3"/>
  <c r="MP16" i="3"/>
  <c r="MF16" i="3"/>
  <c r="LV16" i="3"/>
  <c r="LL16" i="3"/>
  <c r="LB16" i="3"/>
  <c r="KR16" i="3"/>
  <c r="KH16" i="3"/>
  <c r="JX16" i="3"/>
  <c r="JN16" i="3"/>
  <c r="JD16" i="3"/>
  <c r="IT16" i="3"/>
  <c r="IJ16" i="3"/>
  <c r="HZ16" i="3"/>
  <c r="HP16" i="3"/>
  <c r="HF16" i="3"/>
  <c r="GV16" i="3"/>
  <c r="GL16" i="3"/>
  <c r="GB16" i="3"/>
  <c r="FR16" i="3"/>
  <c r="FH16" i="3"/>
  <c r="EX16" i="3"/>
  <c r="EN16" i="3"/>
  <c r="ED16" i="3"/>
  <c r="DT16" i="3"/>
  <c r="DJ16" i="3"/>
  <c r="CZ16" i="3"/>
  <c r="CP16" i="3"/>
  <c r="CF16" i="3"/>
  <c r="BV16" i="3"/>
  <c r="BL16" i="3"/>
  <c r="BB16" i="3"/>
  <c r="AR16" i="3"/>
  <c r="AH16" i="3"/>
  <c r="X16" i="3"/>
  <c r="RP15" i="3"/>
  <c r="RM15" i="3"/>
  <c r="RF15" i="3"/>
  <c r="RC15" i="3"/>
  <c r="QV15" i="3"/>
  <c r="QS15" i="3"/>
  <c r="QL15" i="3"/>
  <c r="QI15" i="3"/>
  <c r="QB15" i="3"/>
  <c r="PY15" i="3"/>
  <c r="PR15" i="3"/>
  <c r="PO15" i="3"/>
  <c r="PH15" i="3"/>
  <c r="PE15" i="3"/>
  <c r="OX15" i="3"/>
  <c r="OU15" i="3"/>
  <c r="ON15" i="3"/>
  <c r="OK15" i="3"/>
  <c r="OD15" i="3"/>
  <c r="OA15" i="3"/>
  <c r="NT15" i="3"/>
  <c r="NQ15" i="3"/>
  <c r="NJ15" i="3"/>
  <c r="NG15" i="3"/>
  <c r="MZ15" i="3"/>
  <c r="MW15" i="3"/>
  <c r="MP15" i="3"/>
  <c r="MM15" i="3"/>
  <c r="MF15" i="3"/>
  <c r="MC15" i="3"/>
  <c r="LV15" i="3"/>
  <c r="LS15" i="3"/>
  <c r="LL15" i="3"/>
  <c r="LI15" i="3"/>
  <c r="LB15" i="3"/>
  <c r="KY15" i="3"/>
  <c r="KR15" i="3"/>
  <c r="KO15" i="3"/>
  <c r="KH15" i="3"/>
  <c r="KE15" i="3"/>
  <c r="JX15" i="3"/>
  <c r="JU15" i="3"/>
  <c r="JN15" i="3"/>
  <c r="JK15" i="3"/>
  <c r="JD15" i="3"/>
  <c r="JA15" i="3"/>
  <c r="IT15" i="3"/>
  <c r="IQ15" i="3"/>
  <c r="IJ15" i="3"/>
  <c r="IG15" i="3"/>
  <c r="HZ15" i="3"/>
  <c r="HW15" i="3"/>
  <c r="HP15" i="3"/>
  <c r="HM15" i="3"/>
  <c r="HF15" i="3"/>
  <c r="HC15" i="3"/>
  <c r="GV15" i="3"/>
  <c r="GS15" i="3"/>
  <c r="GL15" i="3"/>
  <c r="GI15" i="3"/>
  <c r="GB15" i="3"/>
  <c r="FY15" i="3"/>
  <c r="FR15" i="3"/>
  <c r="FO15" i="3"/>
  <c r="FH15" i="3"/>
  <c r="FE15" i="3"/>
  <c r="EX15" i="3"/>
  <c r="EU15" i="3"/>
  <c r="EN15" i="3"/>
  <c r="EK15" i="3"/>
  <c r="ED15" i="3"/>
  <c r="EA15" i="3"/>
  <c r="DT15" i="3"/>
  <c r="DQ15" i="3"/>
  <c r="DJ15" i="3"/>
  <c r="DG15" i="3"/>
  <c r="CZ15" i="3"/>
  <c r="CW15" i="3"/>
  <c r="CP15" i="3"/>
  <c r="CM15" i="3"/>
  <c r="CF15" i="3"/>
  <c r="CC15" i="3"/>
  <c r="BV15" i="3"/>
  <c r="BS15" i="3"/>
  <c r="BL15" i="3"/>
  <c r="BI15" i="3"/>
  <c r="BB15" i="3"/>
  <c r="AY15" i="3"/>
  <c r="AR15" i="3"/>
  <c r="AO15" i="3"/>
  <c r="AH15" i="3"/>
  <c r="AE15" i="3"/>
  <c r="X15" i="3"/>
  <c r="U15" i="3"/>
  <c r="N15" i="3"/>
  <c r="K15" i="3"/>
  <c r="G15" i="3"/>
  <c r="RQ13" i="3"/>
  <c r="RR13" i="3" s="1"/>
  <c r="RO13" i="3"/>
  <c r="RH13" i="3"/>
  <c r="RG13" i="3"/>
  <c r="RE13" i="3"/>
  <c r="QW13" i="3"/>
  <c r="QX13" i="3" s="1"/>
  <c r="QU13" i="3"/>
  <c r="QN13" i="3"/>
  <c r="QM13" i="3"/>
  <c r="QK13" i="3"/>
  <c r="QD13" i="3"/>
  <c r="QC13" i="3"/>
  <c r="QA13" i="3"/>
  <c r="PT13" i="3"/>
  <c r="PS13" i="3"/>
  <c r="PQ13" i="3"/>
  <c r="PI13" i="3"/>
  <c r="PJ13" i="3" s="1"/>
  <c r="PG13" i="3"/>
  <c r="OZ13" i="3"/>
  <c r="OY13" i="3"/>
  <c r="OW13" i="3"/>
  <c r="OP13" i="3"/>
  <c r="OO13" i="3"/>
  <c r="OM13" i="3"/>
  <c r="OE13" i="3"/>
  <c r="OF13" i="3" s="1"/>
  <c r="OC13" i="3"/>
  <c r="NU13" i="3"/>
  <c r="NV13" i="3" s="1"/>
  <c r="NS13" i="3"/>
  <c r="NL13" i="3"/>
  <c r="NK13" i="3"/>
  <c r="NI13" i="3"/>
  <c r="NA13" i="3"/>
  <c r="NB13" i="3" s="1"/>
  <c r="MY13" i="3"/>
  <c r="MQ13" i="3"/>
  <c r="MR13" i="3" s="1"/>
  <c r="MO13" i="3"/>
  <c r="MG13" i="3"/>
  <c r="MH13" i="3" s="1"/>
  <c r="ME13" i="3"/>
  <c r="LX13" i="3"/>
  <c r="LW13" i="3"/>
  <c r="LU13" i="3"/>
  <c r="LM13" i="3"/>
  <c r="LN13" i="3" s="1"/>
  <c r="LK13" i="3"/>
  <c r="LD13" i="3"/>
  <c r="LC13" i="3"/>
  <c r="LA13" i="3"/>
  <c r="KS13" i="3"/>
  <c r="KT13" i="3" s="1"/>
  <c r="KQ13" i="3"/>
  <c r="KJ13" i="3"/>
  <c r="KI13" i="3"/>
  <c r="KG13" i="3"/>
  <c r="JZ13" i="3"/>
  <c r="JY13" i="3"/>
  <c r="JW13" i="3"/>
  <c r="JP13" i="3"/>
  <c r="JO13" i="3"/>
  <c r="JM13" i="3"/>
  <c r="JE13" i="3"/>
  <c r="JF13" i="3" s="1"/>
  <c r="JC13" i="3"/>
  <c r="IV13" i="3"/>
  <c r="IU13" i="3"/>
  <c r="IS13" i="3"/>
  <c r="IL13" i="3"/>
  <c r="IK13" i="3"/>
  <c r="II13" i="3"/>
  <c r="IA13" i="3"/>
  <c r="IB13" i="3" s="1"/>
  <c r="HY13" i="3"/>
  <c r="HQ13" i="3"/>
  <c r="HR13" i="3" s="1"/>
  <c r="HO13" i="3"/>
  <c r="HH13" i="3"/>
  <c r="HG13" i="3"/>
  <c r="HE13" i="3"/>
  <c r="GW13" i="3"/>
  <c r="GX13" i="3" s="1"/>
  <c r="GU13" i="3"/>
  <c r="GM13" i="3"/>
  <c r="GN13" i="3" s="1"/>
  <c r="GK13" i="3"/>
  <c r="GC13" i="3"/>
  <c r="GD13" i="3" s="1"/>
  <c r="GA13" i="3"/>
  <c r="FT13" i="3"/>
  <c r="FS13" i="3"/>
  <c r="FQ13" i="3"/>
  <c r="FI13" i="3"/>
  <c r="FJ13" i="3" s="1"/>
  <c r="FG13" i="3"/>
  <c r="EZ13" i="3"/>
  <c r="EY13" i="3"/>
  <c r="EW13" i="3"/>
  <c r="EO13" i="3"/>
  <c r="EP13" i="3" s="1"/>
  <c r="EM13" i="3"/>
  <c r="EF13" i="3"/>
  <c r="EE13" i="3"/>
  <c r="EC13" i="3"/>
  <c r="DV13" i="3"/>
  <c r="DU13" i="3"/>
  <c r="DS13" i="3"/>
  <c r="DL13" i="3"/>
  <c r="DK13" i="3"/>
  <c r="DI13" i="3"/>
  <c r="DA13" i="3"/>
  <c r="DB13" i="3" s="1"/>
  <c r="CY13" i="3"/>
  <c r="CR13" i="3"/>
  <c r="CQ13" i="3"/>
  <c r="CO13" i="3"/>
  <c r="CH13" i="3"/>
  <c r="CG13" i="3"/>
  <c r="CE13" i="3"/>
  <c r="BW13" i="3"/>
  <c r="BX13" i="3" s="1"/>
  <c r="BU13" i="3"/>
  <c r="BM13" i="3"/>
  <c r="BN13" i="3" s="1"/>
  <c r="BK13" i="3"/>
  <c r="BD13" i="3"/>
  <c r="BC13" i="3"/>
  <c r="BA13" i="3"/>
  <c r="AS13" i="3"/>
  <c r="AT13" i="3" s="1"/>
  <c r="AQ13" i="3"/>
  <c r="AI13" i="3"/>
  <c r="AJ13" i="3" s="1"/>
  <c r="AG13" i="3"/>
  <c r="Y13" i="3"/>
  <c r="Z13" i="3" s="1"/>
  <c r="W13" i="3"/>
  <c r="P13" i="3"/>
  <c r="M13" i="3"/>
  <c r="G13" i="3"/>
  <c r="D13" i="3"/>
  <c r="QX12" i="3"/>
  <c r="QK12" i="3"/>
  <c r="OW12" i="3"/>
  <c r="OF12" i="3"/>
  <c r="ME12" i="3"/>
  <c r="KT12" i="3"/>
  <c r="JI12" i="3"/>
  <c r="GA12" i="3"/>
  <c r="FG12" i="3"/>
  <c r="AQ12" i="3"/>
  <c r="RT11" i="3"/>
  <c r="RU11" i="3" s="1"/>
  <c r="RR11" i="3"/>
  <c r="RQ11" i="3"/>
  <c r="RO11" i="3"/>
  <c r="RJ11" i="3"/>
  <c r="RK11" i="3" s="1"/>
  <c r="RG11" i="3"/>
  <c r="RH11" i="3" s="1"/>
  <c r="RE11" i="3"/>
  <c r="RA11" i="3"/>
  <c r="QZ11" i="3"/>
  <c r="QX11" i="3"/>
  <c r="QW11" i="3"/>
  <c r="QU11" i="3"/>
  <c r="QP11" i="3"/>
  <c r="QQ11" i="3" s="1"/>
  <c r="QN11" i="3"/>
  <c r="QM11" i="3"/>
  <c r="QK11" i="3"/>
  <c r="QG11" i="3"/>
  <c r="QF11" i="3"/>
  <c r="QD11" i="3"/>
  <c r="QC11" i="3"/>
  <c r="QA11" i="3"/>
  <c r="PW11" i="3"/>
  <c r="PV11" i="3"/>
  <c r="PS11" i="3"/>
  <c r="PT11" i="3" s="1"/>
  <c r="PQ11" i="3"/>
  <c r="PM11" i="3"/>
  <c r="PL11" i="3"/>
  <c r="PI11" i="3"/>
  <c r="PJ11" i="3" s="1"/>
  <c r="PG11" i="3"/>
  <c r="PB11" i="3"/>
  <c r="PC11" i="3" s="1"/>
  <c r="OY11" i="3"/>
  <c r="OZ11" i="3" s="1"/>
  <c r="OW11" i="3"/>
  <c r="OR11" i="3"/>
  <c r="OS11" i="3" s="1"/>
  <c r="OP11" i="3"/>
  <c r="OO11" i="3"/>
  <c r="OM11" i="3"/>
  <c r="OH11" i="3"/>
  <c r="OI11" i="3" s="1"/>
  <c r="OE11" i="3"/>
  <c r="OF11" i="3" s="1"/>
  <c r="OC11" i="3"/>
  <c r="NY11" i="3"/>
  <c r="NX11" i="3"/>
  <c r="NV11" i="3"/>
  <c r="NU11" i="3"/>
  <c r="NS11" i="3"/>
  <c r="NS12" i="3" s="1"/>
  <c r="NN11" i="3"/>
  <c r="NO11" i="3" s="1"/>
  <c r="NL11" i="3"/>
  <c r="NK11" i="3"/>
  <c r="NI11" i="3"/>
  <c r="NE11" i="3"/>
  <c r="ND11" i="3"/>
  <c r="NB11" i="3"/>
  <c r="NA11" i="3"/>
  <c r="MY11" i="3"/>
  <c r="MU11" i="3"/>
  <c r="MT11" i="3"/>
  <c r="MQ11" i="3"/>
  <c r="MR11" i="3" s="1"/>
  <c r="MO11" i="3"/>
  <c r="MK11" i="3"/>
  <c r="MJ11" i="3"/>
  <c r="MG11" i="3"/>
  <c r="MH11" i="3" s="1"/>
  <c r="ME11" i="3"/>
  <c r="LZ11" i="3"/>
  <c r="MA11" i="3" s="1"/>
  <c r="LW11" i="3"/>
  <c r="LX11" i="3" s="1"/>
  <c r="LU11" i="3"/>
  <c r="LP11" i="3"/>
  <c r="LQ11" i="3" s="1"/>
  <c r="LN11" i="3"/>
  <c r="LM11" i="3"/>
  <c r="LK11" i="3"/>
  <c r="LF11" i="3"/>
  <c r="LG11" i="3" s="1"/>
  <c r="LC11" i="3"/>
  <c r="LD11" i="3" s="1"/>
  <c r="LA11" i="3"/>
  <c r="KW11" i="3"/>
  <c r="KV11" i="3"/>
  <c r="KT11" i="3"/>
  <c r="KS11" i="3"/>
  <c r="KQ11" i="3"/>
  <c r="KL11" i="3"/>
  <c r="KM11" i="3" s="1"/>
  <c r="KJ11" i="3"/>
  <c r="KG11" i="3"/>
  <c r="KB11" i="3"/>
  <c r="KC11" i="3" s="1"/>
  <c r="JZ11" i="3"/>
  <c r="JY11" i="3"/>
  <c r="JW11" i="3"/>
  <c r="JR11" i="3"/>
  <c r="JS11" i="3" s="1"/>
  <c r="JP11" i="3"/>
  <c r="JO11" i="3"/>
  <c r="JM11" i="3"/>
  <c r="JI11" i="3"/>
  <c r="JH11" i="3"/>
  <c r="JE11" i="3"/>
  <c r="JF11" i="3" s="1"/>
  <c r="JC11" i="3"/>
  <c r="IY11" i="3"/>
  <c r="IX11" i="3"/>
  <c r="IU11" i="3"/>
  <c r="IV11" i="3" s="1"/>
  <c r="IS11" i="3"/>
  <c r="IN11" i="3"/>
  <c r="IO11" i="3" s="1"/>
  <c r="IK11" i="3"/>
  <c r="IL11" i="3" s="1"/>
  <c r="II11" i="3"/>
  <c r="IE11" i="3"/>
  <c r="ID11" i="3"/>
  <c r="IB11" i="3"/>
  <c r="IA11" i="3"/>
  <c r="HY11" i="3"/>
  <c r="HT11" i="3"/>
  <c r="HU11" i="3" s="1"/>
  <c r="HQ11" i="3"/>
  <c r="HR11" i="3" s="1"/>
  <c r="HO11" i="3"/>
  <c r="HK11" i="3"/>
  <c r="HJ11" i="3"/>
  <c r="HH11" i="3"/>
  <c r="HG11" i="3"/>
  <c r="HE11" i="3"/>
  <c r="GZ11" i="3"/>
  <c r="HA11" i="3" s="1"/>
  <c r="GX11" i="3"/>
  <c r="GW11" i="3"/>
  <c r="GU11" i="3"/>
  <c r="GP11" i="3"/>
  <c r="GQ11" i="3" s="1"/>
  <c r="GN11" i="3"/>
  <c r="GM11" i="3"/>
  <c r="GK11" i="3"/>
  <c r="GG11" i="3"/>
  <c r="GF11" i="3"/>
  <c r="GC11" i="3"/>
  <c r="GD11" i="3" s="1"/>
  <c r="GA11" i="3"/>
  <c r="FW11" i="3"/>
  <c r="FV11" i="3"/>
  <c r="FS11" i="3"/>
  <c r="FT11" i="3" s="1"/>
  <c r="FQ11" i="3"/>
  <c r="FL11" i="3"/>
  <c r="FM11" i="3" s="1"/>
  <c r="FI11" i="3"/>
  <c r="FJ11" i="3" s="1"/>
  <c r="FG11" i="3"/>
  <c r="FC11" i="3"/>
  <c r="FB11" i="3"/>
  <c r="EZ11" i="3"/>
  <c r="EY11" i="3"/>
  <c r="EW11" i="3"/>
  <c r="ER11" i="3"/>
  <c r="ES11" i="3" s="1"/>
  <c r="EO11" i="3"/>
  <c r="EP11" i="3" s="1"/>
  <c r="EM11" i="3"/>
  <c r="EI11" i="3"/>
  <c r="EH11" i="3"/>
  <c r="EF11" i="3"/>
  <c r="EE11" i="3"/>
  <c r="EC11" i="3"/>
  <c r="DX11" i="3"/>
  <c r="DY11" i="3" s="1"/>
  <c r="DV11" i="3"/>
  <c r="DU11" i="3"/>
  <c r="DS11" i="3"/>
  <c r="DN11" i="3"/>
  <c r="DO11" i="3" s="1"/>
  <c r="DL11" i="3"/>
  <c r="DK11" i="3"/>
  <c r="DI11" i="3"/>
  <c r="DE11" i="3"/>
  <c r="DD11" i="3"/>
  <c r="DA11" i="3"/>
  <c r="DB11" i="3" s="1"/>
  <c r="CY11" i="3"/>
  <c r="CU11" i="3"/>
  <c r="CT11" i="3"/>
  <c r="CQ11" i="3"/>
  <c r="CR11" i="3" s="1"/>
  <c r="CO11" i="3"/>
  <c r="CJ11" i="3"/>
  <c r="CK11" i="3" s="1"/>
  <c r="CG11" i="3"/>
  <c r="CH11" i="3" s="1"/>
  <c r="CE11" i="3"/>
  <c r="CA11" i="3"/>
  <c r="BZ11" i="3"/>
  <c r="BX11" i="3"/>
  <c r="BW11" i="3"/>
  <c r="BU11" i="3"/>
  <c r="BQ11" i="3"/>
  <c r="BN11" i="3"/>
  <c r="BM11" i="3"/>
  <c r="BK11" i="3"/>
  <c r="BF11" i="3"/>
  <c r="BG11" i="3" s="1"/>
  <c r="BC11" i="3"/>
  <c r="BD11" i="3" s="1"/>
  <c r="BA11" i="3"/>
  <c r="AW11" i="3"/>
  <c r="AV11" i="3"/>
  <c r="AT11" i="3"/>
  <c r="AS11" i="3"/>
  <c r="AQ11" i="3"/>
  <c r="AL11" i="3"/>
  <c r="AM11" i="3" s="1"/>
  <c r="AJ11" i="3"/>
  <c r="AI11" i="3"/>
  <c r="AG11" i="3"/>
  <c r="AB11" i="3"/>
  <c r="AC11" i="3" s="1"/>
  <c r="Z11" i="3"/>
  <c r="Y11" i="3"/>
  <c r="W11" i="3"/>
  <c r="S11" i="3"/>
  <c r="R11" i="3"/>
  <c r="P11" i="3"/>
  <c r="M11" i="3"/>
  <c r="J11" i="3"/>
  <c r="G11" i="3"/>
  <c r="D11" i="3"/>
  <c r="RT10" i="3"/>
  <c r="RU10" i="3" s="1"/>
  <c r="RR10" i="3"/>
  <c r="RQ10" i="3"/>
  <c r="RO10" i="3"/>
  <c r="RK10" i="3"/>
  <c r="RJ10" i="3"/>
  <c r="RG10" i="3"/>
  <c r="RH10" i="3" s="1"/>
  <c r="RE10" i="3"/>
  <c r="RA10" i="3"/>
  <c r="QZ10" i="3"/>
  <c r="QW10" i="3"/>
  <c r="QX10" i="3" s="1"/>
  <c r="QU10" i="3"/>
  <c r="QU12" i="3" s="1"/>
  <c r="QP10" i="3"/>
  <c r="QQ10" i="3" s="1"/>
  <c r="QN10" i="3"/>
  <c r="QM10" i="3"/>
  <c r="QK10" i="3"/>
  <c r="QF10" i="3"/>
  <c r="QG10" i="3" s="1"/>
  <c r="QD10" i="3"/>
  <c r="QC10" i="3"/>
  <c r="QA10" i="3"/>
  <c r="PW10" i="3"/>
  <c r="PV10" i="3"/>
  <c r="PS10" i="3"/>
  <c r="PT10" i="3" s="1"/>
  <c r="PT12" i="3" s="1"/>
  <c r="PQ10" i="3"/>
  <c r="PM10" i="3"/>
  <c r="PL10" i="3"/>
  <c r="PI10" i="3"/>
  <c r="PJ10" i="3" s="1"/>
  <c r="PG10" i="3"/>
  <c r="PB10" i="3"/>
  <c r="PC10" i="3" s="1"/>
  <c r="OZ10" i="3"/>
  <c r="OY10" i="3"/>
  <c r="OW10" i="3"/>
  <c r="OR10" i="3"/>
  <c r="OS10" i="3" s="1"/>
  <c r="OP10" i="3"/>
  <c r="OO10" i="3"/>
  <c r="OM10" i="3"/>
  <c r="OI10" i="3"/>
  <c r="OH10" i="3"/>
  <c r="OE10" i="3"/>
  <c r="OF10" i="3" s="1"/>
  <c r="OC10" i="3"/>
  <c r="NY10" i="3"/>
  <c r="NX10" i="3"/>
  <c r="NU10" i="3"/>
  <c r="NV10" i="3" s="1"/>
  <c r="NS10" i="3"/>
  <c r="NN10" i="3"/>
  <c r="NO10" i="3" s="1"/>
  <c r="NL10" i="3"/>
  <c r="NL12" i="3" s="1"/>
  <c r="NK10" i="3"/>
  <c r="NI10" i="3"/>
  <c r="ND10" i="3"/>
  <c r="NE10" i="3" s="1"/>
  <c r="NB10" i="3"/>
  <c r="NA10" i="3"/>
  <c r="MY10" i="3"/>
  <c r="MY12" i="3" s="1"/>
  <c r="MU10" i="3"/>
  <c r="MT10" i="3"/>
  <c r="MQ10" i="3"/>
  <c r="MR10" i="3" s="1"/>
  <c r="MO10" i="3"/>
  <c r="MK10" i="3"/>
  <c r="MJ10" i="3"/>
  <c r="MG10" i="3"/>
  <c r="MH10" i="3" s="1"/>
  <c r="ME10" i="3"/>
  <c r="LZ10" i="3"/>
  <c r="MA10" i="3" s="1"/>
  <c r="LX10" i="3"/>
  <c r="LW10" i="3"/>
  <c r="LU10" i="3"/>
  <c r="LP10" i="3"/>
  <c r="LQ10" i="3" s="1"/>
  <c r="LN10" i="3"/>
  <c r="LM10" i="3"/>
  <c r="LK10" i="3"/>
  <c r="LG10" i="3"/>
  <c r="LF10" i="3"/>
  <c r="LC10" i="3"/>
  <c r="LD10" i="3" s="1"/>
  <c r="LA10" i="3"/>
  <c r="LA28" i="3" s="1"/>
  <c r="KW10" i="3"/>
  <c r="KV10" i="3"/>
  <c r="KS10" i="3"/>
  <c r="KT10" i="3" s="1"/>
  <c r="KQ10" i="3"/>
  <c r="KL10" i="3"/>
  <c r="KM10" i="3" s="1"/>
  <c r="KJ10" i="3"/>
  <c r="KI10" i="3"/>
  <c r="KG10" i="3"/>
  <c r="KB10" i="3"/>
  <c r="KC10" i="3" s="1"/>
  <c r="JZ10" i="3"/>
  <c r="JY10" i="3"/>
  <c r="JW10" i="3"/>
  <c r="JS10" i="3"/>
  <c r="JR10" i="3"/>
  <c r="JO10" i="3"/>
  <c r="JP10" i="3" s="1"/>
  <c r="JM10" i="3"/>
  <c r="JI10" i="3"/>
  <c r="JH10" i="3"/>
  <c r="JE10" i="3"/>
  <c r="JF10" i="3" s="1"/>
  <c r="JC10" i="3"/>
  <c r="IX10" i="3"/>
  <c r="IY10" i="3" s="1"/>
  <c r="IV10" i="3"/>
  <c r="IU10" i="3"/>
  <c r="IS10" i="3"/>
  <c r="IN10" i="3"/>
  <c r="IO10" i="3" s="1"/>
  <c r="IL10" i="3"/>
  <c r="IK10" i="3"/>
  <c r="II10" i="3"/>
  <c r="IE10" i="3"/>
  <c r="ID10" i="3"/>
  <c r="IA10" i="3"/>
  <c r="IB10" i="3" s="1"/>
  <c r="HY10" i="3"/>
  <c r="HU10" i="3"/>
  <c r="HT10" i="3"/>
  <c r="HQ10" i="3"/>
  <c r="HR10" i="3" s="1"/>
  <c r="HO10" i="3"/>
  <c r="HJ10" i="3"/>
  <c r="HK10" i="3" s="1"/>
  <c r="HH10" i="3"/>
  <c r="HG10" i="3"/>
  <c r="HE10" i="3"/>
  <c r="GZ10" i="3"/>
  <c r="HA10" i="3" s="1"/>
  <c r="GX10" i="3"/>
  <c r="GW10" i="3"/>
  <c r="GU10" i="3"/>
  <c r="GQ10" i="3"/>
  <c r="GQ12" i="3" s="1"/>
  <c r="GP10" i="3"/>
  <c r="GM10" i="3"/>
  <c r="GN10" i="3" s="1"/>
  <c r="GK10" i="3"/>
  <c r="GG10" i="3"/>
  <c r="GF10" i="3"/>
  <c r="GC10" i="3"/>
  <c r="GD10" i="3" s="1"/>
  <c r="GA10" i="3"/>
  <c r="FV10" i="3"/>
  <c r="FW10" i="3" s="1"/>
  <c r="FT10" i="3"/>
  <c r="FS10" i="3"/>
  <c r="FQ10" i="3"/>
  <c r="FL10" i="3"/>
  <c r="FM10" i="3" s="1"/>
  <c r="FJ10" i="3"/>
  <c r="FI10" i="3"/>
  <c r="FG10" i="3"/>
  <c r="FC10" i="3"/>
  <c r="FB10" i="3"/>
  <c r="EY10" i="3"/>
  <c r="EZ10" i="3" s="1"/>
  <c r="EW10" i="3"/>
  <c r="ES10" i="3"/>
  <c r="ER10" i="3"/>
  <c r="EO10" i="3"/>
  <c r="EP10" i="3" s="1"/>
  <c r="EM10" i="3"/>
  <c r="EH10" i="3"/>
  <c r="EI10" i="3" s="1"/>
  <c r="EF10" i="3"/>
  <c r="EE10" i="3"/>
  <c r="EC10" i="3"/>
  <c r="DX10" i="3"/>
  <c r="DY10" i="3" s="1"/>
  <c r="DV10" i="3"/>
  <c r="DU10" i="3"/>
  <c r="DS10" i="3"/>
  <c r="DO10" i="3"/>
  <c r="DN10" i="3"/>
  <c r="DK10" i="3"/>
  <c r="DL10" i="3" s="1"/>
  <c r="DI10" i="3"/>
  <c r="DE10" i="3"/>
  <c r="DD10" i="3"/>
  <c r="DA10" i="3"/>
  <c r="DB10" i="3" s="1"/>
  <c r="CZ10" i="3"/>
  <c r="CY10" i="3"/>
  <c r="CT10" i="3"/>
  <c r="CU10" i="3" s="1"/>
  <c r="CQ10" i="3"/>
  <c r="CP10" i="3"/>
  <c r="CR10" i="3" s="1"/>
  <c r="CR12" i="3" s="1"/>
  <c r="CO10" i="3"/>
  <c r="CO12" i="3" s="1"/>
  <c r="CK10" i="3"/>
  <c r="CJ10" i="3"/>
  <c r="CG10" i="3"/>
  <c r="CH10" i="3" s="1"/>
  <c r="CF10" i="3"/>
  <c r="CE10" i="3"/>
  <c r="BZ10" i="3"/>
  <c r="CA10" i="3" s="1"/>
  <c r="BW10" i="3"/>
  <c r="BV10" i="3"/>
  <c r="BX10" i="3" s="1"/>
  <c r="BU10" i="3"/>
  <c r="BQ10" i="3"/>
  <c r="BM10" i="3"/>
  <c r="BL10" i="3"/>
  <c r="BN10" i="3" s="1"/>
  <c r="BK10" i="3"/>
  <c r="BF10" i="3"/>
  <c r="BG10" i="3" s="1"/>
  <c r="BD10" i="3"/>
  <c r="BD12" i="3" s="1"/>
  <c r="BC10" i="3"/>
  <c r="BB10" i="3"/>
  <c r="BA10" i="3"/>
  <c r="AW10" i="3"/>
  <c r="AV10" i="3"/>
  <c r="AS10" i="3"/>
  <c r="AR10" i="3"/>
  <c r="AT10" i="3" s="1"/>
  <c r="AQ10" i="3"/>
  <c r="AL10" i="3"/>
  <c r="AM10" i="3" s="1"/>
  <c r="AM12" i="3" s="1"/>
  <c r="AM28" i="3" s="1"/>
  <c r="AM29" i="3" s="1"/>
  <c r="AJ10" i="3"/>
  <c r="AI10" i="3"/>
  <c r="AH10" i="3"/>
  <c r="AG10" i="3"/>
  <c r="AC10" i="3"/>
  <c r="AB10" i="3"/>
  <c r="Y10" i="3"/>
  <c r="X10" i="3"/>
  <c r="Z10" i="3" s="1"/>
  <c r="W10" i="3"/>
  <c r="S10" i="3"/>
  <c r="P10" i="3"/>
  <c r="M10" i="3"/>
  <c r="J10" i="3"/>
  <c r="G10" i="3"/>
  <c r="D10" i="3"/>
  <c r="RT9" i="3"/>
  <c r="RR9" i="3"/>
  <c r="RJ9" i="3"/>
  <c r="RH9" i="3"/>
  <c r="QZ9" i="3"/>
  <c r="QX9" i="3"/>
  <c r="QP9" i="3"/>
  <c r="QN9" i="3"/>
  <c r="QF9" i="3"/>
  <c r="QD9" i="3"/>
  <c r="PV9" i="3"/>
  <c r="PT9" i="3"/>
  <c r="PL9" i="3"/>
  <c r="PJ9" i="3"/>
  <c r="PB9" i="3"/>
  <c r="OZ9" i="3"/>
  <c r="OR9" i="3"/>
  <c r="OP9" i="3"/>
  <c r="OH9" i="3"/>
  <c r="OF9" i="3"/>
  <c r="NX9" i="3"/>
  <c r="NV9" i="3"/>
  <c r="NN9" i="3"/>
  <c r="NL9" i="3"/>
  <c r="ND9" i="3"/>
  <c r="NB9" i="3"/>
  <c r="MT9" i="3"/>
  <c r="MR9" i="3"/>
  <c r="MJ9" i="3"/>
  <c r="MH9" i="3"/>
  <c r="LZ9" i="3"/>
  <c r="LX9" i="3"/>
  <c r="LP9" i="3"/>
  <c r="LN9" i="3"/>
  <c r="LF9" i="3"/>
  <c r="LD9" i="3"/>
  <c r="KV9" i="3"/>
  <c r="KT9" i="3"/>
  <c r="KL9" i="3"/>
  <c r="KJ9" i="3"/>
  <c r="KC9" i="3"/>
  <c r="KB9" i="3"/>
  <c r="JZ9" i="3"/>
  <c r="JR9" i="3"/>
  <c r="JP9" i="3"/>
  <c r="JH9" i="3"/>
  <c r="JF9" i="3"/>
  <c r="IX9" i="3"/>
  <c r="IV9" i="3"/>
  <c r="IN9" i="3"/>
  <c r="IL9" i="3"/>
  <c r="ID9" i="3"/>
  <c r="IB9" i="3"/>
  <c r="HT9" i="3"/>
  <c r="HR9" i="3"/>
  <c r="HJ9" i="3"/>
  <c r="HH9" i="3"/>
  <c r="GZ9" i="3"/>
  <c r="GX9" i="3"/>
  <c r="GP9" i="3"/>
  <c r="GN9" i="3"/>
  <c r="GF9" i="3"/>
  <c r="GD9" i="3"/>
  <c r="FV9" i="3"/>
  <c r="FT9" i="3"/>
  <c r="FL9" i="3"/>
  <c r="FJ9" i="3"/>
  <c r="FB9" i="3"/>
  <c r="EZ9" i="3"/>
  <c r="ER9" i="3"/>
  <c r="EP9" i="3"/>
  <c r="EH9" i="3"/>
  <c r="EF9" i="3"/>
  <c r="DX9" i="3"/>
  <c r="DV9" i="3"/>
  <c r="DN9" i="3"/>
  <c r="DL9" i="3"/>
  <c r="DD9" i="3"/>
  <c r="DB9" i="3"/>
  <c r="CT9" i="3"/>
  <c r="CR9" i="3"/>
  <c r="CH9" i="3"/>
  <c r="BX9" i="3"/>
  <c r="BN9" i="3"/>
  <c r="BD9" i="3"/>
  <c r="AT9" i="3"/>
  <c r="AJ9" i="3"/>
  <c r="Z9" i="3"/>
  <c r="P9" i="3"/>
  <c r="G9" i="3"/>
  <c r="RU8" i="3"/>
  <c r="RR8" i="3"/>
  <c r="RO8" i="3"/>
  <c r="RO12" i="3" s="1"/>
  <c r="RK8" i="3"/>
  <c r="RH8" i="3"/>
  <c r="RE8" i="3"/>
  <c r="RA8" i="3"/>
  <c r="QX8" i="3"/>
  <c r="QU8" i="3"/>
  <c r="QQ8" i="3"/>
  <c r="QN8" i="3"/>
  <c r="QK8" i="3"/>
  <c r="QG8" i="3"/>
  <c r="QD8" i="3"/>
  <c r="QA8" i="3"/>
  <c r="QA12" i="3" s="1"/>
  <c r="PW8" i="3"/>
  <c r="PT8" i="3"/>
  <c r="PQ8" i="3"/>
  <c r="PM8" i="3"/>
  <c r="PJ8" i="3"/>
  <c r="PG8" i="3"/>
  <c r="PC8" i="3"/>
  <c r="OZ8" i="3"/>
  <c r="OZ12" i="3" s="1"/>
  <c r="OW8" i="3"/>
  <c r="OS8" i="3"/>
  <c r="OP8" i="3"/>
  <c r="OM8" i="3"/>
  <c r="OI8" i="3"/>
  <c r="OF8" i="3"/>
  <c r="OC8" i="3"/>
  <c r="NY8" i="3"/>
  <c r="NV8" i="3"/>
  <c r="NS8" i="3"/>
  <c r="NN8" i="3"/>
  <c r="NO8" i="3" s="1"/>
  <c r="NL8" i="3"/>
  <c r="NK8" i="3"/>
  <c r="NI8" i="3"/>
  <c r="NI12" i="3" s="1"/>
  <c r="NE8" i="3"/>
  <c r="NB8" i="3"/>
  <c r="MY8" i="3"/>
  <c r="MU8" i="3"/>
  <c r="MR8" i="3"/>
  <c r="MO8" i="3"/>
  <c r="MJ8" i="3"/>
  <c r="MK8" i="3" s="1"/>
  <c r="MH8" i="3"/>
  <c r="MG8" i="3"/>
  <c r="ME8" i="3"/>
  <c r="MA8" i="3"/>
  <c r="LX8" i="3"/>
  <c r="LW8" i="3"/>
  <c r="LU8" i="3"/>
  <c r="LQ8" i="3"/>
  <c r="LN8" i="3"/>
  <c r="LM8" i="3"/>
  <c r="LK8" i="3"/>
  <c r="LG8" i="3"/>
  <c r="LD8" i="3"/>
  <c r="LC8" i="3"/>
  <c r="LA8" i="3"/>
  <c r="KV8" i="3"/>
  <c r="KW8" i="3" s="1"/>
  <c r="KT8" i="3"/>
  <c r="KS8" i="3"/>
  <c r="KQ8" i="3"/>
  <c r="KM8" i="3"/>
  <c r="KL8" i="3"/>
  <c r="KI8" i="3"/>
  <c r="KJ8" i="3" s="1"/>
  <c r="KG8" i="3"/>
  <c r="KC8" i="3"/>
  <c r="KB8" i="3"/>
  <c r="JY8" i="3"/>
  <c r="JZ8" i="3" s="1"/>
  <c r="JW8" i="3"/>
  <c r="JS8" i="3"/>
  <c r="JO8" i="3"/>
  <c r="JP8" i="3" s="1"/>
  <c r="JM8" i="3"/>
  <c r="JI8" i="3"/>
  <c r="JE8" i="3"/>
  <c r="JF8" i="3" s="1"/>
  <c r="JC8" i="3"/>
  <c r="IY8" i="3"/>
  <c r="IU8" i="3"/>
  <c r="IV8" i="3" s="1"/>
  <c r="IV12" i="3" s="1"/>
  <c r="IS8" i="3"/>
  <c r="IO8" i="3"/>
  <c r="IK8" i="3"/>
  <c r="IL8" i="3" s="1"/>
  <c r="II8" i="3"/>
  <c r="IE8" i="3"/>
  <c r="IA8" i="3"/>
  <c r="IB8" i="3" s="1"/>
  <c r="HY8" i="3"/>
  <c r="HU8" i="3"/>
  <c r="HQ8" i="3"/>
  <c r="HR8" i="3" s="1"/>
  <c r="HO8" i="3"/>
  <c r="HK8" i="3"/>
  <c r="HG8" i="3"/>
  <c r="HH8" i="3" s="1"/>
  <c r="HH12" i="3" s="1"/>
  <c r="HE8" i="3"/>
  <c r="HA8" i="3"/>
  <c r="GW8" i="3"/>
  <c r="GX8" i="3" s="1"/>
  <c r="GU8" i="3"/>
  <c r="GQ8" i="3"/>
  <c r="GM8" i="3"/>
  <c r="GN8" i="3" s="1"/>
  <c r="GK8" i="3"/>
  <c r="GG8" i="3"/>
  <c r="GC8" i="3"/>
  <c r="GD8" i="3" s="1"/>
  <c r="GD12" i="3" s="1"/>
  <c r="GA8" i="3"/>
  <c r="FW8" i="3"/>
  <c r="FS8" i="3"/>
  <c r="FT8" i="3" s="1"/>
  <c r="FT12" i="3" s="1"/>
  <c r="FQ8" i="3"/>
  <c r="FM8" i="3"/>
  <c r="FI8" i="3"/>
  <c r="FJ8" i="3" s="1"/>
  <c r="FJ12" i="3" s="1"/>
  <c r="FG8" i="3"/>
  <c r="FC8" i="3"/>
  <c r="EY8" i="3"/>
  <c r="EZ8" i="3" s="1"/>
  <c r="EZ12" i="3" s="1"/>
  <c r="EW8" i="3"/>
  <c r="ER8" i="3"/>
  <c r="ES8" i="3" s="1"/>
  <c r="EP8" i="3"/>
  <c r="EP12" i="3" s="1"/>
  <c r="EO8" i="3"/>
  <c r="EM8" i="3"/>
  <c r="EH8" i="3"/>
  <c r="EI8" i="3" s="1"/>
  <c r="EF8" i="3"/>
  <c r="EF12" i="3" s="1"/>
  <c r="EE8" i="3"/>
  <c r="EC8" i="3"/>
  <c r="DY8" i="3"/>
  <c r="DX8" i="3"/>
  <c r="DU8" i="3"/>
  <c r="DV8" i="3" s="1"/>
  <c r="DV12" i="3" s="1"/>
  <c r="DS8" i="3"/>
  <c r="DO8" i="3"/>
  <c r="DN8" i="3"/>
  <c r="DK8" i="3"/>
  <c r="DL8" i="3" s="1"/>
  <c r="DL12" i="3" s="1"/>
  <c r="DI8" i="3"/>
  <c r="DD8" i="3"/>
  <c r="DE8" i="3" s="1"/>
  <c r="DE12" i="3" s="1"/>
  <c r="DB8" i="3"/>
  <c r="DB12" i="3" s="1"/>
  <c r="DA8" i="3"/>
  <c r="CY8" i="3"/>
  <c r="CT8" i="3"/>
  <c r="CU8" i="3" s="1"/>
  <c r="CR8" i="3"/>
  <c r="CQ8" i="3"/>
  <c r="CO8" i="3"/>
  <c r="CK8" i="3"/>
  <c r="CH8" i="3"/>
  <c r="CE8" i="3"/>
  <c r="CA8" i="3"/>
  <c r="BX8" i="3"/>
  <c r="BX12" i="3" s="1"/>
  <c r="BU8" i="3"/>
  <c r="BQ8" i="3"/>
  <c r="BN8" i="3"/>
  <c r="BK8" i="3"/>
  <c r="BG8" i="3"/>
  <c r="BD8" i="3"/>
  <c r="BA8" i="3"/>
  <c r="AW8" i="3"/>
  <c r="AT8" i="3"/>
  <c r="AQ8" i="3"/>
  <c r="AM8" i="3"/>
  <c r="AJ8" i="3"/>
  <c r="AJ12" i="3" s="1"/>
  <c r="AG8" i="3"/>
  <c r="AC8" i="3"/>
  <c r="Z8" i="3"/>
  <c r="W8" i="3"/>
  <c r="W28" i="3" s="1"/>
  <c r="S8" i="3"/>
  <c r="P8" i="3"/>
  <c r="M8" i="3"/>
  <c r="J8" i="3"/>
  <c r="J28" i="3" s="1"/>
  <c r="J29" i="3" s="1"/>
  <c r="G8" i="3"/>
  <c r="D8" i="3"/>
  <c r="RT7" i="3"/>
  <c r="RU7" i="3" s="1"/>
  <c r="RR7" i="3"/>
  <c r="RO7" i="3"/>
  <c r="RJ7" i="3"/>
  <c r="RK7" i="3" s="1"/>
  <c r="RH7" i="3"/>
  <c r="RE7" i="3"/>
  <c r="QZ7" i="3"/>
  <c r="RA7" i="3" s="1"/>
  <c r="QX7" i="3"/>
  <c r="QU7" i="3"/>
  <c r="QP7" i="3"/>
  <c r="QQ7" i="3" s="1"/>
  <c r="QN7" i="3"/>
  <c r="QK7" i="3"/>
  <c r="QF7" i="3"/>
  <c r="QG7" i="3" s="1"/>
  <c r="QD7" i="3"/>
  <c r="QA7" i="3"/>
  <c r="PV7" i="3"/>
  <c r="PW7" i="3" s="1"/>
  <c r="PT7" i="3"/>
  <c r="PQ7" i="3"/>
  <c r="PL7" i="3"/>
  <c r="PM7" i="3" s="1"/>
  <c r="PJ7" i="3"/>
  <c r="PG7" i="3"/>
  <c r="PG12" i="3" s="1"/>
  <c r="PB7" i="3"/>
  <c r="PC7" i="3" s="1"/>
  <c r="OZ7" i="3"/>
  <c r="OW7" i="3"/>
  <c r="OR7" i="3"/>
  <c r="OS7" i="3" s="1"/>
  <c r="OP7" i="3"/>
  <c r="OM7" i="3"/>
  <c r="OH7" i="3"/>
  <c r="OI7" i="3" s="1"/>
  <c r="OF7" i="3"/>
  <c r="OC7" i="3"/>
  <c r="NX7" i="3"/>
  <c r="NY7" i="3" s="1"/>
  <c r="NV7" i="3"/>
  <c r="NS7" i="3"/>
  <c r="NN7" i="3"/>
  <c r="NO7" i="3" s="1"/>
  <c r="NL7" i="3"/>
  <c r="NI7" i="3"/>
  <c r="ND7" i="3"/>
  <c r="NE7" i="3" s="1"/>
  <c r="NB7" i="3"/>
  <c r="MY7" i="3"/>
  <c r="MT7" i="3"/>
  <c r="MU7" i="3" s="1"/>
  <c r="MR7" i="3"/>
  <c r="MO7" i="3"/>
  <c r="MJ7" i="3"/>
  <c r="MK7" i="3" s="1"/>
  <c r="MH7" i="3"/>
  <c r="MG7" i="3"/>
  <c r="ME7" i="3"/>
  <c r="MA7" i="3"/>
  <c r="LZ7" i="3"/>
  <c r="LW7" i="3"/>
  <c r="LX7" i="3" s="1"/>
  <c r="LU7" i="3"/>
  <c r="LU12" i="3" s="1"/>
  <c r="LQ7" i="3"/>
  <c r="LP7" i="3"/>
  <c r="LM7" i="3"/>
  <c r="LN7" i="3" s="1"/>
  <c r="LK7" i="3"/>
  <c r="LF7" i="3"/>
  <c r="LG7" i="3" s="1"/>
  <c r="LD7" i="3"/>
  <c r="LC7" i="3"/>
  <c r="LA7" i="3"/>
  <c r="KV7" i="3"/>
  <c r="KW7" i="3" s="1"/>
  <c r="KT7" i="3"/>
  <c r="KS7" i="3"/>
  <c r="KQ7" i="3"/>
  <c r="KQ12" i="3" s="1"/>
  <c r="KM7" i="3"/>
  <c r="KL7" i="3"/>
  <c r="KI7" i="3"/>
  <c r="KJ7" i="3" s="1"/>
  <c r="KG7" i="3"/>
  <c r="KG12" i="3" s="1"/>
  <c r="KC7" i="3"/>
  <c r="KB7" i="3"/>
  <c r="JY7" i="3"/>
  <c r="JZ7" i="3" s="1"/>
  <c r="JW7" i="3"/>
  <c r="JR7" i="3"/>
  <c r="JS7" i="3" s="1"/>
  <c r="JP7" i="3"/>
  <c r="JO7" i="3"/>
  <c r="JM7" i="3"/>
  <c r="JH7" i="3"/>
  <c r="JI7" i="3" s="1"/>
  <c r="JF7" i="3"/>
  <c r="JE7" i="3"/>
  <c r="JC7" i="3"/>
  <c r="JC12" i="3" s="1"/>
  <c r="IY7" i="3"/>
  <c r="IX7" i="3"/>
  <c r="IU7" i="3"/>
  <c r="IV7" i="3" s="1"/>
  <c r="IS7" i="3"/>
  <c r="IS12" i="3" s="1"/>
  <c r="IO7" i="3"/>
  <c r="IN7" i="3"/>
  <c r="IK7" i="3"/>
  <c r="IL7" i="3" s="1"/>
  <c r="II7" i="3"/>
  <c r="ID7" i="3"/>
  <c r="IE7" i="3" s="1"/>
  <c r="IB7" i="3"/>
  <c r="IA7" i="3"/>
  <c r="HY7" i="3"/>
  <c r="HT7" i="3"/>
  <c r="HU7" i="3" s="1"/>
  <c r="HR7" i="3"/>
  <c r="HQ7" i="3"/>
  <c r="HO7" i="3"/>
  <c r="HO12" i="3" s="1"/>
  <c r="HK7" i="3"/>
  <c r="HJ7" i="3"/>
  <c r="HG7" i="3"/>
  <c r="HH7" i="3" s="1"/>
  <c r="HE7" i="3"/>
  <c r="HE12" i="3" s="1"/>
  <c r="HA7" i="3"/>
  <c r="GZ7" i="3"/>
  <c r="GW7" i="3"/>
  <c r="GX7" i="3" s="1"/>
  <c r="GU7" i="3"/>
  <c r="GP7" i="3"/>
  <c r="GQ7" i="3" s="1"/>
  <c r="GN7" i="3"/>
  <c r="GM7" i="3"/>
  <c r="GK7" i="3"/>
  <c r="GF7" i="3"/>
  <c r="GG7" i="3" s="1"/>
  <c r="GC7" i="3"/>
  <c r="GA7" i="3"/>
  <c r="FV7" i="3"/>
  <c r="FW7" i="3" s="1"/>
  <c r="FS7" i="3"/>
  <c r="FQ7" i="3"/>
  <c r="FL7" i="3"/>
  <c r="FM7" i="3" s="1"/>
  <c r="FI7" i="3"/>
  <c r="FG7" i="3"/>
  <c r="FB7" i="3"/>
  <c r="FC7" i="3" s="1"/>
  <c r="EY7" i="3"/>
  <c r="EW7" i="3"/>
  <c r="ER7" i="3"/>
  <c r="ES7" i="3" s="1"/>
  <c r="EO7" i="3"/>
  <c r="EM7" i="3"/>
  <c r="EH7" i="3"/>
  <c r="EI7" i="3" s="1"/>
  <c r="EE7" i="3"/>
  <c r="EC7" i="3"/>
  <c r="DX7" i="3"/>
  <c r="DY7" i="3" s="1"/>
  <c r="DY12" i="3" s="1"/>
  <c r="DY28" i="3" s="1"/>
  <c r="DY29" i="3" s="1"/>
  <c r="DU7" i="3"/>
  <c r="DS7" i="3"/>
  <c r="DN7" i="3"/>
  <c r="DO7" i="3" s="1"/>
  <c r="DK7" i="3"/>
  <c r="DI7" i="3"/>
  <c r="DD7" i="3"/>
  <c r="DE7" i="3" s="1"/>
  <c r="DA7" i="3"/>
  <c r="CY7" i="3"/>
  <c r="CY12" i="3" s="1"/>
  <c r="CT7" i="3"/>
  <c r="CU7" i="3" s="1"/>
  <c r="CQ7" i="3"/>
  <c r="CO7" i="3"/>
  <c r="CK7" i="3"/>
  <c r="CE7" i="3"/>
  <c r="CE12" i="3" s="1"/>
  <c r="CA7" i="3"/>
  <c r="BU7" i="3"/>
  <c r="BQ7" i="3"/>
  <c r="BK7" i="3"/>
  <c r="BK12" i="3" s="1"/>
  <c r="BG7" i="3"/>
  <c r="BA7" i="3"/>
  <c r="RT6" i="3"/>
  <c r="RU6" i="3" s="1"/>
  <c r="RR6" i="3"/>
  <c r="RO6" i="3"/>
  <c r="RJ6" i="3"/>
  <c r="RK6" i="3" s="1"/>
  <c r="RH6" i="3"/>
  <c r="RH12" i="3" s="1"/>
  <c r="RE6" i="3"/>
  <c r="QZ6" i="3"/>
  <c r="RA6" i="3" s="1"/>
  <c r="QX6" i="3"/>
  <c r="QU6" i="3"/>
  <c r="QP6" i="3"/>
  <c r="QQ6" i="3" s="1"/>
  <c r="QQ12" i="3" s="1"/>
  <c r="QQ28" i="3" s="1"/>
  <c r="QN6" i="3"/>
  <c r="QK6" i="3"/>
  <c r="QF6" i="3"/>
  <c r="QG6" i="3" s="1"/>
  <c r="QG12" i="3" s="1"/>
  <c r="QG28" i="3" s="1"/>
  <c r="QD6" i="3"/>
  <c r="QA6" i="3"/>
  <c r="PV6" i="3"/>
  <c r="PW6" i="3" s="1"/>
  <c r="PT6" i="3"/>
  <c r="PQ6" i="3"/>
  <c r="PL6" i="3"/>
  <c r="PM6" i="3" s="1"/>
  <c r="PM12" i="3" s="1"/>
  <c r="PJ6" i="3"/>
  <c r="PG6" i="3"/>
  <c r="PB6" i="3"/>
  <c r="PC6" i="3" s="1"/>
  <c r="PC12" i="3" s="1"/>
  <c r="PC28" i="3" s="1"/>
  <c r="OZ6" i="3"/>
  <c r="OW6" i="3"/>
  <c r="OR6" i="3"/>
  <c r="OS6" i="3" s="1"/>
  <c r="OP6" i="3"/>
  <c r="OM6" i="3"/>
  <c r="OH6" i="3"/>
  <c r="OI6" i="3" s="1"/>
  <c r="OF6" i="3"/>
  <c r="OC6" i="3"/>
  <c r="NX6" i="3"/>
  <c r="NY6" i="3" s="1"/>
  <c r="NV6" i="3"/>
  <c r="NV12" i="3" s="1"/>
  <c r="NS6" i="3"/>
  <c r="NN6" i="3"/>
  <c r="NO6" i="3" s="1"/>
  <c r="NO12" i="3" s="1"/>
  <c r="NL6" i="3"/>
  <c r="NI6" i="3"/>
  <c r="NE6" i="3"/>
  <c r="NB6" i="3"/>
  <c r="NB12" i="3" s="1"/>
  <c r="MY6" i="3"/>
  <c r="MT6" i="3"/>
  <c r="MU6" i="3" s="1"/>
  <c r="MU12" i="3" s="1"/>
  <c r="MR6" i="3"/>
  <c r="MR12" i="3" s="1"/>
  <c r="MO6" i="3"/>
  <c r="MJ6" i="3"/>
  <c r="MK6" i="3" s="1"/>
  <c r="MK12" i="3" s="1"/>
  <c r="MH6" i="3"/>
  <c r="MG6" i="3"/>
  <c r="ME6" i="3"/>
  <c r="LZ6" i="3"/>
  <c r="MA6" i="3" s="1"/>
  <c r="LX6" i="3"/>
  <c r="LW6" i="3"/>
  <c r="LU6" i="3"/>
  <c r="LQ6" i="3"/>
  <c r="LP6" i="3"/>
  <c r="LM6" i="3"/>
  <c r="LN6" i="3" s="1"/>
  <c r="LN12" i="3" s="1"/>
  <c r="LK6" i="3"/>
  <c r="LK12" i="3" s="1"/>
  <c r="LG6" i="3"/>
  <c r="LF6" i="3"/>
  <c r="LC6" i="3"/>
  <c r="LD6" i="3" s="1"/>
  <c r="LD12" i="3" s="1"/>
  <c r="LA6" i="3"/>
  <c r="KV6" i="3"/>
  <c r="KW6" i="3" s="1"/>
  <c r="KW12" i="3" s="1"/>
  <c r="KT6" i="3"/>
  <c r="KS6" i="3"/>
  <c r="KQ6" i="3"/>
  <c r="KL6" i="3"/>
  <c r="KM6" i="3" s="1"/>
  <c r="KJ6" i="3"/>
  <c r="KI6" i="3"/>
  <c r="KG6" i="3"/>
  <c r="KC6" i="3"/>
  <c r="KC12" i="3" s="1"/>
  <c r="KC28" i="3" s="1"/>
  <c r="KB6" i="3"/>
  <c r="JY6" i="3"/>
  <c r="JZ6" i="3" s="1"/>
  <c r="JZ12" i="3" s="1"/>
  <c r="JW6" i="3"/>
  <c r="JS6" i="3"/>
  <c r="JR6" i="3"/>
  <c r="JO6" i="3"/>
  <c r="JP6" i="3" s="1"/>
  <c r="JP12" i="3" s="1"/>
  <c r="JM6" i="3"/>
  <c r="JH6" i="3"/>
  <c r="JI6" i="3" s="1"/>
  <c r="JF6" i="3"/>
  <c r="JE6" i="3"/>
  <c r="JC6" i="3"/>
  <c r="IX6" i="3"/>
  <c r="IY6" i="3" s="1"/>
  <c r="IV6" i="3"/>
  <c r="IU6" i="3"/>
  <c r="IS6" i="3"/>
  <c r="IO6" i="3"/>
  <c r="IN6" i="3"/>
  <c r="IK6" i="3"/>
  <c r="IL6" i="3" s="1"/>
  <c r="IL12" i="3" s="1"/>
  <c r="II6" i="3"/>
  <c r="IE6" i="3"/>
  <c r="ID6" i="3"/>
  <c r="IA6" i="3"/>
  <c r="IB6" i="3" s="1"/>
  <c r="IB12" i="3" s="1"/>
  <c r="HY6" i="3"/>
  <c r="HT6" i="3"/>
  <c r="HU6" i="3" s="1"/>
  <c r="HU12" i="3" s="1"/>
  <c r="HR6" i="3"/>
  <c r="HQ6" i="3"/>
  <c r="HO6" i="3"/>
  <c r="HJ6" i="3"/>
  <c r="HK6" i="3" s="1"/>
  <c r="HH6" i="3"/>
  <c r="HG6" i="3"/>
  <c r="HE6" i="3"/>
  <c r="HA6" i="3"/>
  <c r="GZ6" i="3"/>
  <c r="GW6" i="3"/>
  <c r="GX6" i="3" s="1"/>
  <c r="GX12" i="3" s="1"/>
  <c r="GU6" i="3"/>
  <c r="GU12" i="3" s="1"/>
  <c r="GQ6" i="3"/>
  <c r="GP6" i="3"/>
  <c r="GM6" i="3"/>
  <c r="GN6" i="3" s="1"/>
  <c r="GN12" i="3" s="1"/>
  <c r="GK6" i="3"/>
  <c r="GF6" i="3"/>
  <c r="GG6" i="3" s="1"/>
  <c r="GG12" i="3" s="1"/>
  <c r="GC6" i="3"/>
  <c r="GA6" i="3"/>
  <c r="FW6" i="3"/>
  <c r="FS6" i="3"/>
  <c r="FQ6" i="3"/>
  <c r="FM6" i="3"/>
  <c r="FL6" i="3"/>
  <c r="FI6" i="3"/>
  <c r="FG6" i="3"/>
  <c r="FC6" i="3"/>
  <c r="FB6" i="3"/>
  <c r="EY6" i="3"/>
  <c r="EW6" i="3"/>
  <c r="ES6" i="3"/>
  <c r="ER6" i="3"/>
  <c r="EO6" i="3"/>
  <c r="EM6" i="3"/>
  <c r="EM12" i="3" s="1"/>
  <c r="EI6" i="3"/>
  <c r="EH6" i="3"/>
  <c r="EE6" i="3"/>
  <c r="EC6" i="3"/>
  <c r="DY6" i="3"/>
  <c r="DX6" i="3"/>
  <c r="DU6" i="3"/>
  <c r="DS6" i="3"/>
  <c r="DO6" i="3"/>
  <c r="DN6" i="3"/>
  <c r="DK6" i="3"/>
  <c r="DI6" i="3"/>
  <c r="DE6" i="3"/>
  <c r="DD6" i="3"/>
  <c r="DA6" i="3"/>
  <c r="CY6" i="3"/>
  <c r="CU6" i="3"/>
  <c r="CT6" i="3"/>
  <c r="CQ6" i="3"/>
  <c r="CO6" i="3"/>
  <c r="CK6" i="3"/>
  <c r="CE6" i="3"/>
  <c r="CA6" i="3"/>
  <c r="CA12" i="3" s="1"/>
  <c r="BU6" i="3"/>
  <c r="BQ6" i="3"/>
  <c r="BQ12" i="3" s="1"/>
  <c r="BK6" i="3"/>
  <c r="BG6" i="3"/>
  <c r="BA6" i="3"/>
  <c r="BA12" i="3" s="1"/>
  <c r="AW6" i="3"/>
  <c r="AQ6" i="3"/>
  <c r="AM6" i="3"/>
  <c r="AG6" i="3"/>
  <c r="AG12" i="3" s="1"/>
  <c r="AC6" i="3"/>
  <c r="W6" i="3"/>
  <c r="D6" i="3"/>
  <c r="RR4" i="3"/>
  <c r="RO4" i="3"/>
  <c r="RH4" i="3"/>
  <c r="RE4" i="3"/>
  <c r="QX4" i="3"/>
  <c r="QU4" i="3"/>
  <c r="QN4" i="3"/>
  <c r="QK4" i="3"/>
  <c r="QD4" i="3"/>
  <c r="QA4" i="3"/>
  <c r="PT4" i="3"/>
  <c r="PQ4" i="3"/>
  <c r="PJ4" i="3"/>
  <c r="PG4" i="3"/>
  <c r="OZ4" i="3"/>
  <c r="OW4" i="3"/>
  <c r="OP4" i="3"/>
  <c r="OM4" i="3"/>
  <c r="OF4" i="3"/>
  <c r="OC4" i="3"/>
  <c r="NV4" i="3"/>
  <c r="NS4" i="3"/>
  <c r="NL4" i="3"/>
  <c r="NI4" i="3"/>
  <c r="NB4" i="3"/>
  <c r="MY4" i="3"/>
  <c r="MR4" i="3"/>
  <c r="MO4" i="3"/>
  <c r="MH4" i="3"/>
  <c r="ME4" i="3"/>
  <c r="LX4" i="3"/>
  <c r="LU4" i="3"/>
  <c r="LN4" i="3"/>
  <c r="LK4" i="3"/>
  <c r="LD4" i="3"/>
  <c r="LA4" i="3"/>
  <c r="KT4" i="3"/>
  <c r="KQ4" i="3"/>
  <c r="KJ4" i="3"/>
  <c r="KG4" i="3"/>
  <c r="JZ4" i="3"/>
  <c r="JW4" i="3"/>
  <c r="JP4" i="3"/>
  <c r="JM4" i="3"/>
  <c r="JF4" i="3"/>
  <c r="JC4" i="3"/>
  <c r="IV4" i="3"/>
  <c r="IS4" i="3"/>
  <c r="IL4" i="3"/>
  <c r="II4" i="3"/>
  <c r="IB4" i="3"/>
  <c r="HY4" i="3"/>
  <c r="HR4" i="3"/>
  <c r="HO4" i="3"/>
  <c r="HH4" i="3"/>
  <c r="HE4" i="3"/>
  <c r="GX4" i="3"/>
  <c r="GU4" i="3"/>
  <c r="GN4" i="3"/>
  <c r="GK4" i="3"/>
  <c r="GD4" i="3"/>
  <c r="GA4" i="3"/>
  <c r="FT4" i="3"/>
  <c r="FQ4" i="3"/>
  <c r="FJ4" i="3"/>
  <c r="FG4" i="3"/>
  <c r="EZ4" i="3"/>
  <c r="EW4" i="3"/>
  <c r="EP4" i="3"/>
  <c r="EM4" i="3"/>
  <c r="EF4" i="3"/>
  <c r="EC4" i="3"/>
  <c r="DV4" i="3"/>
  <c r="DS4" i="3"/>
  <c r="DL4" i="3"/>
  <c r="DI4" i="3"/>
  <c r="DB4" i="3"/>
  <c r="CY4" i="3"/>
  <c r="CR4" i="3"/>
  <c r="CO4" i="3"/>
  <c r="CH4" i="3"/>
  <c r="CE4" i="3"/>
  <c r="BX4" i="3"/>
  <c r="BU4" i="3"/>
  <c r="BU28" i="3" s="1"/>
  <c r="BN4" i="3"/>
  <c r="BK4" i="3"/>
  <c r="BD4" i="3"/>
  <c r="BA4" i="3"/>
  <c r="AT4" i="3"/>
  <c r="AQ4" i="3"/>
  <c r="AJ4" i="3"/>
  <c r="AG4" i="3"/>
  <c r="Z4" i="3"/>
  <c r="W4" i="3"/>
  <c r="P4" i="3"/>
  <c r="M4" i="3"/>
  <c r="G4" i="3"/>
  <c r="D4" i="3"/>
  <c r="D28" i="3" s="1"/>
  <c r="D29" i="3" s="1"/>
  <c r="RR3" i="3"/>
  <c r="RO3" i="3"/>
  <c r="RH3" i="3"/>
  <c r="RH28" i="3" s="1"/>
  <c r="RE3" i="3"/>
  <c r="QX3" i="3"/>
  <c r="QU3" i="3"/>
  <c r="QU28" i="3" s="1"/>
  <c r="QT28" i="3" s="1"/>
  <c r="QN3" i="3"/>
  <c r="QK3" i="3"/>
  <c r="QD3" i="3"/>
  <c r="QA3" i="3"/>
  <c r="PT3" i="3"/>
  <c r="PT28" i="3" s="1"/>
  <c r="PQ3" i="3"/>
  <c r="PJ3" i="3"/>
  <c r="PG3" i="3"/>
  <c r="OZ3" i="3"/>
  <c r="OW3" i="3"/>
  <c r="OW28" i="3" s="1"/>
  <c r="OP3" i="3"/>
  <c r="OM3" i="3"/>
  <c r="OF3" i="3"/>
  <c r="OC3" i="3"/>
  <c r="NV3" i="3"/>
  <c r="NS3" i="3"/>
  <c r="NS28" i="3" s="1"/>
  <c r="NL3" i="3"/>
  <c r="NI3" i="3"/>
  <c r="NB3" i="3"/>
  <c r="NB28" i="3" s="1"/>
  <c r="MY3" i="3"/>
  <c r="MR3" i="3"/>
  <c r="MO3" i="3"/>
  <c r="MO28" i="3" s="1"/>
  <c r="MH3" i="3"/>
  <c r="ME3" i="3"/>
  <c r="ME28" i="3" s="1"/>
  <c r="ME29" i="3" s="1"/>
  <c r="LX3" i="3"/>
  <c r="LU3" i="3"/>
  <c r="LN3" i="3"/>
  <c r="LK3" i="3"/>
  <c r="LD3" i="3"/>
  <c r="LA3" i="3"/>
  <c r="KT3" i="3"/>
  <c r="KT28" i="3" s="1"/>
  <c r="KQ3" i="3"/>
  <c r="KQ28" i="3" s="1"/>
  <c r="KJ3" i="3"/>
  <c r="KG3" i="3"/>
  <c r="JZ3" i="3"/>
  <c r="JW3" i="3"/>
  <c r="JP3" i="3"/>
  <c r="JM3" i="3"/>
  <c r="JF3" i="3"/>
  <c r="JC3" i="3"/>
  <c r="IV3" i="3"/>
  <c r="IS3" i="3"/>
  <c r="IL3" i="3"/>
  <c r="II3" i="3"/>
  <c r="IB3" i="3"/>
  <c r="HY3" i="3"/>
  <c r="HR3" i="3"/>
  <c r="HO3" i="3"/>
  <c r="HO28" i="3" s="1"/>
  <c r="HN28" i="3" s="1"/>
  <c r="HH3" i="3"/>
  <c r="HE3" i="3"/>
  <c r="GX3" i="3"/>
  <c r="GU3" i="3"/>
  <c r="GN3" i="3"/>
  <c r="GK3" i="3"/>
  <c r="GK28" i="3" s="1"/>
  <c r="GD3" i="3"/>
  <c r="GD28" i="3" s="1"/>
  <c r="GA3" i="3"/>
  <c r="GA28" i="3" s="1"/>
  <c r="GA29" i="3" s="1"/>
  <c r="FT3" i="3"/>
  <c r="FQ3" i="3"/>
  <c r="FJ3" i="3"/>
  <c r="FG3" i="3"/>
  <c r="FG28" i="3" s="1"/>
  <c r="EZ3" i="3"/>
  <c r="EW3" i="3"/>
  <c r="EW28" i="3" s="1"/>
  <c r="EP3" i="3"/>
  <c r="EM3" i="3"/>
  <c r="EF3" i="3"/>
  <c r="EC3" i="3"/>
  <c r="DV3" i="3"/>
  <c r="DS3" i="3"/>
  <c r="DL3" i="3"/>
  <c r="DI3" i="3"/>
  <c r="DB3" i="3"/>
  <c r="DB28" i="3" s="1"/>
  <c r="CY3" i="3"/>
  <c r="CR3" i="3"/>
  <c r="CO3" i="3"/>
  <c r="CH3" i="3"/>
  <c r="CE3" i="3"/>
  <c r="BX3" i="3"/>
  <c r="BU3" i="3"/>
  <c r="BK3" i="3"/>
  <c r="BK28" i="3" s="1"/>
  <c r="BK29" i="3" s="1"/>
  <c r="BD3" i="3"/>
  <c r="BA3" i="3"/>
  <c r="BA28" i="3" s="1"/>
  <c r="BA29" i="3" s="1"/>
  <c r="AT3" i="3"/>
  <c r="AQ3" i="3"/>
  <c r="AQ28" i="3" s="1"/>
  <c r="AQ29" i="3" s="1"/>
  <c r="AJ3" i="3"/>
  <c r="AG3" i="3"/>
  <c r="Z3" i="3"/>
  <c r="W3" i="3"/>
  <c r="P3" i="3"/>
  <c r="M3" i="3"/>
  <c r="G3" i="3"/>
  <c r="D3" i="3"/>
  <c r="F1352" i="1"/>
  <c r="F1351" i="1"/>
  <c r="F1350" i="1"/>
  <c r="F1349" i="1"/>
  <c r="F1348" i="1"/>
  <c r="F1347" i="1"/>
  <c r="F1346" i="1"/>
  <c r="F1344" i="1"/>
  <c r="F1343" i="1"/>
  <c r="F1342" i="1"/>
  <c r="F1341" i="1"/>
  <c r="F1340" i="1"/>
  <c r="F1339" i="1"/>
  <c r="F1338" i="1"/>
  <c r="F1337" i="1"/>
  <c r="F1336" i="1"/>
  <c r="F1335" i="1"/>
  <c r="F1334" i="1"/>
  <c r="QG29" i="3" l="1"/>
  <c r="QE28" i="3"/>
  <c r="MU28" i="3"/>
  <c r="KC29" i="3"/>
  <c r="KA28" i="3"/>
  <c r="GD29" i="3"/>
  <c r="GC28" i="3"/>
  <c r="NA28" i="3"/>
  <c r="NB29" i="3"/>
  <c r="PA28" i="3"/>
  <c r="PC29" i="3"/>
  <c r="II12" i="3"/>
  <c r="EV28" i="3"/>
  <c r="EW29" i="3"/>
  <c r="GJ28" i="3"/>
  <c r="GK29" i="3"/>
  <c r="LU28" i="3"/>
  <c r="CK12" i="3"/>
  <c r="CK28" i="3" s="1"/>
  <c r="CK29" i="3" s="1"/>
  <c r="FC12" i="3"/>
  <c r="FC28" i="3" s="1"/>
  <c r="FC29" i="3" s="1"/>
  <c r="OS12" i="3"/>
  <c r="OS28" i="3" s="1"/>
  <c r="RU12" i="3"/>
  <c r="RU28" i="3" s="1"/>
  <c r="FM12" i="3"/>
  <c r="FM28" i="3" s="1"/>
  <c r="FM29" i="3" s="1"/>
  <c r="LA29" i="3"/>
  <c r="KZ28" i="3"/>
  <c r="M28" i="3"/>
  <c r="M29" i="3" s="1"/>
  <c r="AG28" i="3"/>
  <c r="BX28" i="3"/>
  <c r="CR28" i="3"/>
  <c r="DL28" i="3"/>
  <c r="EF28" i="3"/>
  <c r="EZ28" i="3"/>
  <c r="FT28" i="3"/>
  <c r="GN28" i="3"/>
  <c r="HH28" i="3"/>
  <c r="IB28" i="3"/>
  <c r="IV28" i="3"/>
  <c r="JP28" i="3"/>
  <c r="KJ28" i="3"/>
  <c r="LD28" i="3"/>
  <c r="LX28" i="3"/>
  <c r="MR28" i="3"/>
  <c r="NL28" i="3"/>
  <c r="OF28" i="3"/>
  <c r="OZ28" i="3"/>
  <c r="PS28" i="3"/>
  <c r="PT29" i="3"/>
  <c r="QN28" i="3"/>
  <c r="RH29" i="3"/>
  <c r="RG28" i="3"/>
  <c r="BN28" i="3"/>
  <c r="BN29" i="3" s="1"/>
  <c r="EP28" i="3"/>
  <c r="HR28" i="3"/>
  <c r="JF28" i="3"/>
  <c r="JZ28" i="3"/>
  <c r="OP28" i="3"/>
  <c r="QX28" i="3"/>
  <c r="RR28" i="3"/>
  <c r="DI28" i="3"/>
  <c r="DS12" i="3"/>
  <c r="DS28" i="3"/>
  <c r="EC28" i="3"/>
  <c r="EC12" i="3"/>
  <c r="HR12" i="3"/>
  <c r="JF12" i="3"/>
  <c r="KJ12" i="3"/>
  <c r="LX12" i="3"/>
  <c r="MH12" i="3"/>
  <c r="OI12" i="3"/>
  <c r="PJ12" i="3"/>
  <c r="PW12" i="3"/>
  <c r="PW28" i="3" s="1"/>
  <c r="RK12" i="3"/>
  <c r="FQ12" i="3"/>
  <c r="LG26" i="3"/>
  <c r="OI26" i="3"/>
  <c r="RK26" i="3"/>
  <c r="EI26" i="3"/>
  <c r="KM26" i="3"/>
  <c r="AO28" i="3"/>
  <c r="BI28" i="3"/>
  <c r="DB29" i="3"/>
  <c r="DA28" i="3"/>
  <c r="KT29" i="3"/>
  <c r="KS28" i="3"/>
  <c r="NO28" i="3"/>
  <c r="QQ29" i="3"/>
  <c r="QO28" i="3"/>
  <c r="JW12" i="3"/>
  <c r="U28" i="3"/>
  <c r="W29" i="3"/>
  <c r="Z28" i="3"/>
  <c r="FQ28" i="3"/>
  <c r="MO29" i="3"/>
  <c r="MN28" i="3"/>
  <c r="OW29" i="3"/>
  <c r="OV28" i="3"/>
  <c r="AW12" i="3"/>
  <c r="AW28" i="3" s="1"/>
  <c r="AW29" i="3" s="1"/>
  <c r="DO12" i="3"/>
  <c r="DO28" i="3" s="1"/>
  <c r="DO29" i="3" s="1"/>
  <c r="NE12" i="3"/>
  <c r="NE28" i="3" s="1"/>
  <c r="BN12" i="3"/>
  <c r="P28" i="3"/>
  <c r="P29" i="3" s="1"/>
  <c r="AJ28" i="3"/>
  <c r="AJ29" i="3" s="1"/>
  <c r="BD28" i="3"/>
  <c r="BD29" i="3" s="1"/>
  <c r="CE28" i="3"/>
  <c r="FG29" i="3"/>
  <c r="FF28" i="3"/>
  <c r="GU28" i="3"/>
  <c r="BT28" i="3"/>
  <c r="BU29" i="3"/>
  <c r="CO28" i="3"/>
  <c r="HE28" i="3"/>
  <c r="KG28" i="3"/>
  <c r="OC28" i="3"/>
  <c r="RE28" i="3"/>
  <c r="CA28" i="3"/>
  <c r="CA29" i="3" s="1"/>
  <c r="HA12" i="3"/>
  <c r="HA28" i="3" s="1"/>
  <c r="HA29" i="3" s="1"/>
  <c r="HK12" i="3"/>
  <c r="HK28" i="3" s="1"/>
  <c r="HK29" i="3" s="1"/>
  <c r="HU28" i="3"/>
  <c r="HU29" i="3" s="1"/>
  <c r="IO12" i="3"/>
  <c r="IO28" i="3" s="1"/>
  <c r="IO29" i="3" s="1"/>
  <c r="IY12" i="3"/>
  <c r="IY28" i="3" s="1"/>
  <c r="IY29" i="3" s="1"/>
  <c r="JS12" i="3"/>
  <c r="JS28" i="3" s="1"/>
  <c r="KM12" i="3"/>
  <c r="KM28" i="3" s="1"/>
  <c r="LG12" i="3"/>
  <c r="LQ12" i="3"/>
  <c r="LQ28" i="3" s="1"/>
  <c r="MA12" i="3"/>
  <c r="MA28" i="3" s="1"/>
  <c r="NY12" i="3"/>
  <c r="QN12" i="3"/>
  <c r="RA12" i="3"/>
  <c r="RA28" i="3" s="1"/>
  <c r="ES12" i="3"/>
  <c r="IE12" i="3"/>
  <c r="IE28" i="3" s="1"/>
  <c r="IE29" i="3" s="1"/>
  <c r="OM12" i="3"/>
  <c r="GQ26" i="3"/>
  <c r="GQ28" i="3" s="1"/>
  <c r="GQ29" i="3" s="1"/>
  <c r="MU26" i="3"/>
  <c r="CY28" i="3"/>
  <c r="JC28" i="3"/>
  <c r="LK28" i="3"/>
  <c r="NR28" i="3"/>
  <c r="NS29" i="3"/>
  <c r="PG28" i="3"/>
  <c r="QA28" i="3"/>
  <c r="RO28" i="3"/>
  <c r="BG12" i="3"/>
  <c r="BG28" i="3" s="1"/>
  <c r="BG29" i="3" s="1"/>
  <c r="DE26" i="3"/>
  <c r="DE28" i="3" s="1"/>
  <c r="DE29" i="3" s="1"/>
  <c r="GG26" i="3"/>
  <c r="GG28" i="3" s="1"/>
  <c r="GG29" i="3" s="1"/>
  <c r="HU26" i="3"/>
  <c r="KW26" i="3"/>
  <c r="KW28" i="3" s="1"/>
  <c r="NY26" i="3"/>
  <c r="PM26" i="3"/>
  <c r="PM28" i="3" s="1"/>
  <c r="CH28" i="3"/>
  <c r="DV28" i="3"/>
  <c r="FJ28" i="3"/>
  <c r="GX28" i="3"/>
  <c r="IL28" i="3"/>
  <c r="LN28" i="3"/>
  <c r="MH28" i="3"/>
  <c r="NV28" i="3"/>
  <c r="PJ28" i="3"/>
  <c r="QD28" i="3"/>
  <c r="FW12" i="3"/>
  <c r="FW28" i="3" s="1"/>
  <c r="FW29" i="3" s="1"/>
  <c r="BU12" i="3"/>
  <c r="DI12" i="3"/>
  <c r="EW12" i="3"/>
  <c r="GK12" i="3"/>
  <c r="HY12" i="3"/>
  <c r="JM12" i="3"/>
  <c r="LA12" i="3"/>
  <c r="MO12" i="3"/>
  <c r="OC12" i="3"/>
  <c r="PQ12" i="3"/>
  <c r="RE12" i="3"/>
  <c r="HO29" i="3"/>
  <c r="M5" i="6"/>
  <c r="P5" i="6" s="1"/>
  <c r="M13" i="6"/>
  <c r="P13" i="6" s="1"/>
  <c r="Q2" i="6" s="1"/>
  <c r="D17" i="4" s="1"/>
  <c r="K69" i="10"/>
  <c r="L57" i="10"/>
  <c r="M57" i="10" s="1"/>
  <c r="L111" i="10"/>
  <c r="M111" i="10" s="1"/>
  <c r="EM28" i="3"/>
  <c r="II28" i="3"/>
  <c r="JW28" i="3"/>
  <c r="MY28" i="3"/>
  <c r="OM28" i="3"/>
  <c r="BQ26" i="3"/>
  <c r="BQ28" i="3" s="1"/>
  <c r="BQ29" i="3" s="1"/>
  <c r="ES26" i="3"/>
  <c r="JI26" i="3"/>
  <c r="JI28" i="3" s="1"/>
  <c r="MK26" i="3"/>
  <c r="MK28" i="3" s="1"/>
  <c r="RA26" i="3"/>
  <c r="G28" i="3"/>
  <c r="G29" i="3" s="1"/>
  <c r="AT28" i="3"/>
  <c r="AT29" i="3" s="1"/>
  <c r="HY28" i="3"/>
  <c r="IS28" i="3"/>
  <c r="JM28" i="3"/>
  <c r="NI28" i="3"/>
  <c r="PQ28" i="3"/>
  <c r="QK28" i="3"/>
  <c r="CU12" i="3"/>
  <c r="CU28" i="3" s="1"/>
  <c r="CU29" i="3" s="1"/>
  <c r="EI12" i="3"/>
  <c r="EI28" i="3" s="1"/>
  <c r="EI29" i="3" s="1"/>
  <c r="OP12" i="3"/>
  <c r="QD12" i="3"/>
  <c r="RR12" i="3"/>
  <c r="S28" i="3"/>
  <c r="S29" i="3" s="1"/>
  <c r="AT12" i="3"/>
  <c r="CH12" i="3"/>
  <c r="L47" i="10"/>
  <c r="M47" i="10" s="1"/>
  <c r="L78" i="10"/>
  <c r="L174" i="10"/>
  <c r="P2" i="6"/>
  <c r="P9" i="6"/>
  <c r="L92" i="10"/>
  <c r="L199" i="10"/>
  <c r="L123" i="10"/>
  <c r="M123" i="10" s="1"/>
  <c r="L130" i="10"/>
  <c r="M130" i="10" s="1"/>
  <c r="L158" i="10"/>
  <c r="M9" i="6"/>
  <c r="K63" i="10"/>
  <c r="L89" i="10"/>
  <c r="M89" i="10" s="1"/>
  <c r="L108" i="10"/>
  <c r="M108" i="10" s="1"/>
  <c r="L115" i="10"/>
  <c r="M115" i="10" s="1"/>
  <c r="L149" i="10"/>
  <c r="M149" i="10" s="1"/>
  <c r="L169" i="10"/>
  <c r="M169" i="10" s="1"/>
  <c r="L173" i="10"/>
  <c r="M173" i="10" s="1"/>
  <c r="L205" i="10"/>
  <c r="L221" i="10"/>
  <c r="M221" i="10" s="1"/>
  <c r="K75" i="10"/>
  <c r="L82" i="10"/>
  <c r="M82" i="10" s="1"/>
  <c r="L85" i="10"/>
  <c r="M85" i="10" s="1"/>
  <c r="L87" i="10"/>
  <c r="M87" i="10" s="1"/>
  <c r="L119" i="10"/>
  <c r="M119" i="10" s="1"/>
  <c r="L133" i="10"/>
  <c r="M133" i="10" s="1"/>
  <c r="L192" i="10"/>
  <c r="M192" i="10" s="1"/>
  <c r="L225" i="10"/>
  <c r="M225" i="10" s="1"/>
  <c r="L20" i="10"/>
  <c r="M20" i="10" s="1"/>
  <c r="K66" i="10"/>
  <c r="K72" i="10"/>
  <c r="L81" i="10"/>
  <c r="M81" i="10" s="1"/>
  <c r="L86" i="10"/>
  <c r="M86" i="10" s="1"/>
  <c r="L93" i="10"/>
  <c r="M93" i="10" s="1"/>
  <c r="L95" i="10"/>
  <c r="M95" i="10" s="1"/>
  <c r="L97" i="10"/>
  <c r="M97" i="10" s="1"/>
  <c r="L99" i="10"/>
  <c r="M99" i="10" s="1"/>
  <c r="L127" i="10"/>
  <c r="M127" i="10" s="1"/>
  <c r="L152" i="10"/>
  <c r="M152" i="10" s="1"/>
  <c r="L90" i="10"/>
  <c r="L124" i="10"/>
  <c r="M124" i="10" s="1"/>
  <c r="L132" i="10"/>
  <c r="M132" i="10" s="1"/>
  <c r="L145" i="10"/>
  <c r="M145" i="10" s="1"/>
  <c r="L154" i="10"/>
  <c r="L159" i="10"/>
  <c r="M159" i="10" s="1"/>
  <c r="L176" i="10"/>
  <c r="M176" i="10" s="1"/>
  <c r="L198" i="10"/>
  <c r="M198" i="10" s="1"/>
  <c r="L206" i="10"/>
  <c r="M206" i="10" s="1"/>
  <c r="L214" i="10"/>
  <c r="M214" i="10" s="1"/>
  <c r="L228" i="10"/>
  <c r="M228" i="10" s="1"/>
  <c r="L110" i="10"/>
  <c r="M110" i="10" s="1"/>
  <c r="L116" i="10"/>
  <c r="M116" i="10" s="1"/>
  <c r="L129" i="10"/>
  <c r="M129" i="10" s="1"/>
  <c r="L153" i="10"/>
  <c r="L183" i="10"/>
  <c r="M183" i="10" s="1"/>
  <c r="L188" i="10"/>
  <c r="M188" i="10" s="1"/>
  <c r="L193" i="10"/>
  <c r="M193" i="10" s="1"/>
  <c r="L204" i="10"/>
  <c r="L210" i="10"/>
  <c r="M210" i="10" s="1"/>
  <c r="L215" i="10"/>
  <c r="M215" i="10" s="1"/>
  <c r="L220" i="10"/>
  <c r="L137" i="10"/>
  <c r="M137" i="10" s="1"/>
  <c r="L140" i="10"/>
  <c r="M140" i="10" s="1"/>
  <c r="L155" i="10"/>
  <c r="M155" i="10" s="1"/>
  <c r="L168" i="10"/>
  <c r="M168" i="10" s="1"/>
  <c r="L175" i="10"/>
  <c r="M175" i="10" s="1"/>
  <c r="L209" i="10"/>
  <c r="M209" i="10" s="1"/>
  <c r="L227" i="10"/>
  <c r="M227" i="10" s="1"/>
  <c r="L160" i="10"/>
  <c r="M160" i="10" s="1"/>
  <c r="L184" i="10"/>
  <c r="M184" i="10" s="1"/>
  <c r="L200" i="10"/>
  <c r="M200" i="10" s="1"/>
  <c r="L222" i="10"/>
  <c r="M222" i="10" s="1"/>
  <c r="MK29" i="3" l="1"/>
  <c r="MI28" i="3"/>
  <c r="PK28" i="3"/>
  <c r="PM29" i="3"/>
  <c r="JI29" i="3"/>
  <c r="JG28" i="3"/>
  <c r="KU28" i="3"/>
  <c r="KW29" i="3"/>
  <c r="L72" i="10"/>
  <c r="M72" i="10" s="1"/>
  <c r="PQ29" i="3"/>
  <c r="PP28" i="3"/>
  <c r="OL28" i="3"/>
  <c r="OM29" i="3"/>
  <c r="EL28" i="3"/>
  <c r="EM29" i="3"/>
  <c r="FJ29" i="3"/>
  <c r="FI28" i="3"/>
  <c r="QA29" i="3"/>
  <c r="PZ28" i="3"/>
  <c r="QY28" i="3"/>
  <c r="RA29" i="3"/>
  <c r="KM29" i="3"/>
  <c r="KK28" i="3"/>
  <c r="HE29" i="3"/>
  <c r="HD28" i="3"/>
  <c r="PW29" i="3"/>
  <c r="PU28" i="3"/>
  <c r="DH28" i="3"/>
  <c r="DI29" i="3"/>
  <c r="JZ29" i="3"/>
  <c r="JY28" i="3"/>
  <c r="KJ29" i="3"/>
  <c r="KH28" i="3"/>
  <c r="EE28" i="3"/>
  <c r="EF29" i="3"/>
  <c r="OQ28" i="3"/>
  <c r="OS29" i="3"/>
  <c r="L63" i="10"/>
  <c r="M63" i="10" s="1"/>
  <c r="J63" i="10"/>
  <c r="NI29" i="3"/>
  <c r="NH28" i="3"/>
  <c r="MY29" i="3"/>
  <c r="MX28" i="3"/>
  <c r="L69" i="10"/>
  <c r="M69" i="10" s="1"/>
  <c r="LN29" i="3"/>
  <c r="LM28" i="3"/>
  <c r="PG29" i="3"/>
  <c r="PF28" i="3"/>
  <c r="JS29" i="3"/>
  <c r="JQ28" i="3"/>
  <c r="RD28" i="3"/>
  <c r="RE29" i="3"/>
  <c r="RR29" i="3"/>
  <c r="RQ28" i="3"/>
  <c r="MQ28" i="3"/>
  <c r="MR29" i="3"/>
  <c r="GN29" i="3"/>
  <c r="GM28" i="3"/>
  <c r="JM29" i="3"/>
  <c r="JK28" i="3"/>
  <c r="JW29" i="3"/>
  <c r="JV28" i="3"/>
  <c r="PJ29" i="3"/>
  <c r="PI28" i="3"/>
  <c r="IL29" i="3"/>
  <c r="IK28" i="3"/>
  <c r="CH29" i="3"/>
  <c r="CG28" i="3"/>
  <c r="CY29" i="3"/>
  <c r="CX28" i="3"/>
  <c r="NY28" i="3"/>
  <c r="LG28" i="3"/>
  <c r="OB28" i="3"/>
  <c r="OC29" i="3"/>
  <c r="NO29" i="3"/>
  <c r="NM28" i="3"/>
  <c r="OI28" i="3"/>
  <c r="DS29" i="3"/>
  <c r="DR28" i="3"/>
  <c r="QX29" i="3"/>
  <c r="QW28" i="3"/>
  <c r="HR29" i="3"/>
  <c r="HQ28" i="3"/>
  <c r="OY28" i="3"/>
  <c r="OZ29" i="3"/>
  <c r="LX29" i="3"/>
  <c r="LW28" i="3"/>
  <c r="IU28" i="3"/>
  <c r="IV29" i="3"/>
  <c r="FS28" i="3"/>
  <c r="FT29" i="3"/>
  <c r="CQ28" i="3"/>
  <c r="CR29" i="3"/>
  <c r="HX28" i="3"/>
  <c r="HY29" i="3"/>
  <c r="MH29" i="3"/>
  <c r="MG28" i="3"/>
  <c r="LJ28" i="3"/>
  <c r="LK29" i="3"/>
  <c r="LY28" i="3"/>
  <c r="MA29" i="3"/>
  <c r="GT28" i="3"/>
  <c r="GU29" i="3"/>
  <c r="NE29" i="3"/>
  <c r="NC28" i="3"/>
  <c r="Z29" i="3"/>
  <c r="X28" i="3"/>
  <c r="NK28" i="3"/>
  <c r="NL29" i="3"/>
  <c r="HG28" i="3"/>
  <c r="HH29" i="3"/>
  <c r="AG29" i="3"/>
  <c r="AE28" i="3"/>
  <c r="MU29" i="3"/>
  <c r="MS28" i="3"/>
  <c r="K229" i="10"/>
  <c r="L75" i="10"/>
  <c r="M75" i="10" s="1"/>
  <c r="J75" i="10"/>
  <c r="QC28" i="3"/>
  <c r="QD29" i="3"/>
  <c r="DV29" i="3"/>
  <c r="DU28" i="3"/>
  <c r="JC29" i="3"/>
  <c r="JB28" i="3"/>
  <c r="LO28" i="3"/>
  <c r="LQ29" i="3"/>
  <c r="CO29" i="3"/>
  <c r="CN28" i="3"/>
  <c r="EC29" i="3"/>
  <c r="EB28" i="3"/>
  <c r="JF29" i="3"/>
  <c r="JE28" i="3"/>
  <c r="JO28" i="3"/>
  <c r="JP29" i="3"/>
  <c r="DL29" i="3"/>
  <c r="DK28" i="3"/>
  <c r="L66" i="10"/>
  <c r="M66" i="10" s="1"/>
  <c r="J66" i="10"/>
  <c r="QK29" i="3"/>
  <c r="QJ28" i="3"/>
  <c r="IS29" i="3"/>
  <c r="IR28" i="3"/>
  <c r="II29" i="3"/>
  <c r="IH28" i="3"/>
  <c r="NV29" i="3"/>
  <c r="NU28" i="3"/>
  <c r="GW28" i="3"/>
  <c r="GX29" i="3"/>
  <c r="RO29" i="3"/>
  <c r="RN28" i="3"/>
  <c r="ES28" i="3"/>
  <c r="ES29" i="3" s="1"/>
  <c r="KG29" i="3"/>
  <c r="KE28" i="3"/>
  <c r="CE29" i="3"/>
  <c r="CD28" i="3"/>
  <c r="FQ29" i="3"/>
  <c r="FP28" i="3"/>
  <c r="RK28" i="3"/>
  <c r="OP29" i="3"/>
  <c r="OO28" i="3"/>
  <c r="EP29" i="3"/>
  <c r="EO28" i="3"/>
  <c r="QN29" i="3"/>
  <c r="QM28" i="3"/>
  <c r="OE28" i="3"/>
  <c r="OF29" i="3"/>
  <c r="LD29" i="3"/>
  <c r="LC28" i="3"/>
  <c r="IA28" i="3"/>
  <c r="IB29" i="3"/>
  <c r="EZ29" i="3"/>
  <c r="EY28" i="3"/>
  <c r="BX29" i="3"/>
  <c r="BW28" i="3"/>
  <c r="RS28" i="3"/>
  <c r="RU29" i="3"/>
  <c r="LU29" i="3"/>
  <c r="LT28" i="3"/>
  <c r="J151" i="10" l="1"/>
  <c r="J147" i="10"/>
  <c r="J142" i="10"/>
  <c r="J138" i="10"/>
  <c r="B218" i="10"/>
  <c r="J217" i="10"/>
  <c r="J216" i="10"/>
  <c r="B212" i="10"/>
  <c r="J211" i="10"/>
  <c r="J177" i="10"/>
  <c r="B171" i="10"/>
  <c r="J170" i="10"/>
  <c r="B142" i="10"/>
  <c r="B141" i="10"/>
  <c r="B138" i="10"/>
  <c r="J222" i="10"/>
  <c r="B216" i="10"/>
  <c r="B208" i="10"/>
  <c r="J207" i="10"/>
  <c r="B201" i="10"/>
  <c r="B190" i="10"/>
  <c r="J189" i="10"/>
  <c r="B186" i="10"/>
  <c r="J185" i="10"/>
  <c r="B182" i="10"/>
  <c r="B180" i="10"/>
  <c r="B179" i="10"/>
  <c r="B167" i="10"/>
  <c r="J166" i="10"/>
  <c r="B163" i="10"/>
  <c r="J162" i="10"/>
  <c r="J161" i="10"/>
  <c r="J150" i="10"/>
  <c r="B147" i="10"/>
  <c r="B146" i="10"/>
  <c r="J125" i="10"/>
  <c r="J121" i="10"/>
  <c r="J120" i="10"/>
  <c r="J98" i="10"/>
  <c r="J94" i="10"/>
  <c r="B223" i="10"/>
  <c r="J200" i="10"/>
  <c r="J179" i="10"/>
  <c r="B170" i="10"/>
  <c r="B162" i="10"/>
  <c r="B156" i="10"/>
  <c r="B150" i="10"/>
  <c r="J141" i="10"/>
  <c r="B131" i="10"/>
  <c r="B125" i="10"/>
  <c r="B121" i="10"/>
  <c r="J114" i="10"/>
  <c r="J113" i="10"/>
  <c r="B112" i="10"/>
  <c r="B107" i="10"/>
  <c r="B104" i="10"/>
  <c r="B103" i="10"/>
  <c r="J84" i="10"/>
  <c r="J83" i="10"/>
  <c r="B74" i="10"/>
  <c r="B68" i="10"/>
  <c r="B62" i="10"/>
  <c r="B202" i="10"/>
  <c r="J201" i="10"/>
  <c r="B197" i="10"/>
  <c r="J196" i="10"/>
  <c r="J195" i="10"/>
  <c r="J194" i="10"/>
  <c r="B172" i="10"/>
  <c r="B166" i="10"/>
  <c r="B164" i="10"/>
  <c r="J140" i="10"/>
  <c r="J135" i="10"/>
  <c r="B109" i="10"/>
  <c r="B194" i="10"/>
  <c r="B189" i="10"/>
  <c r="J184" i="10"/>
  <c r="B151" i="10"/>
  <c r="J137" i="10"/>
  <c r="B135" i="10"/>
  <c r="B124" i="10"/>
  <c r="J116" i="10"/>
  <c r="B113" i="10"/>
  <c r="B105" i="10"/>
  <c r="B101" i="10"/>
  <c r="J91" i="10"/>
  <c r="B224" i="10"/>
  <c r="J223" i="10"/>
  <c r="B217" i="10"/>
  <c r="J215" i="10"/>
  <c r="B213" i="10"/>
  <c r="J210" i="10"/>
  <c r="B207" i="10"/>
  <c r="B195" i="10"/>
  <c r="J107" i="10"/>
  <c r="J104" i="10"/>
  <c r="B84" i="10"/>
  <c r="B79" i="10"/>
  <c r="J71" i="10"/>
  <c r="J60" i="10"/>
  <c r="B58" i="10"/>
  <c r="B56" i="10"/>
  <c r="B49" i="10"/>
  <c r="B45" i="10"/>
  <c r="J38" i="10"/>
  <c r="B36" i="10"/>
  <c r="B34" i="10"/>
  <c r="B32" i="10"/>
  <c r="B30" i="10"/>
  <c r="B28" i="10"/>
  <c r="B26" i="10"/>
  <c r="B24" i="10"/>
  <c r="B22" i="10"/>
  <c r="B211" i="10"/>
  <c r="B181" i="10"/>
  <c r="J180" i="10"/>
  <c r="J154" i="10"/>
  <c r="J146" i="10"/>
  <c r="B132" i="10"/>
  <c r="J131" i="10"/>
  <c r="B114" i="10"/>
  <c r="J112" i="10"/>
  <c r="J102" i="10"/>
  <c r="B70" i="10"/>
  <c r="J68" i="10"/>
  <c r="B59" i="10"/>
  <c r="B55" i="10"/>
  <c r="J50" i="10"/>
  <c r="B48" i="10"/>
  <c r="B46" i="10"/>
  <c r="B37" i="10"/>
  <c r="B33" i="10"/>
  <c r="J31" i="10"/>
  <c r="B29" i="10"/>
  <c r="B25" i="10"/>
  <c r="B21" i="10"/>
  <c r="J176" i="10"/>
  <c r="B161" i="10"/>
  <c r="B157" i="10"/>
  <c r="J156" i="10"/>
  <c r="B120" i="10"/>
  <c r="B110" i="10"/>
  <c r="J109" i="10"/>
  <c r="J103" i="10"/>
  <c r="B82" i="10"/>
  <c r="J80" i="10"/>
  <c r="J74" i="10"/>
  <c r="B64" i="10"/>
  <c r="J41" i="10"/>
  <c r="B39" i="10"/>
  <c r="B19" i="10"/>
  <c r="B17" i="10"/>
  <c r="B15" i="10"/>
  <c r="B13" i="10"/>
  <c r="B11" i="10"/>
  <c r="B9" i="10"/>
  <c r="B7" i="10"/>
  <c r="B5" i="10"/>
  <c r="B3" i="10"/>
  <c r="B196" i="10"/>
  <c r="J106" i="10"/>
  <c r="J90" i="10"/>
  <c r="B87" i="10"/>
  <c r="B76" i="10"/>
  <c r="B61" i="10"/>
  <c r="B53" i="10"/>
  <c r="B51" i="10"/>
  <c r="B43" i="10"/>
  <c r="J134" i="10"/>
  <c r="J129" i="10"/>
  <c r="B98" i="10"/>
  <c r="B94" i="10"/>
  <c r="J54" i="10"/>
  <c r="B42" i="10"/>
  <c r="B18" i="10"/>
  <c r="B10" i="10"/>
  <c r="B2" i="10"/>
  <c r="B229" i="10" s="1"/>
  <c r="G229" i="10" s="1"/>
  <c r="J160" i="10"/>
  <c r="J65" i="10"/>
  <c r="B52" i="10"/>
  <c r="B185" i="10"/>
  <c r="B177" i="10"/>
  <c r="B83" i="10"/>
  <c r="B73" i="10"/>
  <c r="J44" i="10"/>
  <c r="J20" i="10"/>
  <c r="B12" i="10"/>
  <c r="B4" i="10"/>
  <c r="J62" i="10"/>
  <c r="B40" i="10"/>
  <c r="B14" i="10"/>
  <c r="B6" i="10"/>
  <c r="B16" i="10"/>
  <c r="B8" i="10"/>
  <c r="B71" i="10"/>
  <c r="B67" i="10"/>
  <c r="B111" i="10"/>
  <c r="J174" i="10"/>
  <c r="J27" i="10"/>
  <c r="J92" i="10"/>
  <c r="B123" i="10"/>
  <c r="J130" i="10"/>
  <c r="B65" i="10"/>
  <c r="J149" i="10"/>
  <c r="J173" i="10"/>
  <c r="B221" i="10"/>
  <c r="J119" i="10"/>
  <c r="J133" i="10"/>
  <c r="J202" i="10"/>
  <c r="J64" i="10"/>
  <c r="B81" i="10"/>
  <c r="J95" i="10"/>
  <c r="J97" i="10"/>
  <c r="J152" i="10"/>
  <c r="B80" i="10"/>
  <c r="J96" i="10"/>
  <c r="J145" i="10"/>
  <c r="B159" i="10"/>
  <c r="J182" i="10"/>
  <c r="J203" i="10"/>
  <c r="J206" i="10"/>
  <c r="B228" i="10"/>
  <c r="J110" i="10"/>
  <c r="B118" i="10"/>
  <c r="J126" i="10"/>
  <c r="J144" i="10"/>
  <c r="J153" i="10"/>
  <c r="J183" i="10"/>
  <c r="J193" i="10"/>
  <c r="B210" i="10"/>
  <c r="J220" i="10"/>
  <c r="B102" i="10"/>
  <c r="B137" i="10"/>
  <c r="B148" i="10"/>
  <c r="J164" i="10"/>
  <c r="B175" i="10"/>
  <c r="B191" i="10"/>
  <c r="J224" i="10"/>
  <c r="J139" i="10"/>
  <c r="J157" i="10"/>
  <c r="J172" i="10"/>
  <c r="J197" i="10"/>
  <c r="J213" i="10"/>
  <c r="B173" i="10"/>
  <c r="B119" i="10"/>
  <c r="J192" i="10"/>
  <c r="J218" i="10"/>
  <c r="J228" i="10"/>
  <c r="B95" i="10"/>
  <c r="B97" i="10"/>
  <c r="B127" i="10"/>
  <c r="B90" i="10"/>
  <c r="J118" i="10"/>
  <c r="B126" i="10"/>
  <c r="B144" i="10"/>
  <c r="B183" i="10"/>
  <c r="J188" i="10"/>
  <c r="B204" i="10"/>
  <c r="B220" i="10"/>
  <c r="J105" i="10"/>
  <c r="B140" i="10"/>
  <c r="B155" i="10"/>
  <c r="J168" i="10"/>
  <c r="J227" i="10"/>
  <c r="B160" i="10"/>
  <c r="B184" i="10"/>
  <c r="B200" i="10"/>
  <c r="J57" i="10"/>
  <c r="J111" i="10"/>
  <c r="B108" i="10"/>
  <c r="J212" i="10"/>
  <c r="J85" i="10"/>
  <c r="B133" i="10"/>
  <c r="B192" i="10"/>
  <c r="J99" i="10"/>
  <c r="J127" i="10"/>
  <c r="J124" i="10"/>
  <c r="B145" i="10"/>
  <c r="B176" i="10"/>
  <c r="B206" i="10"/>
  <c r="B214" i="10"/>
  <c r="J76" i="10"/>
  <c r="J122" i="10"/>
  <c r="B153" i="10"/>
  <c r="B215" i="10"/>
  <c r="B106" i="10"/>
  <c r="B168" i="10"/>
  <c r="J187" i="10"/>
  <c r="B209" i="10"/>
  <c r="B227" i="10"/>
  <c r="J78" i="10"/>
  <c r="J23" i="10"/>
  <c r="B92" i="10"/>
  <c r="J199" i="10"/>
  <c r="B225" i="10"/>
  <c r="B93" i="10"/>
  <c r="B99" i="10"/>
  <c r="B96" i="10"/>
  <c r="B122" i="10"/>
  <c r="J181" i="10"/>
  <c r="J101" i="10"/>
  <c r="B187" i="10"/>
  <c r="B143" i="10"/>
  <c r="J167" i="10"/>
  <c r="J190" i="10"/>
  <c r="J186" i="10"/>
  <c r="J47" i="10"/>
  <c r="B78" i="10"/>
  <c r="J35" i="10"/>
  <c r="B199" i="10"/>
  <c r="J123" i="10"/>
  <c r="B130" i="10"/>
  <c r="J108" i="10"/>
  <c r="B115" i="10"/>
  <c r="B169" i="10"/>
  <c r="J205" i="10"/>
  <c r="J82" i="10"/>
  <c r="B152" i="10"/>
  <c r="B134" i="10"/>
  <c r="B154" i="10"/>
  <c r="J198" i="10"/>
  <c r="B203" i="10"/>
  <c r="J214" i="10"/>
  <c r="J163" i="10"/>
  <c r="J209" i="10"/>
  <c r="B139" i="10"/>
  <c r="B219" i="10"/>
  <c r="B174" i="10"/>
  <c r="J158" i="10"/>
  <c r="J89" i="10"/>
  <c r="B149" i="10"/>
  <c r="J87" i="10"/>
  <c r="J225" i="10"/>
  <c r="J70" i="10"/>
  <c r="B86" i="10"/>
  <c r="J93" i="10"/>
  <c r="B198" i="10"/>
  <c r="B116" i="10"/>
  <c r="B129" i="10"/>
  <c r="J171" i="10"/>
  <c r="B193" i="10"/>
  <c r="J143" i="10"/>
  <c r="B222" i="10"/>
  <c r="J67" i="10"/>
  <c r="B158" i="10"/>
  <c r="J61" i="10"/>
  <c r="B89" i="10"/>
  <c r="J115" i="10"/>
  <c r="J169" i="10"/>
  <c r="B205" i="10"/>
  <c r="J221" i="10"/>
  <c r="J73" i="10"/>
  <c r="B85" i="10"/>
  <c r="J86" i="10"/>
  <c r="J79" i="10"/>
  <c r="J132" i="10"/>
  <c r="J159" i="10"/>
  <c r="B91" i="10"/>
  <c r="B188" i="10"/>
  <c r="J204" i="10"/>
  <c r="J148" i="10"/>
  <c r="J155" i="10"/>
  <c r="J208" i="10"/>
  <c r="LG29" i="3"/>
  <c r="LE28" i="3"/>
  <c r="J72" i="10"/>
  <c r="RK29" i="3"/>
  <c r="RI28" i="3"/>
  <c r="OI29" i="3"/>
  <c r="OG28" i="3"/>
  <c r="NY29" i="3"/>
  <c r="NW28" i="3"/>
  <c r="J69" i="10"/>
  <c r="I229" i="10"/>
</calcChain>
</file>

<file path=xl/sharedStrings.xml><?xml version="1.0" encoding="utf-8"?>
<sst xmlns="http://schemas.openxmlformats.org/spreadsheetml/2006/main" count="4076" uniqueCount="658">
  <si>
    <t>Arquivo</t>
  </si>
  <si>
    <t>Data</t>
  </si>
  <si>
    <t>Total Aquisição</t>
  </si>
  <si>
    <t>Recompra</t>
  </si>
  <si>
    <t>Reemb. Despesa</t>
  </si>
  <si>
    <t>Total Pagamento</t>
  </si>
  <si>
    <t>10355320000118_002.REM</t>
  </si>
  <si>
    <t>10355320000118_003.REM</t>
  </si>
  <si>
    <t>10355320000118_004.REM</t>
  </si>
  <si>
    <t>10355320000118_005.REM</t>
  </si>
  <si>
    <t>10355320000118_007.REM</t>
  </si>
  <si>
    <t>10355320000118_001.REM</t>
  </si>
  <si>
    <t>10355320000118_006.REM</t>
  </si>
  <si>
    <t>10355320000118_009.REM</t>
  </si>
  <si>
    <t>10355320000118_008.REM</t>
  </si>
  <si>
    <t>10355320000118_010.REM</t>
  </si>
  <si>
    <t>10355320000118_011.REM</t>
  </si>
  <si>
    <t xml:space="preserve">                               -   </t>
  </si>
  <si>
    <t xml:space="preserve">                       -   </t>
  </si>
  <si>
    <t>10355320000118_014.REM</t>
  </si>
  <si>
    <t>10355320000118_013.REM</t>
  </si>
  <si>
    <t>10355320000118_016.REM</t>
  </si>
  <si>
    <t>10355320000118_012.REM</t>
  </si>
  <si>
    <t xml:space="preserve"> Cancelado </t>
  </si>
  <si>
    <t>10355320000118_015.REM</t>
  </si>
  <si>
    <t>10355320000118_005.rem</t>
  </si>
  <si>
    <t>10355320000118_006.rem</t>
  </si>
  <si>
    <t>10355320000118_018.REM</t>
  </si>
  <si>
    <t>10355320000118_020.REM</t>
  </si>
  <si>
    <t>10355320000118_019.REM</t>
  </si>
  <si>
    <t>10355320000118_021.REM</t>
  </si>
  <si>
    <t>10355320000118_023.REM</t>
  </si>
  <si>
    <t>10355320000118_017.REM</t>
  </si>
  <si>
    <t>10355320000118_024.REM</t>
  </si>
  <si>
    <t>10355320000118_007.rem</t>
  </si>
  <si>
    <t>10355320000118_025.REM</t>
  </si>
  <si>
    <t>10355320000118_016.rem</t>
  </si>
  <si>
    <t xml:space="preserve">                            -   </t>
  </si>
  <si>
    <t>Tipo</t>
  </si>
  <si>
    <t>CNPJ</t>
  </si>
  <si>
    <t>Cedente</t>
  </si>
  <si>
    <t>Limite por Grupo</t>
  </si>
  <si>
    <t>Limite</t>
  </si>
  <si>
    <t>%</t>
  </si>
  <si>
    <t>Valor Tomado</t>
  </si>
  <si>
    <t>Limite Excedido</t>
  </si>
  <si>
    <t>Limite Desenquadrado</t>
  </si>
  <si>
    <t>Mapa</t>
  </si>
  <si>
    <t>Org. Crédito</t>
  </si>
  <si>
    <t>BI-Serasa</t>
  </si>
  <si>
    <t>Relatório Kissflow</t>
  </si>
  <si>
    <t>Balanço/DRE/CURVA ABC/FATURAMENTO</t>
  </si>
  <si>
    <t>Contrato Social</t>
  </si>
  <si>
    <t>Contrato Cessão</t>
  </si>
  <si>
    <t>Docs RG/CPF/IR</t>
  </si>
  <si>
    <t>Relatório de crédito</t>
  </si>
  <si>
    <t xml:space="preserve">Cartão CNPJ </t>
  </si>
  <si>
    <t>QSA</t>
  </si>
  <si>
    <t>BI - OPS</t>
  </si>
  <si>
    <t>Liquidez 90D</t>
  </si>
  <si>
    <t>Partes Rel.</t>
  </si>
  <si>
    <t>PA</t>
  </si>
  <si>
    <t>83.062.174/0001-06</t>
  </si>
  <si>
    <t>AZEPLAST INDÚSTRIA E COMÉRCIO LTDA</t>
  </si>
  <si>
    <t>NP</t>
  </si>
  <si>
    <t>Sim</t>
  </si>
  <si>
    <t>22.506.376/0001-05</t>
  </si>
  <si>
    <t>DOIS LEOES EMBALAGENS DESCARTAVEIS - EIRELI ME</t>
  </si>
  <si>
    <t>24.718.094/0001-05</t>
  </si>
  <si>
    <t>GREEN BAGS COMERCIO ATACADISTA DE EMBALAGENS PLASTICAS EIREL</t>
  </si>
  <si>
    <t xml:space="preserve"> Total: </t>
  </si>
  <si>
    <t>OK</t>
  </si>
  <si>
    <t>81.300.709/0001-04</t>
  </si>
  <si>
    <t>COLLEY EMBALAGENS LTDA</t>
  </si>
  <si>
    <t>81.300.709/0003-76</t>
  </si>
  <si>
    <t>22.934.007/0001-13</t>
  </si>
  <si>
    <t>AFIX ADESIVOS E SELANTES LTDA</t>
  </si>
  <si>
    <t>Vl Tomado Zerado</t>
  </si>
  <si>
    <t>44.699.346/0001-03</t>
  </si>
  <si>
    <t>ARTECOLA QUIMICA S.A.</t>
  </si>
  <si>
    <t>03.080.418/0001-44</t>
  </si>
  <si>
    <t>BECKHAUSER INDUSTRIA E COMERCIO DE MALHA</t>
  </si>
  <si>
    <t>02.547.584/0001-45</t>
  </si>
  <si>
    <t>MAR INDUSTRIA TEXTIL E TINTURARIA LTDA</t>
  </si>
  <si>
    <t>00.433.450/0001-78</t>
  </si>
  <si>
    <t>CAHDAM VOLTA GRANDE SA</t>
  </si>
  <si>
    <t>85.906.329/0001-79</t>
  </si>
  <si>
    <t>CVG CIA VOLTA GRANDE DE PAPEL</t>
  </si>
  <si>
    <t>04.546.378/0001-46</t>
  </si>
  <si>
    <t>CHROMO IND E COM EMB PLASTICAS LTDA</t>
  </si>
  <si>
    <t>21.881.534/0001-44</t>
  </si>
  <si>
    <t>RAFAEL SOUZA DE OLIVEIRA COBRANCAS ME</t>
  </si>
  <si>
    <t>05.005.050/0001-85</t>
  </si>
  <si>
    <t>AGROLONAS INDUSTRIA E COMERCIO DE PLASTICOS LTDA</t>
  </si>
  <si>
    <t>09.316.788/0001-14</t>
  </si>
  <si>
    <t xml:space="preserve">AGRIACO METALURGICA LTDA </t>
  </si>
  <si>
    <t>Excedido</t>
  </si>
  <si>
    <t>04.663.931/0001-20</t>
  </si>
  <si>
    <t>ALVER KLEIN INDUSTRIAL LTDA</t>
  </si>
  <si>
    <t>75.790.287/0001-08</t>
  </si>
  <si>
    <t>ANGELGRES REVESTIMENTOS CERAMICOS LTDA</t>
  </si>
  <si>
    <t>92.787.175/0001-09</t>
  </si>
  <si>
    <t>AZEVEDO, BENTO - COMÉRCIO E INDÚSTRIA LTDA  - Liquidar a Carteira</t>
  </si>
  <si>
    <t>BC AGROINDUSTRIA - CEREAIS NATURALE</t>
  </si>
  <si>
    <t>73.337.305/0001-67</t>
  </si>
  <si>
    <t>BDS AR CONDICIONADO LTDA</t>
  </si>
  <si>
    <t>03.324.077/0001-05</t>
  </si>
  <si>
    <t>BELL VALLEY DISTRIBUIDORA LTDA.</t>
  </si>
  <si>
    <t>75.014.258/0002-27</t>
  </si>
  <si>
    <t>BONET MADEIRAS E PAPÉIS LTDA</t>
  </si>
  <si>
    <t>91.600.494/0001-09</t>
  </si>
  <si>
    <t>CABILOG COMERCIO E LOGISTICA LTDA - Liquidar a Carteira</t>
  </si>
  <si>
    <t>02.452.360/0001-50</t>
  </si>
  <si>
    <t>CALCADOS DI CRISTALLI LTDA</t>
  </si>
  <si>
    <t>92.662.907/0001-34</t>
  </si>
  <si>
    <t>CALIENDO METALURGIA E GRAVACOES LTDA</t>
  </si>
  <si>
    <t>50.611.433/0001-51</t>
  </si>
  <si>
    <t>CARBONO QUIMICA LTDA</t>
  </si>
  <si>
    <t>21.947.175/0001-80</t>
  </si>
  <si>
    <t>CARTOBENTO CAXIAS DE PAPELAO EIRELI</t>
  </si>
  <si>
    <t>05.766.005/0001-43</t>
  </si>
  <si>
    <t>CERVEJARIA RIOGRANDENSE LTDA</t>
  </si>
  <si>
    <t>08.048.078/0001-98</t>
  </si>
  <si>
    <t>CCP INDÚSTRIA E COMÉRCIO DE COMPOSTOS DE PVC LTDA.</t>
  </si>
  <si>
    <t>04.105.690/0001-02</t>
  </si>
  <si>
    <t>CENTRAL MYX INDUSTRIA COMERCIO E REPRESENTACAO EIRELI ME</t>
  </si>
  <si>
    <t>04.643.564/0001-01</t>
  </si>
  <si>
    <t>CLASSE TÊXTIL LTDA</t>
  </si>
  <si>
    <t>81.616.062/0001-24</t>
  </si>
  <si>
    <t>CMJ TEXTIL LTDA.</t>
  </si>
  <si>
    <t>87.943.973/0001-42</t>
  </si>
  <si>
    <t>COBREAL SUL INDÚSTRIA E COMÉRCIO DE METAIS LTDA.</t>
  </si>
  <si>
    <t>01.386.837/0001-83</t>
  </si>
  <si>
    <t>CONFORFLEX MÓVEIS LTDA</t>
  </si>
  <si>
    <t>90.217.308/0001-86</t>
  </si>
  <si>
    <t>CONFORTO ARTEFATOS DE COURO LTDA</t>
  </si>
  <si>
    <t>04.381.961/0001-44</t>
  </si>
  <si>
    <t>CRISTALFLEX INDUSTRIA DE ESPUMAS E COLCHOES LTDA</t>
  </si>
  <si>
    <t>04.435.399/0001-94</t>
  </si>
  <si>
    <t xml:space="preserve">CYA RUBBER DISTRIBUIDORA LTDA. </t>
  </si>
  <si>
    <t>82.740.903/0001-73</t>
  </si>
  <si>
    <t>DALILA TEXTIL LTDA</t>
  </si>
  <si>
    <t>72.148.166/0001-60</t>
  </si>
  <si>
    <t>FRUTO DA IMAGINACAO INDUSTRIA DE VESTUARIO EIRELI</t>
  </si>
  <si>
    <t>39 - Clientes Mapeados</t>
  </si>
  <si>
    <t>15 - Clientes - Valor Tomado Zerado</t>
  </si>
  <si>
    <t>Dia</t>
  </si>
  <si>
    <t>Detalhes</t>
  </si>
  <si>
    <t>Quant</t>
  </si>
  <si>
    <t>PU</t>
  </si>
  <si>
    <t>ALPHA I</t>
  </si>
  <si>
    <t>ALPHA II</t>
  </si>
  <si>
    <t>Pu</t>
  </si>
  <si>
    <t>AVANTE</t>
  </si>
  <si>
    <t>Vencidos</t>
  </si>
  <si>
    <t>Vencer</t>
  </si>
  <si>
    <t>Total Geral</t>
  </si>
  <si>
    <t>LFTO</t>
  </si>
  <si>
    <t>NTNO</t>
  </si>
  <si>
    <t>BRADESCO FIC FI REF DI TOP</t>
  </si>
  <si>
    <t>NTN-B -2045</t>
  </si>
  <si>
    <t>NTN-B -2050</t>
  </si>
  <si>
    <t>Total Renda Fixa</t>
  </si>
  <si>
    <t>ARTESANAL FI RF</t>
  </si>
  <si>
    <t>PDD</t>
  </si>
  <si>
    <t>Contas a Pagar/Receber</t>
  </si>
  <si>
    <t>Saldo em Tesouraria</t>
  </si>
  <si>
    <t>ALPHATRADE I FIDC NP</t>
  </si>
  <si>
    <t>ANGAPORTFOLIO FIM</t>
  </si>
  <si>
    <t>AZ QUEST LUCE FIC FIRF</t>
  </si>
  <si>
    <t>FIDC BMC MEZANINO</t>
  </si>
  <si>
    <t>ALPHATRADE FIDC MULT</t>
  </si>
  <si>
    <t>KP CP FIC FIM</t>
  </si>
  <si>
    <t>SPARTA TOP FIC FI CP</t>
  </si>
  <si>
    <t>Total -Fundos de Investimento - Outros Fundos</t>
  </si>
  <si>
    <t>Quant.</t>
  </si>
  <si>
    <t>PL</t>
  </si>
  <si>
    <t>DC/COTAS DE FI</t>
  </si>
  <si>
    <t>marcos.santana</t>
  </si>
  <si>
    <t>Relatório Diário - Dracma FIDC</t>
  </si>
  <si>
    <t>Data Carteira:</t>
  </si>
  <si>
    <t>Patromônio Líquido (D0)</t>
  </si>
  <si>
    <t>PL Sen.  (D0)</t>
  </si>
  <si>
    <t>Patromônio Líquido (D-1)</t>
  </si>
  <si>
    <t>PL Mez. (D0)</t>
  </si>
  <si>
    <t>Disponibilidades</t>
  </si>
  <si>
    <t>PL Sub.  (D0)</t>
  </si>
  <si>
    <t>Total Direitos Creditórios (DC):</t>
  </si>
  <si>
    <t>DC &gt; 50% PL(D-1):</t>
  </si>
  <si>
    <t>DC A vencer (estoque):</t>
  </si>
  <si>
    <t>DC Vencidos (estoque):</t>
  </si>
  <si>
    <t>RAZÕES DE GARANTIA (RG)</t>
  </si>
  <si>
    <t>Regra</t>
  </si>
  <si>
    <t>Descrição</t>
  </si>
  <si>
    <t>Valor</t>
  </si>
  <si>
    <t xml:space="preserve">1. </t>
  </si>
  <si>
    <t>Índice de Subordinação &gt; 20%</t>
  </si>
  <si>
    <t>2.</t>
  </si>
  <si>
    <t>Índice de Subordinação Junior &gt; 50%</t>
  </si>
  <si>
    <t>OBSERVÂNCIA DE EVENTOS DE AVALIAÇÃO</t>
  </si>
  <si>
    <t>1. Razão de Garantia não pode ser desrespeitada durante o período de 15 dias consecutivos ou mais</t>
  </si>
  <si>
    <t>Ocorrências no período:</t>
  </si>
  <si>
    <t>Limite de ocorrências:</t>
  </si>
  <si>
    <t>2. Substituição de Gestora ou Consultora de Crédito</t>
  </si>
  <si>
    <t>CRONOGRAMA DE AMORTIZAÇÃO SEN.</t>
  </si>
  <si>
    <t>Amortização</t>
  </si>
  <si>
    <t>Cota</t>
  </si>
  <si>
    <t>Data pag.</t>
  </si>
  <si>
    <t>Dias p/ data pag.</t>
  </si>
  <si>
    <t>Data pag prorg.</t>
  </si>
  <si>
    <t>Dias p/ data pag. prorg.</t>
  </si>
  <si>
    <t>CONTROLE DE EMISSÕES</t>
  </si>
  <si>
    <t>Enquadrado</t>
  </si>
  <si>
    <t>Alerta Proximidade de Limite/Evento Avaliação</t>
  </si>
  <si>
    <t>Desenquadrado</t>
  </si>
  <si>
    <t>data</t>
  </si>
  <si>
    <t>carteira</t>
  </si>
  <si>
    <t>codigo</t>
  </si>
  <si>
    <t>titulo</t>
  </si>
  <si>
    <t>precounitarioatual</t>
  </si>
  <si>
    <t>quantidade</t>
  </si>
  <si>
    <t>valorcompra</t>
  </si>
  <si>
    <t>valorbruto</t>
  </si>
  <si>
    <t>valorliquido</t>
  </si>
  <si>
    <t>datavencimento</t>
  </si>
  <si>
    <t>datacompra</t>
  </si>
  <si>
    <t>dataemissao</t>
  </si>
  <si>
    <t>tiroperacao</t>
  </si>
  <si>
    <t>tirmtm</t>
  </si>
  <si>
    <t>44640</t>
  </si>
  <si>
    <t>4006</t>
  </si>
  <si>
    <t>PRECATÓRIO</t>
  </si>
  <si>
    <t>4045</t>
  </si>
  <si>
    <t>4046</t>
  </si>
  <si>
    <t>4078</t>
  </si>
  <si>
    <t>4120</t>
  </si>
  <si>
    <t>4294</t>
  </si>
  <si>
    <t>4295</t>
  </si>
  <si>
    <t>4296</t>
  </si>
  <si>
    <t>4361</t>
  </si>
  <si>
    <t>4367</t>
  </si>
  <si>
    <t>4368</t>
  </si>
  <si>
    <t>4369</t>
  </si>
  <si>
    <t>4414</t>
  </si>
  <si>
    <t>4437</t>
  </si>
  <si>
    <t>4500</t>
  </si>
  <si>
    <t>4613</t>
  </si>
  <si>
    <t>4614</t>
  </si>
  <si>
    <t>4615</t>
  </si>
  <si>
    <t>4616</t>
  </si>
  <si>
    <t>4617</t>
  </si>
  <si>
    <t>4618</t>
  </si>
  <si>
    <t>4682</t>
  </si>
  <si>
    <t>4969</t>
  </si>
  <si>
    <t>4974</t>
  </si>
  <si>
    <t>4988</t>
  </si>
  <si>
    <t>5003</t>
  </si>
  <si>
    <t>5019</t>
  </si>
  <si>
    <t>5091</t>
  </si>
  <si>
    <t>5097</t>
  </si>
  <si>
    <t>5098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</si>
  <si>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</si>
  <si>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</si>
  <si>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</si>
  <si>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</si>
  <si>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</si>
  <si>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</si>
  <si>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</si>
  <si>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</si>
  <si>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</si>
  <si>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</si>
  <si>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5110</t>
  </si>
  <si>
    <t>5111</t>
  </si>
  <si>
    <t>5112</t>
  </si>
  <si>
    <t>5114</t>
  </si>
  <si>
    <t>5115</t>
  </si>
  <si>
    <t>5116</t>
  </si>
  <si>
    <t>5117</t>
  </si>
  <si>
    <t>5118</t>
  </si>
  <si>
    <t>5119</t>
  </si>
  <si>
    <t>dracma_sen</t>
  </si>
  <si>
    <t>dracma_mez</t>
  </si>
  <si>
    <t>dracma_sub</t>
  </si>
  <si>
    <t>patrimonio_liquido</t>
  </si>
  <si>
    <t>saldocontaspagarreceber</t>
  </si>
  <si>
    <t>saldocaixaatual</t>
  </si>
  <si>
    <t>compromissada</t>
  </si>
  <si>
    <t>titulos</t>
  </si>
  <si>
    <t>fundos</t>
  </si>
  <si>
    <t>I.S</t>
  </si>
  <si>
    <t>I.S.J</t>
  </si>
  <si>
    <t>subordinacao desenquadrada</t>
  </si>
  <si>
    <t>disponibilidades</t>
  </si>
  <si>
    <t>diferenca dias</t>
  </si>
  <si>
    <t>diferenca dias times sub des</t>
  </si>
  <si>
    <t>maximo dias corridos</t>
  </si>
  <si>
    <t>cota</t>
  </si>
  <si>
    <t>amortizacao</t>
  </si>
  <si>
    <t>data1</t>
  </si>
  <si>
    <t>limite1</t>
  </si>
  <si>
    <t>data2</t>
  </si>
  <si>
    <t>limite2</t>
  </si>
  <si>
    <t>COTA_DRACMA_SEN</t>
  </si>
  <si>
    <t>dta</t>
  </si>
  <si>
    <t>fundo</t>
  </si>
  <si>
    <t>tipocota</t>
  </si>
  <si>
    <t>quantidadecotas</t>
  </si>
  <si>
    <t>totalcotasemitidas</t>
  </si>
  <si>
    <t>Dracma FIDC</t>
  </si>
  <si>
    <t>SUB</t>
  </si>
  <si>
    <t>SEN</t>
  </si>
  <si>
    <t>Vigência</t>
  </si>
  <si>
    <t>CD</t>
  </si>
  <si>
    <t>Limites</t>
  </si>
  <si>
    <t>20.302.686/0001-82</t>
  </si>
  <si>
    <t>AFONSO CARDOSO DA SILVA ME - MEDABIL</t>
  </si>
  <si>
    <t>11.292.670/0001-45</t>
  </si>
  <si>
    <t>COLLET E MAGRI LTDA EPP - MEDABIL</t>
  </si>
  <si>
    <t>23.361.965/0001-05</t>
  </si>
  <si>
    <t>DELSA CONSTRUCOES INDUSTRIAIS E METALICAS LTDA</t>
  </si>
  <si>
    <t>14.045.631/0001-31</t>
  </si>
  <si>
    <t>EQUIPPE - LOCACAO E VENDAS DE EQUIPAMENTOS PERNAMBUCO LTDA</t>
  </si>
  <si>
    <t>86.403.128/0001-11</t>
  </si>
  <si>
    <t>INDUSTRIAL REX LTDA.</t>
  </si>
  <si>
    <t>21.619.594/0001-93</t>
  </si>
  <si>
    <t>J M MONTAGEM E ESTRUTURAS LTDA - MEDABIL</t>
  </si>
  <si>
    <t>21.737.620/0001-88</t>
  </si>
  <si>
    <t>LTK MONTAGEM DE ESTRUTURAS METALICAS EIRELI - EPP - MEDABIL</t>
  </si>
  <si>
    <t>21.000.236/0001-06</t>
  </si>
  <si>
    <t>MARIA EULALIA MENEZES DE OLIVEIRA ME</t>
  </si>
  <si>
    <t>00.956.976/0001-32</t>
  </si>
  <si>
    <t>MONTAGEM DE ESTRUTURAS TROZA LTDA - MEDABIL</t>
  </si>
  <si>
    <t>03.419.390/0001-27</t>
  </si>
  <si>
    <t>MONTAGEM DE ESTRUTURAS ZAFA LTDA -MEDABIL</t>
  </si>
  <si>
    <t>89.599.237/0001-44</t>
  </si>
  <si>
    <t>MONTAGENS DE ESTRUTURAS JUVIL LTDA - MEDABIL</t>
  </si>
  <si>
    <t>90.305.491/0001-71</t>
  </si>
  <si>
    <t>MONTAGENS DE ESTRUTURAS LUAR LTDA</t>
  </si>
  <si>
    <t>87.711.453/0001-04</t>
  </si>
  <si>
    <t>MONTAGENS LEISO LTDA - MEDABIL</t>
  </si>
  <si>
    <t>13.107.569/0001-00</t>
  </si>
  <si>
    <t>PLASMOSUL INDUSTRIA DE PLASTICOS LTDA - MEDABIL</t>
  </si>
  <si>
    <t>08.815.377/0001-00</t>
  </si>
  <si>
    <t>SM TRANSP LTDA</t>
  </si>
  <si>
    <t>14.166.249/0001-86</t>
  </si>
  <si>
    <t>SORAYA PATRICIA SANTOS DA SILVA MOTTA ME - MEDABIL</t>
  </si>
  <si>
    <t>00.055.643/0001-32</t>
  </si>
  <si>
    <t>TRANSPORTES VZ LTDA - MEDABIL</t>
  </si>
  <si>
    <t>13.937.327/0001-36</t>
  </si>
  <si>
    <t>YNOMETAL INDUSTRIA METALURGICA EIRELI EPP</t>
  </si>
  <si>
    <t>Total:</t>
  </si>
  <si>
    <t>18.705.246/0001-24</t>
  </si>
  <si>
    <t>MEDABIL INDUSTRIA EM SISTEMAS CONSTRUTIVOS LTDA</t>
  </si>
  <si>
    <t>18.019.813/0001-99</t>
  </si>
  <si>
    <t>PBC LOGISTICA LTDA ME - MEDABIL</t>
  </si>
  <si>
    <t>92.781.335/0001-02</t>
  </si>
  <si>
    <t>FORJAS TAURUS S.A.</t>
  </si>
  <si>
    <t>04.290.323/0001-18</t>
  </si>
  <si>
    <t>TAURUS BLINDAGENS LTDA.</t>
  </si>
  <si>
    <t>09.003.200/0001-72</t>
  </si>
  <si>
    <t>TAURUS BLINDAGENS NORDESTE LTDA.</t>
  </si>
  <si>
    <t>14.499.581/0001-62</t>
  </si>
  <si>
    <t>KMA FABRICACAO E COM DE APARELHOS DE REFRIGERACAO LTDA</t>
  </si>
  <si>
    <t>06.114.935/0003-47</t>
  </si>
  <si>
    <t>KOMLOG IMPORTAÇÃO LTDA</t>
  </si>
  <si>
    <t>06.114.935/0015-80</t>
  </si>
  <si>
    <t>07.691.872/0001-92</t>
  </si>
  <si>
    <t>DRESCH E DALLA CORTE LTDA</t>
  </si>
  <si>
    <t>90.228.214/0001-02</t>
  </si>
  <si>
    <t>MOREFLEX BORRACHAS LTDA</t>
  </si>
  <si>
    <t>06.133.155/0002-63</t>
  </si>
  <si>
    <t>NOVA PACK PRODUTOS PLASTICOS LTDA. (FILIAL)</t>
  </si>
  <si>
    <t>06.133.155/0001-82</t>
  </si>
  <si>
    <t>NOVA PACK PRODUTOS PLASTICOS S.A.</t>
  </si>
  <si>
    <t>91.955.633/0001-09</t>
  </si>
  <si>
    <t>LUMIBRAS COMPONENTES ELETRICOS LTDA.</t>
  </si>
  <si>
    <t>87.847.711/0001-84</t>
  </si>
  <si>
    <t>LUMIBRAS INDUSTRIA METALURGICA LTDA.</t>
  </si>
  <si>
    <t>09.075.317/0001-61</t>
  </si>
  <si>
    <t>H. F. SISTEMAS DE FREIO LTDA  - HIPPER FREIOS</t>
  </si>
  <si>
    <t>09.075.317/0002-42</t>
  </si>
  <si>
    <t>85.275.246/0001-29</t>
  </si>
  <si>
    <t>AMERICAN INDUSTRIA DE AUTO PECAS LTDA</t>
  </si>
  <si>
    <t>02.602.536/0001-02</t>
  </si>
  <si>
    <t>EDUARDO KRAFCHINSKI INDÚSTRIA DE BICICLETAS EIRELI</t>
  </si>
  <si>
    <t>10.835.909/0001-13</t>
  </si>
  <si>
    <t>KRAFCHINSKI, MORAES E LINARES LTDA</t>
  </si>
  <si>
    <t>73.586.976/0001-61</t>
  </si>
  <si>
    <t>SIDERQUIMICA IND. E COM. DE PROD. QUIMICOS S/A</t>
  </si>
  <si>
    <t>74.068.552/0001-78</t>
  </si>
  <si>
    <t>ROCHESA S/A TINTAS E VERNIZES</t>
  </si>
  <si>
    <t>CALÇADOS BURGOR DO BRASIL EIRELI</t>
  </si>
  <si>
    <t>JM SOARES CALCADOS EIRELLI</t>
  </si>
  <si>
    <t>13.008.288/0001-92</t>
  </si>
  <si>
    <t>LOAD CONTROL INDUSTRIA DE EQUIPAMENTOS ELETRONICOS EIRELI</t>
  </si>
  <si>
    <t>21.633.042/0001-30</t>
  </si>
  <si>
    <t>LRC ELETRÔNICA EIRELI</t>
  </si>
  <si>
    <t>09.624.375/0001-05</t>
  </si>
  <si>
    <t>ALLEANZA CALCADOS LTDA - DESATIVADO</t>
  </si>
  <si>
    <t>Desativado</t>
  </si>
  <si>
    <t>95.801.692/0001-83</t>
  </si>
  <si>
    <t>ARTE &amp; CORTE TEXTIL LTDA</t>
  </si>
  <si>
    <t>02.708.439/0001-07</t>
  </si>
  <si>
    <t>BARCELLONA INDÚSTRIA E COMÉRCIO DE MÓVEIS LTDA</t>
  </si>
  <si>
    <t>10.750.549/0001-57</t>
  </si>
  <si>
    <t>BEATRIZ CUNHA DOLZAN ? ME - DESATIVADO</t>
  </si>
  <si>
    <t>10.395.462/0001-09</t>
  </si>
  <si>
    <t>BIGUA ALIMENTOS INDUSTRIA E COMERCIO EIRELI</t>
  </si>
  <si>
    <t>08.096.590/0002-90</t>
  </si>
  <si>
    <t>C A C COM ATAC DE CALCADOS E ACESS LTDA - DESATIVADO</t>
  </si>
  <si>
    <t>05.813.528/0001-01</t>
  </si>
  <si>
    <t>CALCADOS BIONDINI LTDA - DESATIVADO</t>
  </si>
  <si>
    <t>08.157.644/0001-08</t>
  </si>
  <si>
    <t>CDKA INDÚSTRIA DE MALHAS LTDA</t>
  </si>
  <si>
    <t>CIABE IND BRASILEIRA DE EVAPORADORES LTDA.</t>
  </si>
  <si>
    <t>08.003.213/0001-89</t>
  </si>
  <si>
    <t>CLIMATIZAR EQUIPAMENTOS AUTOMOTIVOS LTDA – ME - Liquidar a Carteira</t>
  </si>
  <si>
    <t>04.871.396/0001-01</t>
  </si>
  <si>
    <t xml:space="preserve">COLAFIX INDUSTRIA E COMERCIO LTDA EPP </t>
  </si>
  <si>
    <t>09.262.835/0001-94</t>
  </si>
  <si>
    <t xml:space="preserve">COLEGIO LEONARDO DA VINCI LTDA </t>
  </si>
  <si>
    <t>07.624.625/0001-73</t>
  </si>
  <si>
    <t>CONCRESART TECNOLOGIA EM CONCRETOS LTDA</t>
  </si>
  <si>
    <t>10.649.842/0001-22</t>
  </si>
  <si>
    <t>D A FELLER EMPRESA - DESATIVADO</t>
  </si>
  <si>
    <t>19.320.721/0001-07</t>
  </si>
  <si>
    <t>DIB 31 INCORPORACOES LTDA - DESATIVADO</t>
  </si>
  <si>
    <t>88.304.662/0001-04</t>
  </si>
  <si>
    <t>DIVULTEC INDUSTRIA, COMERCIO E SERVICOS</t>
  </si>
  <si>
    <t>05.338.482/0001-08</t>
  </si>
  <si>
    <t>DINDA ALIMENTOS EIRELI</t>
  </si>
  <si>
    <t>72.020.118/0001-92</t>
  </si>
  <si>
    <t>DIKLATEX INDUSTRIAL TEXTIL S/A</t>
  </si>
  <si>
    <t>02.940.452/0001-89</t>
  </si>
  <si>
    <t>DRAY INDÚSTRIA E COMÉRCIO LTDA.</t>
  </si>
  <si>
    <t>04.492.312/0001-10</t>
  </si>
  <si>
    <t>DUBLAGEM MELOS - DESATIVADO</t>
  </si>
  <si>
    <t>01.062.529/0001-00</t>
  </si>
  <si>
    <t>DULCINI S/A - DESATIVADO</t>
  </si>
  <si>
    <t>08.357.081/0001-93</t>
  </si>
  <si>
    <t>ECOMETAL INDUSTRIA DE METAIS LTDA EM RECUPERA??O JUDICIAL</t>
  </si>
  <si>
    <t>87.332.342/0001-97</t>
  </si>
  <si>
    <t>ELO SISTEMAS ELETRONICOS S.A.</t>
  </si>
  <si>
    <t>72.057.110/0001-09</t>
  </si>
  <si>
    <t xml:space="preserve">EMPORIO MUNDIAL DE ROUPAS INTIMAS LTDA </t>
  </si>
  <si>
    <t>91.215.046/0001-83</t>
  </si>
  <si>
    <t>ENGATCAR INDUSTRIA DE AUTO PECAS LTDA</t>
  </si>
  <si>
    <t>02.633.138/0001-53</t>
  </si>
  <si>
    <t>ENOVELAR INDUSTRIA E COMERCIO LTDA</t>
  </si>
  <si>
    <t>08.868.097/0001-60</t>
  </si>
  <si>
    <t>EUROPAN INDUSTRIA E COMERCIO DE PRODUTOS ALIMENTICIOS LTDA</t>
  </si>
  <si>
    <t>03.419.267/0001-06</t>
  </si>
  <si>
    <t>EVOLUTEX MANUFATURA DE ROUPAS LTDA</t>
  </si>
  <si>
    <t>85.498.269/0001-00</t>
  </si>
  <si>
    <t>FALCOA FUNDICAO DE ALUMINIO LTDA</t>
  </si>
  <si>
    <t>00.802.235/0001-05</t>
  </si>
  <si>
    <t>FIRST S.A.</t>
  </si>
  <si>
    <t>04.239.719/0001-30</t>
  </si>
  <si>
    <t>FRIGORÍFICO NOVA ARAÇA LTDA</t>
  </si>
  <si>
    <t>12.289.084/0001-04</t>
  </si>
  <si>
    <t>G. DA SILVA CALCADOS EIRELI ME</t>
  </si>
  <si>
    <t>13.747.021/0001-17</t>
  </si>
  <si>
    <t>GALDINO E GALDINO COM DE PROD DE INF E ELETRONICOS LTDA</t>
  </si>
  <si>
    <t>12.965.667/0001-08</t>
  </si>
  <si>
    <t>GGB COMERCIO DE CALCADOS E ACESSORIOS EIRELI - DESATIVADO</t>
  </si>
  <si>
    <t>05.758.630/0001-43</t>
  </si>
  <si>
    <t>GOLBRASIL INDUSTRIA QUIMICA EIRELI</t>
  </si>
  <si>
    <t>52.221.157/0001-40</t>
  </si>
  <si>
    <t>GUEPARD IMPORTADORA E EXPORTADORA LTDA</t>
  </si>
  <si>
    <t>12.805.541/0001-76</t>
  </si>
  <si>
    <t>GUTEMBERG INCORPORACOES LTDA- Zerar a Carteira -</t>
  </si>
  <si>
    <t>11.496.607/0001-20</t>
  </si>
  <si>
    <t>HDA INDUSTRIA E COMERCIO DE COMP ELET LT</t>
  </si>
  <si>
    <t>90.952.052/0001-50</t>
  </si>
  <si>
    <t>HIDRO JET EQUIPAMENTOS HIDRAULICOS LTDA</t>
  </si>
  <si>
    <t>07.244.030/0001-92</t>
  </si>
  <si>
    <t>IGMED COMÉRCIO DE MATERIAL MÉDICO HOSPITALAR LTDA - DESATIVADO</t>
  </si>
  <si>
    <t>90.340.894/0001-51</t>
  </si>
  <si>
    <t>INDUSTRIA DE ALIMENTOS PETRY LTDA</t>
  </si>
  <si>
    <t>14.569.837/0001-60</t>
  </si>
  <si>
    <t>INDUSTRIA DE CALCADOS CAMILLY VITORIA LTDA -</t>
  </si>
  <si>
    <t>09.655.927/0001-34</t>
  </si>
  <si>
    <t>INDÚSTRIA DE CALÇADOS TRÊS AMÉRICAS LTDA</t>
  </si>
  <si>
    <t>85.275.386/0001-05</t>
  </si>
  <si>
    <t>INDUSTRIA E COM. DE CALCADOS VIASCARPA LTDA</t>
  </si>
  <si>
    <t>86.154.119/0001-34</t>
  </si>
  <si>
    <t xml:space="preserve">INDUSTRIA E COMERCIO DE CALCADOS TANIA LTDA </t>
  </si>
  <si>
    <t>02.100.608/0002-02</t>
  </si>
  <si>
    <t>INDUSTRIA TEXTIL ISAPA LTDA</t>
  </si>
  <si>
    <t>73.695.595/0001-10</t>
  </si>
  <si>
    <t>INDUSTRIAL METALURGICA ROTAMIL EIRELI</t>
  </si>
  <si>
    <t>92.968.106/0001-00</t>
  </si>
  <si>
    <t>INSTITUICAO EDUCACIONAL SAO JUDAS TADEU</t>
  </si>
  <si>
    <t>87.442.430/0001-41</t>
  </si>
  <si>
    <t>IRGOVEL IND RIOGRANDENSE DE OLEOS VEGETAIS LTDA</t>
  </si>
  <si>
    <t>82.984.287/0001-04</t>
  </si>
  <si>
    <t>IRMAOS FISCHER S/A INDUSTRIA E COMERCIO</t>
  </si>
  <si>
    <t>05.881.668/0001-09</t>
  </si>
  <si>
    <t>ISO INDUSTRIA DE CONFECCOES LTDA</t>
  </si>
  <si>
    <t>02.151.018/0001-10</t>
  </si>
  <si>
    <t>ITAGRES REVESTIMENTOS CERAMICOS S.A - DESATIVADO</t>
  </si>
  <si>
    <t>08.605.814/0001-61</t>
  </si>
  <si>
    <t>JBM COMERCIO DE GENEROS ALIMENTICIOS LTDA - DESATIVADO</t>
  </si>
  <si>
    <t>10.552.106/0001-51</t>
  </si>
  <si>
    <t>KAPLASTHAIR INDUSTRIA E COMERCIO DE PLASTICOS</t>
  </si>
  <si>
    <t>12.641.097/0001-09</t>
  </si>
  <si>
    <t>LABELLAMAFIA INDUSTRIA E COMERCIO DE CONFECCOES LTDA</t>
  </si>
  <si>
    <t>97.517.932/0001-48</t>
  </si>
  <si>
    <t>LABORATORIO CRISTHAL IND E COM DE COSMETICOS EIRELI</t>
  </si>
  <si>
    <t>29.346.301/0001-53</t>
  </si>
  <si>
    <t>LABORATORIO FARMACEUTICO VITAMED LTDA</t>
  </si>
  <si>
    <t>Em processo definição</t>
  </si>
  <si>
    <t>02.102.593/0001-22</t>
  </si>
  <si>
    <t>LAGOA MOVEIS LTDA</t>
  </si>
  <si>
    <t>14.790.204/0001-88</t>
  </si>
  <si>
    <t>LATICINIOS SAO DOMINGOS LTDA</t>
  </si>
  <si>
    <t>04.800.830/0001-54</t>
  </si>
  <si>
    <t>LATICÍNIO DEALE LTDA</t>
  </si>
  <si>
    <t>02.740.901/0001-45</t>
  </si>
  <si>
    <t>LATIPAC BRASIL RECICLAGEM EM PLASTICOS LTDA - ME</t>
  </si>
  <si>
    <t>00.451.687/0001-81</t>
  </si>
  <si>
    <t>LIPON QUIMICA INDL LTDA - DESATIVADO</t>
  </si>
  <si>
    <t>09.242.442/0001-19</t>
  </si>
  <si>
    <t>LUXFORT DO BRASIL EIRELI</t>
  </si>
  <si>
    <t>81.584.039/0001-03</t>
  </si>
  <si>
    <t>LUATEX TEXTIL LTDA</t>
  </si>
  <si>
    <t>84.298.926/0001-03</t>
  </si>
  <si>
    <t>M. REIS &amp; CIA LTDA</t>
  </si>
  <si>
    <t>64.822.141/0001-72</t>
  </si>
  <si>
    <t>M.C. FIL TECNOLOGIA DE FILTRAGENS LTDA</t>
  </si>
  <si>
    <t>78.539.780/0001-30</t>
  </si>
  <si>
    <t>MANCHESTER QUIMICA DO BRASIL LTDA</t>
  </si>
  <si>
    <t>84.148.485/0001-55</t>
  </si>
  <si>
    <t>MÁQUINAS OMIL LTDA.</t>
  </si>
  <si>
    <t>01.799.423/0001-86</t>
  </si>
  <si>
    <t>MAXICLIMA IND DE CLIMATIZADORES E SUPLEMENTOS TERMO LTDA</t>
  </si>
  <si>
    <t>89.515.712/0001-57</t>
  </si>
  <si>
    <t>MBN PRODUTOS QUÍMICOS LTDA - DESATIVADO</t>
  </si>
  <si>
    <t>93.899.359/0001-23</t>
  </si>
  <si>
    <t>METALURGICA VENANCIO LTDA</t>
  </si>
  <si>
    <t>07.097.396/0001-86</t>
  </si>
  <si>
    <t>MISS PECK INDUSTRIA TEXTIL E CONFECCOES LTDA</t>
  </si>
  <si>
    <t>75.880.518/0001-66</t>
  </si>
  <si>
    <t>MOLIZA REVESTIMENTOS CERAMICOS LTDA - DESATIVADO</t>
  </si>
  <si>
    <t>91.192.294/0001-56</t>
  </si>
  <si>
    <t>MOVEIS D CANDIDA INDUSTRIAS MOVELEIRAS LTDA</t>
  </si>
  <si>
    <t>90.608.084/0001-33</t>
  </si>
  <si>
    <t>MOVEIS DORIPEL LTDA - Zerar a Carteira -</t>
  </si>
  <si>
    <t>87.640.637/0001-20</t>
  </si>
  <si>
    <t>MOINHO DE TRIGO IPIRANGA LTDA EM RJ</t>
  </si>
  <si>
    <t>81.120.842/0001-89</t>
  </si>
  <si>
    <t>MSB INDUSTRIA E COMERCIO LTDA</t>
  </si>
  <si>
    <t>92.146.505/0001-87</t>
  </si>
  <si>
    <t>NEO STOCK BRASIL PRODUTOS PARA SAUDE LTDA - Zerar a Carteira -</t>
  </si>
  <si>
    <t>01.732.983/0001-13</t>
  </si>
  <si>
    <t>NOVITÁ INDÚSTRIA DE EMBALAGENS PLÁSTICAS LTDA.</t>
  </si>
  <si>
    <t>89.028.575/0001-26</t>
  </si>
  <si>
    <t>OLVEBRA INDUSTRIAL S/A - DESATIVADO</t>
  </si>
  <si>
    <t>91.156.901/0001-22</t>
  </si>
  <si>
    <t>OLVEBRA S.A. - DESATIVADO</t>
  </si>
  <si>
    <t>04.510.468/0001-87</t>
  </si>
  <si>
    <t>ONEPACK COMERCIO IMPORTACAO E EXPORTACAO LTDA</t>
  </si>
  <si>
    <t>31.228.836/0001-71</t>
  </si>
  <si>
    <t>ORTOBRAS INDUSTRIA E COMERCIO DE ORTOPED</t>
  </si>
  <si>
    <t>04.672.596/0001-27</t>
  </si>
  <si>
    <t>P B INDUSTRIA DE CALCADOS LTDA</t>
  </si>
  <si>
    <t>07.944.839/0001-27</t>
  </si>
  <si>
    <t>PAMPARAFIA IND E COM DE EMBALAGENS LTDA</t>
  </si>
  <si>
    <t>80.995.228/0001-06</t>
  </si>
  <si>
    <t>PAPELÃO UNIÃO IND. COM. LTDA.</t>
  </si>
  <si>
    <t>92.878.180/0001-27</t>
  </si>
  <si>
    <t>PAVIOLI S/A</t>
  </si>
  <si>
    <t>13.012.028/0001-90</t>
  </si>
  <si>
    <t>PEROBA EMPREENDIMENTOS IMOBILIARIOS LTDA</t>
  </si>
  <si>
    <t>91.229.096/0001-10</t>
  </si>
  <si>
    <t>PILATI MOVEIS LTDA</t>
  </si>
  <si>
    <t>29.542.851/0001-48</t>
  </si>
  <si>
    <t>PIEMONTE DISTRIBUIDORA DE ALIMENTOS LTDA</t>
  </si>
  <si>
    <t>80.474.042/0001-01</t>
  </si>
  <si>
    <t>PLASTICOM PLASTICOS INDUSTRIA E COMERCIO LTDA</t>
  </si>
  <si>
    <t>04.415.372/0001-30</t>
  </si>
  <si>
    <t>PLASTIAL INDUSTRIA E COMERCIO DE PLASTICOS INDAIAL LTDA</t>
  </si>
  <si>
    <t>05.210.829/0001-32</t>
  </si>
  <si>
    <t>POLIBHELA INDUSTRIAL E COMERCIAL DE COMPONENTES PARA CALCADOS EIRELI</t>
  </si>
  <si>
    <t>13.660.117/0001-43</t>
  </si>
  <si>
    <t>PPX TERMOPLASTICOS LTDA</t>
  </si>
  <si>
    <t>93.364.974/0001-35</t>
  </si>
  <si>
    <t>REAL CENTER MATERIAIS E EQUIPAMENTOS ELE</t>
  </si>
  <si>
    <t>07.067.422/0001-23</t>
  </si>
  <si>
    <t>RED RIVER IND. COM. E MARKETING LTDA</t>
  </si>
  <si>
    <t>92.660.240/0001-30</t>
  </si>
  <si>
    <t>RENNER TEXTIL LTDA</t>
  </si>
  <si>
    <t>04.631.244/0001-23</t>
  </si>
  <si>
    <t>RIMA ENGENHARIA LTDA - DESATIVADO</t>
  </si>
  <si>
    <t>88.662.838/0001-91</t>
  </si>
  <si>
    <t>RIZZI E CIA LTDA</t>
  </si>
  <si>
    <t>02.084.145/0001-43</t>
  </si>
  <si>
    <t>RUBRAS LAMINADOS BRASILEIROS LTDA</t>
  </si>
  <si>
    <t>89.306.872/0001-96</t>
  </si>
  <si>
    <t>SANGALLI, BUSA S/A INDUSTRIA E AGROPECUARIA</t>
  </si>
  <si>
    <t>14.527.513/0001-60</t>
  </si>
  <si>
    <t>SB ESPELHOS E VIDROS EIRELI</t>
  </si>
  <si>
    <t>07.493.732/0001-00</t>
  </si>
  <si>
    <t>SEDA IND. COM. CONFECOES LTDA</t>
  </si>
  <si>
    <t>92.015.064/0001-84</t>
  </si>
  <si>
    <t>SEMEATO S.A.  - DESATIVADO</t>
  </si>
  <si>
    <t>68.739.861/0001-20</t>
  </si>
  <si>
    <t>SIGMA COML EXP E IMP LTDA</t>
  </si>
  <si>
    <t>14.873.407/0001-38</t>
  </si>
  <si>
    <t>SKATE CONNECTION LTDA  ME</t>
  </si>
  <si>
    <t>11.256.093/0001-36</t>
  </si>
  <si>
    <t>SUPERBLOCO CONCRETO LTDA.</t>
  </si>
  <si>
    <t>03.367.101/0001-93</t>
  </si>
  <si>
    <t>SUPERTEX CONCRETO LTDA</t>
  </si>
  <si>
    <t>05.115.267/0001-48</t>
  </si>
  <si>
    <t>SUPREMO INDUSTRIAL DE PLASTICO EIRELI</t>
  </si>
  <si>
    <t>82.584.764/0001-36</t>
  </si>
  <si>
    <t>TB SUL INDÚSTRIA E COMÉRCIO DE REVESTIMENTOS S/A</t>
  </si>
  <si>
    <t>87.821.385/0001-36</t>
  </si>
  <si>
    <t>TEDESCO EQUIPAMENTOS PARA GASTRONOMIA LTDA</t>
  </si>
  <si>
    <t>81.303.463/0001-24</t>
  </si>
  <si>
    <t>TEXTIL FARBE LTDA</t>
  </si>
  <si>
    <t>13.125.628/0001-65</t>
  </si>
  <si>
    <t>TEXTILMAX EMBALAGENS DE POLIPROPILENO TRANCADO LTDA</t>
  </si>
  <si>
    <t>91.241.620/0001-78</t>
  </si>
  <si>
    <t xml:space="preserve">TONDO EMBALAGENS LTDA	</t>
  </si>
  <si>
    <t>97.750.384/0001-00</t>
  </si>
  <si>
    <t>TOP VISION CALCADOS LTDA</t>
  </si>
  <si>
    <t>12.554.478/0001-42</t>
  </si>
  <si>
    <t>UNIFORTTE INDUSTRIA DE PLASTICOS LTDA</t>
  </si>
  <si>
    <t>07.206.989/0001-33</t>
  </si>
  <si>
    <t>UZ3 INDUSTRIA TEXTIL EIRELI</t>
  </si>
  <si>
    <t>73.258.386/0001-00</t>
  </si>
  <si>
    <t xml:space="preserve">VALPARAISO INDUSTRIA E COMERCIO DE CONFECCOES EIRELI </t>
  </si>
  <si>
    <t>05.608.597/0001-75</t>
  </si>
  <si>
    <t xml:space="preserve">VERONA INDUSTRIA DE PLASTICOS LTDA  </t>
  </si>
  <si>
    <t>88.617.493/0001-54</t>
  </si>
  <si>
    <t>VERTEX INDUSTRIA E COMERCIO LTDA</t>
  </si>
  <si>
    <t>10.867.327/0001-19</t>
  </si>
  <si>
    <t>V3 EMPAR LTDA</t>
  </si>
  <si>
    <t>85.155.414/0001-42</t>
  </si>
  <si>
    <t>VALPASA INDÚSTRIA DE PAPEL LTDA</t>
  </si>
  <si>
    <t>01.070.037/0001-59</t>
  </si>
  <si>
    <t>VIEMAR INDUSTRIA E COMERCIO LTDA</t>
  </si>
  <si>
    <t>05.391.403/0001-22</t>
  </si>
  <si>
    <t>VICAP INDÚSTRIA E COMÉRCIO DE PLÁSTICOS LTDA</t>
  </si>
  <si>
    <t>06.916.406/0001-03</t>
  </si>
  <si>
    <t>VGR COMERCIO DE FERRAMENTAS LTDA</t>
  </si>
  <si>
    <t>09.181.944/0001-87</t>
  </si>
  <si>
    <t>VRN KLAUCK - EPP</t>
  </si>
  <si>
    <t>03.351.783/0001-46</t>
  </si>
  <si>
    <t>WIND INDUSTRIAL LTDA</t>
  </si>
  <si>
    <t>Totais dos FIDCs:</t>
  </si>
  <si>
    <t>Data emissão</t>
  </si>
  <si>
    <t>Dias p/ fim emissão</t>
  </si>
  <si>
    <t>Data fim emissão</t>
  </si>
  <si>
    <t>Disponivel p/ emissão</t>
  </si>
  <si>
    <t>Emissão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</si>
</sst>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[Red]\-&quot;R$&quot;#,##0.00"/>
    <numFmt numFmtId="165" formatCode="#,##0.00;[Red]#,##0.00"/>
    <numFmt numFmtId="166" formatCode="#,##0.00000000"/>
    <numFmt numFmtId="167" formatCode="_-* #,##0.0000000_-;\-* #,##0.0000000_-;_-* &quot;-&quot;??_-;_-@_-"/>
    <numFmt numFmtId="168" formatCode="#,##0.00000"/>
    <numFmt numFmtId="169" formatCode="_-* #,##0.00000000_-;\-* #,##0.00000000_-;_-* &quot;-&quot;??_-;_-@_-"/>
    <numFmt numFmtId="170" formatCode="#,##0.0000"/>
    <numFmt numFmtId="171" formatCode="_-* #,##0.00000_-;\-* #,##0.00000_-;_-* &quot;-&quot;??_-;_-@_-"/>
    <numFmt numFmtId="172" formatCode="0.0000%"/>
    <numFmt numFmtId="173" formatCode="0.0%"/>
    <numFmt numFmtId="174" formatCode="&quot;R$&quot;\ #,##0.00"/>
    <numFmt numFmtId="175" formatCode="0.000%"/>
    <numFmt numFmtId="176" formatCode="yyyy\-mm\-dd"/>
    <numFmt numFmtId="177" formatCode="dd/mm/yy;@"/>
    <numFmt numFmtId="178" formatCode="#,##0.00_ ;\-#,##0.00\ "/>
    <numFmt numFmtId="179" formatCode="_-&quot;R$&quot;* #,##0.00_-;\-&quot;R$&quot;* #,##0.00_-;_-&quot;R$&quot;* &quot;-&quot;??_-;_-@_-"/>
    <numFmt numFmtId="180" formatCode="#,##0.00_ ;[Red]\-#,##0.00\ "/>
    <numFmt numFmtId="181" formatCode="yyyy\-mm\-dd\ h:mm:ss"/>
    <numFmt numFmtId="182" formatCode="[hh]:mm:ss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43" fontId="1" fillId="0" borderId="0"/>
    <xf numFmtId="179" fontId="1" fillId="0" borderId="0"/>
    <xf numFmtId="9" fontId="1" fillId="0" borderId="0"/>
    <xf numFmtId="0" fontId="3" fillId="3" borderId="0"/>
    <xf numFmtId="179" fontId="1" fillId="0" borderId="0"/>
    <xf numFmtId="43" fontId="1" fillId="0" borderId="0"/>
    <xf numFmtId="43" fontId="1" fillId="0" borderId="0"/>
    <xf numFmtId="43" fontId="1" fillId="0" borderId="0"/>
    <xf numFmtId="179" fontId="1" fillId="0" borderId="0"/>
    <xf numFmtId="179" fontId="1" fillId="0" borderId="0"/>
    <xf numFmtId="43" fontId="1" fillId="0" borderId="0"/>
    <xf numFmtId="43" fontId="1" fillId="0" borderId="0"/>
  </cellStyleXfs>
  <cellXfs count="258">
    <xf numFmtId="0" fontId="0" fillId="0" borderId="0" xfId="0"/>
    <xf numFmtId="4" fontId="0" fillId="0" borderId="0" xfId="0" applyNumberFormat="1"/>
    <xf numFmtId="0" fontId="2" fillId="2" borderId="1" xfId="0" applyFont="1" applyFill="1" applyBorder="1" applyAlignment="1">
      <alignment horizontal="center"/>
    </xf>
    <xf numFmtId="0" fontId="1" fillId="0" borderId="0" xfId="0" applyFont="1"/>
    <xf numFmtId="14" fontId="1" fillId="0" borderId="0" xfId="0" applyNumberFormat="1" applyFont="1"/>
    <xf numFmtId="0" fontId="5" fillId="0" borderId="0" xfId="0" applyFont="1"/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10" fontId="5" fillId="0" borderId="0" xfId="3" applyNumberFormat="1" applyFont="1" applyAlignment="1">
      <alignment horizontal="right"/>
    </xf>
    <xf numFmtId="10" fontId="6" fillId="4" borderId="0" xfId="3" applyNumberFormat="1" applyFont="1" applyFill="1" applyAlignment="1">
      <alignment horizontal="right"/>
    </xf>
    <xf numFmtId="0" fontId="5" fillId="4" borderId="0" xfId="0" applyFont="1" applyFill="1"/>
    <xf numFmtId="0" fontId="6" fillId="2" borderId="1" xfId="0" applyFont="1" applyFill="1" applyBorder="1" applyAlignment="1">
      <alignment horizontal="center" vertical="center"/>
    </xf>
    <xf numFmtId="10" fontId="0" fillId="0" borderId="0" xfId="0" applyNumberFormat="1"/>
    <xf numFmtId="9" fontId="5" fillId="0" borderId="0" xfId="3" applyFont="1"/>
    <xf numFmtId="9" fontId="5" fillId="4" borderId="0" xfId="0" applyNumberFormat="1" applyFont="1" applyFill="1" applyAlignment="1">
      <alignment vertical="center"/>
    </xf>
    <xf numFmtId="9" fontId="6" fillId="4" borderId="0" xfId="1" applyNumberFormat="1" applyFont="1" applyFill="1" applyAlignment="1">
      <alignment vertical="center"/>
    </xf>
    <xf numFmtId="0" fontId="0" fillId="6" borderId="6" xfId="0" applyFill="1" applyBorder="1"/>
    <xf numFmtId="0" fontId="0" fillId="2" borderId="0" xfId="0" applyFill="1"/>
    <xf numFmtId="0" fontId="11" fillId="7" borderId="11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4" fontId="12" fillId="0" borderId="0" xfId="0" applyNumberFormat="1" applyFont="1" applyAlignment="1">
      <alignment horizontal="right" vertical="center"/>
    </xf>
    <xf numFmtId="4" fontId="10" fillId="0" borderId="0" xfId="0" applyNumberFormat="1" applyFont="1" applyAlignment="1">
      <alignment horizontal="right" vertical="center"/>
    </xf>
    <xf numFmtId="4" fontId="5" fillId="0" borderId="0" xfId="0" applyNumberFormat="1" applyFont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 applyAlignment="1">
      <alignment horizontal="right" vertical="center"/>
    </xf>
    <xf numFmtId="10" fontId="11" fillId="8" borderId="0" xfId="0" applyNumberFormat="1" applyFont="1" applyFill="1" applyAlignment="1">
      <alignment horizontal="right" vertical="center"/>
    </xf>
    <xf numFmtId="4" fontId="6" fillId="8" borderId="0" xfId="0" applyNumberFormat="1" applyFont="1" applyFill="1" applyAlignment="1">
      <alignment horizontal="right" vertical="center"/>
    </xf>
    <xf numFmtId="0" fontId="5" fillId="8" borderId="0" xfId="0" applyFont="1" applyFill="1" applyAlignment="1">
      <alignment vertical="center"/>
    </xf>
    <xf numFmtId="10" fontId="10" fillId="0" borderId="0" xfId="0" applyNumberFormat="1" applyFont="1" applyAlignment="1">
      <alignment horizontal="right" vertical="center"/>
    </xf>
    <xf numFmtId="0" fontId="13" fillId="5" borderId="0" xfId="0" applyFont="1" applyFill="1"/>
    <xf numFmtId="0" fontId="0" fillId="5" borderId="0" xfId="0" applyFill="1"/>
    <xf numFmtId="0" fontId="10" fillId="5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4" fontId="10" fillId="9" borderId="0" xfId="0" applyNumberFormat="1" applyFont="1" applyFill="1" applyAlignment="1">
      <alignment vertical="center"/>
    </xf>
    <xf numFmtId="0" fontId="0" fillId="9" borderId="0" xfId="0" applyFill="1"/>
    <xf numFmtId="10" fontId="10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4" fontId="10" fillId="9" borderId="0" xfId="0" applyNumberFormat="1" applyFont="1" applyFill="1" applyAlignment="1">
      <alignment horizontal="right" vertical="center"/>
    </xf>
    <xf numFmtId="0" fontId="8" fillId="5" borderId="10" xfId="0" applyFont="1" applyFill="1" applyBorder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0" fillId="0" borderId="0" xfId="0" applyAlignment="1">
      <alignment horizontal="center"/>
    </xf>
    <xf numFmtId="4" fontId="0" fillId="2" borderId="0" xfId="0" applyNumberFormat="1" applyFill="1"/>
    <xf numFmtId="0" fontId="0" fillId="2" borderId="5" xfId="0" applyFill="1" applyBorder="1"/>
    <xf numFmtId="0" fontId="2" fillId="2" borderId="5" xfId="0" applyFont="1" applyFill="1" applyBorder="1"/>
    <xf numFmtId="0" fontId="0" fillId="2" borderId="7" xfId="0" applyFill="1" applyBorder="1"/>
    <xf numFmtId="0" fontId="2" fillId="0" borderId="7" xfId="0" applyFont="1" applyBorder="1"/>
    <xf numFmtId="0" fontId="2" fillId="0" borderId="8" xfId="0" applyFont="1" applyBorder="1"/>
    <xf numFmtId="14" fontId="2" fillId="0" borderId="9" xfId="0" applyNumberFormat="1" applyFont="1" applyBorder="1" applyAlignment="1">
      <alignment horizontal="center"/>
    </xf>
    <xf numFmtId="4" fontId="0" fillId="2" borderId="5" xfId="0" applyNumberFormat="1" applyFill="1" applyBorder="1"/>
    <xf numFmtId="4" fontId="0" fillId="0" borderId="6" xfId="0" applyNumberFormat="1" applyBorder="1"/>
    <xf numFmtId="0" fontId="0" fillId="0" borderId="6" xfId="0" applyBorder="1"/>
    <xf numFmtId="0" fontId="2" fillId="2" borderId="0" xfId="0" applyFont="1" applyFill="1"/>
    <xf numFmtId="4" fontId="2" fillId="0" borderId="6" xfId="0" applyNumberFormat="1" applyFont="1" applyBorder="1"/>
    <xf numFmtId="0" fontId="0" fillId="2" borderId="3" xfId="0" applyFill="1" applyBorder="1"/>
    <xf numFmtId="0" fontId="0" fillId="2" borderId="2" xfId="0" applyFill="1" applyBorder="1"/>
    <xf numFmtId="10" fontId="0" fillId="0" borderId="4" xfId="3" applyNumberFormat="1" applyFont="1" applyBorder="1"/>
    <xf numFmtId="3" fontId="0" fillId="2" borderId="5" xfId="0" applyNumberFormat="1" applyFill="1" applyBorder="1"/>
    <xf numFmtId="4" fontId="2" fillId="2" borderId="5" xfId="0" applyNumberFormat="1" applyFont="1" applyFill="1" applyBorder="1"/>
    <xf numFmtId="4" fontId="2" fillId="2" borderId="0" xfId="0" applyNumberFormat="1" applyFont="1" applyFill="1"/>
    <xf numFmtId="10" fontId="0" fillId="2" borderId="3" xfId="3" applyNumberFormat="1" applyFont="1" applyFill="1" applyBorder="1"/>
    <xf numFmtId="10" fontId="0" fillId="2" borderId="2" xfId="3" applyNumberFormat="1" applyFont="1" applyFill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4" fontId="4" fillId="0" borderId="6" xfId="0" applyNumberFormat="1" applyFont="1" applyBorder="1"/>
    <xf numFmtId="4" fontId="14" fillId="0" borderId="6" xfId="0" applyNumberFormat="1" applyFont="1" applyBorder="1"/>
    <xf numFmtId="14" fontId="0" fillId="0" borderId="2" xfId="0" applyNumberFormat="1" applyBorder="1" applyAlignment="1">
      <alignment horizontal="center"/>
    </xf>
    <xf numFmtId="14" fontId="2" fillId="6" borderId="8" xfId="0" applyNumberFormat="1" applyFont="1" applyFill="1" applyBorder="1" applyAlignment="1">
      <alignment horizontal="center"/>
    </xf>
    <xf numFmtId="4" fontId="4" fillId="6" borderId="0" xfId="0" applyNumberFormat="1" applyFont="1" applyFill="1"/>
    <xf numFmtId="4" fontId="14" fillId="6" borderId="0" xfId="0" applyNumberFormat="1" applyFont="1" applyFill="1"/>
    <xf numFmtId="10" fontId="0" fillId="6" borderId="2" xfId="3" applyNumberFormat="1" applyFont="1" applyFill="1" applyBorder="1"/>
    <xf numFmtId="4" fontId="2" fillId="2" borderId="6" xfId="0" applyNumberFormat="1" applyFont="1" applyFill="1" applyBorder="1"/>
    <xf numFmtId="0" fontId="0" fillId="2" borderId="8" xfId="0" applyFill="1" applyBorder="1"/>
    <xf numFmtId="4" fontId="0" fillId="0" borderId="9" xfId="0" applyNumberFormat="1" applyBorder="1"/>
    <xf numFmtId="4" fontId="0" fillId="2" borderId="7" xfId="0" applyNumberFormat="1" applyFill="1" applyBorder="1"/>
    <xf numFmtId="4" fontId="0" fillId="2" borderId="8" xfId="0" applyNumberFormat="1" applyFill="1" applyBorder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8" xfId="0" applyBorder="1"/>
    <xf numFmtId="4" fontId="14" fillId="0" borderId="4" xfId="0" applyNumberFormat="1" applyFont="1" applyBorder="1"/>
    <xf numFmtId="4" fontId="0" fillId="2" borderId="3" xfId="0" applyNumberFormat="1" applyFill="1" applyBorder="1"/>
    <xf numFmtId="4" fontId="0" fillId="2" borderId="2" xfId="0" applyNumberFormat="1" applyFill="1" applyBorder="1"/>
    <xf numFmtId="4" fontId="13" fillId="2" borderId="0" xfId="0" applyNumberFormat="1" applyFont="1" applyFill="1"/>
    <xf numFmtId="0" fontId="2" fillId="2" borderId="13" xfId="0" applyFont="1" applyFill="1" applyBorder="1"/>
    <xf numFmtId="3" fontId="0" fillId="2" borderId="7" xfId="0" applyNumberFormat="1" applyFill="1" applyBorder="1"/>
    <xf numFmtId="3" fontId="0" fillId="2" borderId="3" xfId="0" applyNumberFormat="1" applyFill="1" applyBorder="1"/>
    <xf numFmtId="4" fontId="2" fillId="0" borderId="4" xfId="0" applyNumberFormat="1" applyFont="1" applyBorder="1"/>
    <xf numFmtId="17" fontId="0" fillId="0" borderId="0" xfId="0" applyNumberFormat="1"/>
    <xf numFmtId="10" fontId="9" fillId="6" borderId="0" xfId="1" applyNumberFormat="1" applyFont="1" applyFill="1" applyAlignment="1">
      <alignment horizontal="right"/>
    </xf>
    <xf numFmtId="4" fontId="9" fillId="0" borderId="0" xfId="0" applyNumberFormat="1" applyFont="1" applyAlignment="1">
      <alignment wrapText="1"/>
    </xf>
    <xf numFmtId="4" fontId="9" fillId="2" borderId="8" xfId="0" applyNumberFormat="1" applyFont="1" applyFill="1" applyBorder="1" applyAlignment="1">
      <alignment horizontal="center"/>
    </xf>
    <xf numFmtId="10" fontId="9" fillId="2" borderId="0" xfId="1" applyNumberFormat="1" applyFont="1" applyFill="1" applyAlignment="1">
      <alignment horizontal="right"/>
    </xf>
    <xf numFmtId="0" fontId="0" fillId="2" borderId="6" xfId="0" applyFill="1" applyBorder="1"/>
    <xf numFmtId="10" fontId="9" fillId="2" borderId="0" xfId="1" applyNumberFormat="1" applyFont="1" applyFill="1" applyAlignment="1">
      <alignment horizontal="center"/>
    </xf>
    <xf numFmtId="10" fontId="9" fillId="2" borderId="2" xfId="1" applyNumberFormat="1" applyFont="1" applyFill="1" applyBorder="1" applyAlignment="1">
      <alignment horizontal="right"/>
    </xf>
    <xf numFmtId="0" fontId="0" fillId="2" borderId="4" xfId="0" applyFill="1" applyBorder="1"/>
    <xf numFmtId="0" fontId="0" fillId="6" borderId="0" xfId="0" applyFill="1"/>
    <xf numFmtId="0" fontId="2" fillId="6" borderId="0" xfId="0" applyFont="1" applyFill="1" applyAlignment="1">
      <alignment horizontal="right"/>
    </xf>
    <xf numFmtId="0" fontId="9" fillId="6" borderId="0" xfId="1" applyNumberFormat="1" applyFont="1" applyFill="1" applyAlignment="1">
      <alignment horizontal="left"/>
    </xf>
    <xf numFmtId="10" fontId="2" fillId="0" borderId="2" xfId="3" applyNumberFormat="1" applyFont="1" applyBorder="1" applyAlignment="1">
      <alignment horizontal="center"/>
    </xf>
    <xf numFmtId="0" fontId="2" fillId="2" borderId="8" xfId="3" applyNumberFormat="1" applyFont="1" applyFill="1" applyBorder="1" applyAlignment="1">
      <alignment horizontal="right"/>
    </xf>
    <xf numFmtId="0" fontId="0" fillId="2" borderId="9" xfId="0" applyFill="1" applyBorder="1"/>
    <xf numFmtId="0" fontId="2" fillId="6" borderId="9" xfId="0" applyFont="1" applyFill="1" applyBorder="1"/>
    <xf numFmtId="0" fontId="2" fillId="6" borderId="6" xfId="0" applyFont="1" applyFill="1" applyBorder="1"/>
    <xf numFmtId="0" fontId="2" fillId="6" borderId="4" xfId="0" applyFont="1" applyFill="1" applyBorder="1"/>
    <xf numFmtId="0" fontId="0" fillId="6" borderId="4" xfId="0" applyFill="1" applyBorder="1"/>
    <xf numFmtId="0" fontId="2" fillId="6" borderId="18" xfId="0" applyFont="1" applyFill="1" applyBorder="1" applyAlignment="1">
      <alignment horizontal="left"/>
    </xf>
    <xf numFmtId="0" fontId="2" fillId="2" borderId="19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0" fillId="6" borderId="18" xfId="0" applyFill="1" applyBorder="1"/>
    <xf numFmtId="0" fontId="2" fillId="2" borderId="2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10" borderId="20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3" fillId="3" borderId="19" xfId="4" applyBorder="1" applyAlignment="1">
      <alignment horizontal="left"/>
    </xf>
    <xf numFmtId="14" fontId="2" fillId="12" borderId="0" xfId="0" applyNumberFormat="1" applyFont="1" applyFill="1" applyAlignment="1">
      <alignment horizontal="center"/>
    </xf>
    <xf numFmtId="14" fontId="2" fillId="12" borderId="6" xfId="0" applyNumberFormat="1" applyFont="1" applyFill="1" applyBorder="1" applyAlignment="1">
      <alignment horizontal="left"/>
    </xf>
    <xf numFmtId="0" fontId="2" fillId="12" borderId="0" xfId="3" applyNumberFormat="1" applyFont="1" applyFill="1" applyAlignment="1">
      <alignment horizontal="center"/>
    </xf>
    <xf numFmtId="0" fontId="2" fillId="6" borderId="23" xfId="0" applyFont="1" applyFill="1" applyBorder="1"/>
    <xf numFmtId="0" fontId="2" fillId="6" borderId="22" xfId="0" applyFont="1" applyFill="1" applyBorder="1"/>
    <xf numFmtId="0" fontId="2" fillId="6" borderId="6" xfId="0" applyFont="1" applyFill="1" applyBorder="1" applyAlignment="1">
      <alignment horizontal="left"/>
    </xf>
    <xf numFmtId="0" fontId="2" fillId="6" borderId="6" xfId="0" applyFont="1" applyFill="1" applyBorder="1" applyAlignment="1">
      <alignment horizontal="left" vertical="top"/>
    </xf>
    <xf numFmtId="0" fontId="0" fillId="6" borderId="19" xfId="0" applyFill="1" applyBorder="1"/>
    <xf numFmtId="0" fontId="0" fillId="6" borderId="2" xfId="0" applyFill="1" applyBorder="1"/>
    <xf numFmtId="10" fontId="9" fillId="6" borderId="2" xfId="1" applyNumberFormat="1" applyFont="1" applyFill="1" applyBorder="1" applyAlignment="1">
      <alignment horizontal="right"/>
    </xf>
    <xf numFmtId="164" fontId="1" fillId="0" borderId="0" xfId="1" applyNumberFormat="1"/>
    <xf numFmtId="165" fontId="10" fillId="0" borderId="0" xfId="0" applyNumberFormat="1" applyFont="1" applyAlignment="1">
      <alignment vertical="center"/>
    </xf>
    <xf numFmtId="165" fontId="6" fillId="8" borderId="0" xfId="0" applyNumberFormat="1" applyFont="1" applyFill="1" applyAlignment="1">
      <alignment horizontal="right" vertical="center"/>
    </xf>
    <xf numFmtId="165" fontId="10" fillId="9" borderId="0" xfId="0" applyNumberFormat="1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166" fontId="0" fillId="2" borderId="5" xfId="0" applyNumberFormat="1" applyFill="1" applyBorder="1"/>
    <xf numFmtId="167" fontId="2" fillId="2" borderId="5" xfId="1" applyNumberFormat="1" applyFont="1" applyFill="1" applyBorder="1"/>
    <xf numFmtId="168" fontId="2" fillId="2" borderId="0" xfId="0" applyNumberFormat="1" applyFont="1" applyFill="1"/>
    <xf numFmtId="169" fontId="2" fillId="2" borderId="5" xfId="0" applyNumberFormat="1" applyFont="1" applyFill="1" applyBorder="1"/>
    <xf numFmtId="167" fontId="2" fillId="2" borderId="5" xfId="1" quotePrefix="1" applyNumberFormat="1" applyFont="1" applyFill="1" applyBorder="1"/>
    <xf numFmtId="170" fontId="2" fillId="2" borderId="0" xfId="0" applyNumberFormat="1" applyFont="1" applyFill="1"/>
    <xf numFmtId="171" fontId="2" fillId="2" borderId="5" xfId="1" quotePrefix="1" applyNumberFormat="1" applyFont="1" applyFill="1" applyBorder="1"/>
    <xf numFmtId="172" fontId="0" fillId="0" borderId="0" xfId="3" applyNumberFormat="1" applyFont="1"/>
    <xf numFmtId="9" fontId="1" fillId="0" borderId="0" xfId="3"/>
    <xf numFmtId="14" fontId="0" fillId="0" borderId="0" xfId="0" applyNumberFormat="1"/>
    <xf numFmtId="1" fontId="0" fillId="0" borderId="0" xfId="3" applyNumberFormat="1" applyFont="1" applyAlignment="1">
      <alignment horizontal="center"/>
    </xf>
    <xf numFmtId="14" fontId="0" fillId="0" borderId="0" xfId="3" applyNumberFormat="1" applyFont="1" applyAlignment="1">
      <alignment horizontal="center"/>
    </xf>
    <xf numFmtId="0" fontId="2" fillId="2" borderId="6" xfId="0" applyFont="1" applyFill="1" applyBorder="1"/>
    <xf numFmtId="1" fontId="0" fillId="0" borderId="6" xfId="3" applyNumberFormat="1" applyFont="1" applyBorder="1" applyAlignment="1">
      <alignment horizontal="center"/>
    </xf>
    <xf numFmtId="0" fontId="2" fillId="0" borderId="22" xfId="0" applyFont="1" applyBorder="1"/>
    <xf numFmtId="0" fontId="15" fillId="6" borderId="0" xfId="0" applyFont="1" applyFill="1"/>
    <xf numFmtId="14" fontId="0" fillId="6" borderId="0" xfId="3" applyNumberFormat="1" applyFont="1" applyFill="1" applyAlignment="1">
      <alignment horizontal="center"/>
    </xf>
    <xf numFmtId="1" fontId="0" fillId="6" borderId="0" xfId="3" applyNumberFormat="1" applyFont="1" applyFill="1" applyAlignment="1">
      <alignment horizontal="center"/>
    </xf>
    <xf numFmtId="1" fontId="0" fillId="6" borderId="6" xfId="3" applyNumberFormat="1" applyFont="1" applyFill="1" applyBorder="1" applyAlignment="1">
      <alignment horizontal="center"/>
    </xf>
    <xf numFmtId="14" fontId="0" fillId="0" borderId="15" xfId="3" applyNumberFormat="1" applyFont="1" applyBorder="1" applyAlignment="1">
      <alignment horizontal="center"/>
    </xf>
    <xf numFmtId="1" fontId="0" fillId="0" borderId="15" xfId="3" applyNumberFormat="1" applyFont="1" applyBorder="1" applyAlignment="1">
      <alignment horizontal="center"/>
    </xf>
    <xf numFmtId="1" fontId="0" fillId="0" borderId="27" xfId="3" applyNumberFormat="1" applyFont="1" applyBorder="1" applyAlignment="1">
      <alignment horizontal="center"/>
    </xf>
    <xf numFmtId="0" fontId="15" fillId="0" borderId="0" xfId="0" applyFont="1"/>
    <xf numFmtId="0" fontId="0" fillId="0" borderId="2" xfId="0" applyBorder="1"/>
    <xf numFmtId="43" fontId="1" fillId="0" borderId="0" xfId="1"/>
    <xf numFmtId="43" fontId="2" fillId="2" borderId="1" xfId="1" applyFont="1" applyFill="1" applyBorder="1" applyAlignment="1">
      <alignment horizontal="center"/>
    </xf>
    <xf numFmtId="43" fontId="0" fillId="0" borderId="0" xfId="1" applyFont="1"/>
    <xf numFmtId="43" fontId="0" fillId="0" borderId="6" xfId="1" applyFont="1" applyBorder="1"/>
    <xf numFmtId="43" fontId="0" fillId="6" borderId="0" xfId="1" applyFont="1" applyFill="1"/>
    <xf numFmtId="43" fontId="0" fillId="0" borderId="6" xfId="0" applyNumberFormat="1" applyBorder="1"/>
    <xf numFmtId="43" fontId="0" fillId="6" borderId="0" xfId="0" applyNumberFormat="1" applyFill="1"/>
    <xf numFmtId="43" fontId="0" fillId="0" borderId="9" xfId="1" applyFont="1" applyBorder="1"/>
    <xf numFmtId="43" fontId="2" fillId="0" borderId="6" xfId="0" applyNumberFormat="1" applyFont="1" applyBorder="1"/>
    <xf numFmtId="43" fontId="2" fillId="2" borderId="6" xfId="0" applyNumberFormat="1" applyFont="1" applyFill="1" applyBorder="1"/>
    <xf numFmtId="43" fontId="2" fillId="6" borderId="0" xfId="0" applyNumberFormat="1" applyFont="1" applyFill="1"/>
    <xf numFmtId="43" fontId="0" fillId="0" borderId="9" xfId="0" applyNumberFormat="1" applyBorder="1"/>
    <xf numFmtId="43" fontId="0" fillId="6" borderId="8" xfId="0" applyNumberFormat="1" applyFill="1" applyBorder="1"/>
    <xf numFmtId="43" fontId="2" fillId="2" borderId="5" xfId="1" applyFont="1" applyFill="1" applyBorder="1"/>
    <xf numFmtId="43" fontId="2" fillId="2" borderId="5" xfId="1" quotePrefix="1" applyFont="1" applyFill="1" applyBorder="1"/>
    <xf numFmtId="44" fontId="9" fillId="6" borderId="22" xfId="0" applyNumberFormat="1" applyFont="1" applyFill="1" applyBorder="1" applyAlignment="1">
      <alignment wrapText="1"/>
    </xf>
    <xf numFmtId="43" fontId="2" fillId="6" borderId="23" xfId="3" applyNumberFormat="1" applyFont="1" applyFill="1" applyBorder="1" applyAlignment="1">
      <alignment horizontal="right"/>
    </xf>
    <xf numFmtId="44" fontId="2" fillId="6" borderId="24" xfId="0" applyNumberFormat="1" applyFont="1" applyFill="1" applyBorder="1"/>
    <xf numFmtId="44" fontId="9" fillId="6" borderId="15" xfId="0" applyNumberFormat="1" applyFont="1" applyFill="1" applyBorder="1" applyAlignment="1">
      <alignment wrapText="1"/>
    </xf>
    <xf numFmtId="43" fontId="2" fillId="6" borderId="0" xfId="3" applyNumberFormat="1" applyFont="1" applyFill="1" applyAlignment="1">
      <alignment horizontal="right"/>
    </xf>
    <xf numFmtId="44" fontId="2" fillId="6" borderId="25" xfId="0" applyNumberFormat="1" applyFont="1" applyFill="1" applyBorder="1"/>
    <xf numFmtId="44" fontId="2" fillId="6" borderId="2" xfId="3" applyNumberFormat="1" applyFont="1" applyFill="1" applyBorder="1" applyAlignment="1">
      <alignment horizontal="center"/>
    </xf>
    <xf numFmtId="173" fontId="2" fillId="6" borderId="4" xfId="3" applyNumberFormat="1" applyFont="1" applyFill="1" applyBorder="1" applyAlignment="1">
      <alignment horizontal="center"/>
    </xf>
    <xf numFmtId="44" fontId="2" fillId="2" borderId="8" xfId="3" applyNumberFormat="1" applyFont="1" applyFill="1" applyBorder="1" applyAlignment="1">
      <alignment horizontal="right"/>
    </xf>
    <xf numFmtId="173" fontId="2" fillId="2" borderId="8" xfId="3" applyNumberFormat="1" applyFont="1" applyFill="1" applyBorder="1" applyAlignment="1">
      <alignment horizontal="center"/>
    </xf>
    <xf numFmtId="44" fontId="2" fillId="0" borderId="15" xfId="3" applyNumberFormat="1" applyFont="1" applyBorder="1" applyAlignment="1">
      <alignment horizontal="center"/>
    </xf>
    <xf numFmtId="44" fontId="2" fillId="6" borderId="0" xfId="0" applyNumberFormat="1" applyFont="1" applyFill="1" applyAlignment="1">
      <alignment horizontal="right"/>
    </xf>
    <xf numFmtId="44" fontId="2" fillId="6" borderId="0" xfId="3" applyNumberFormat="1" applyFont="1" applyFill="1" applyAlignment="1">
      <alignment horizontal="center"/>
    </xf>
    <xf numFmtId="173" fontId="2" fillId="6" borderId="6" xfId="3" applyNumberFormat="1" applyFont="1" applyFill="1" applyBorder="1" applyAlignment="1">
      <alignment horizontal="center"/>
    </xf>
    <xf numFmtId="43" fontId="0" fillId="0" borderId="0" xfId="0" applyNumberFormat="1"/>
    <xf numFmtId="44" fontId="2" fillId="0" borderId="2" xfId="3" applyNumberFormat="1" applyFont="1" applyBorder="1" applyAlignment="1">
      <alignment horizontal="center"/>
    </xf>
    <xf numFmtId="44" fontId="2" fillId="6" borderId="2" xfId="0" applyNumberFormat="1" applyFont="1" applyFill="1" applyBorder="1" applyAlignment="1">
      <alignment horizontal="right"/>
    </xf>
    <xf numFmtId="43" fontId="2" fillId="6" borderId="0" xfId="6" applyFont="1" applyFill="1" applyAlignment="1">
      <alignment horizontal="left"/>
    </xf>
    <xf numFmtId="43" fontId="9" fillId="6" borderId="0" xfId="6" applyFont="1" applyFill="1" applyAlignment="1">
      <alignment horizontal="left"/>
    </xf>
    <xf numFmtId="43" fontId="2" fillId="2" borderId="2" xfId="6" applyFont="1" applyFill="1" applyBorder="1" applyAlignment="1">
      <alignment horizontal="left"/>
    </xf>
    <xf numFmtId="43" fontId="2" fillId="2" borderId="2" xfId="3" applyNumberFormat="1" applyFont="1" applyFill="1" applyBorder="1" applyAlignment="1">
      <alignment horizontal="right"/>
    </xf>
    <xf numFmtId="43" fontId="2" fillId="2" borderId="0" xfId="6" applyFont="1" applyFill="1" applyAlignment="1">
      <alignment horizontal="center"/>
    </xf>
    <xf numFmtId="43" fontId="2" fillId="2" borderId="0" xfId="3" applyNumberFormat="1" applyFont="1" applyFill="1" applyAlignment="1">
      <alignment horizontal="center"/>
    </xf>
    <xf numFmtId="44" fontId="2" fillId="0" borderId="0" xfId="0" applyNumberFormat="1" applyFont="1" applyAlignment="1">
      <alignment horizontal="center"/>
    </xf>
    <xf numFmtId="173" fontId="2" fillId="0" borderId="0" xfId="3" applyNumberFormat="1" applyFont="1" applyAlignment="1">
      <alignment horizontal="center"/>
    </xf>
    <xf numFmtId="44" fontId="16" fillId="6" borderId="0" xfId="0" applyNumberFormat="1" applyFont="1" applyFill="1" applyAlignment="1">
      <alignment horizontal="right"/>
    </xf>
    <xf numFmtId="44" fontId="2" fillId="0" borderId="2" xfId="0" applyNumberFormat="1" applyFont="1" applyBorder="1" applyAlignment="1">
      <alignment horizontal="center"/>
    </xf>
    <xf numFmtId="173" fontId="2" fillId="0" borderId="2" xfId="3" applyNumberFormat="1" applyFont="1" applyBorder="1" applyAlignment="1">
      <alignment horizontal="center"/>
    </xf>
    <xf numFmtId="44" fontId="2" fillId="6" borderId="0" xfId="0" applyNumberFormat="1" applyFont="1" applyFill="1" applyAlignment="1">
      <alignment horizontal="left"/>
    </xf>
    <xf numFmtId="44" fontId="9" fillId="6" borderId="0" xfId="1" applyNumberFormat="1" applyFont="1" applyFill="1" applyAlignment="1">
      <alignment horizontal="right"/>
    </xf>
    <xf numFmtId="43" fontId="2" fillId="2" borderId="0" xfId="6" applyFont="1" applyFill="1" applyAlignment="1">
      <alignment horizontal="left"/>
    </xf>
    <xf numFmtId="43" fontId="9" fillId="2" borderId="0" xfId="6" applyFont="1" applyFill="1" applyAlignment="1">
      <alignment horizontal="left"/>
    </xf>
    <xf numFmtId="43" fontId="2" fillId="2" borderId="0" xfId="3" applyNumberFormat="1" applyFont="1" applyFill="1" applyAlignment="1">
      <alignment horizontal="right"/>
    </xf>
    <xf numFmtId="43" fontId="2" fillId="2" borderId="8" xfId="6" applyFont="1" applyFill="1" applyBorder="1" applyAlignment="1">
      <alignment horizontal="center"/>
    </xf>
    <xf numFmtId="43" fontId="2" fillId="2" borderId="8" xfId="3" applyNumberFormat="1" applyFont="1" applyFill="1" applyBorder="1" applyAlignment="1">
      <alignment horizontal="center"/>
    </xf>
    <xf numFmtId="174" fontId="1" fillId="0" borderId="18" xfId="0" applyNumberFormat="1" applyFont="1" applyBorder="1" applyAlignment="1">
      <alignment horizontal="left"/>
    </xf>
    <xf numFmtId="44" fontId="0" fillId="0" borderId="0" xfId="0" applyNumberFormat="1" applyAlignment="1">
      <alignment horizontal="center"/>
    </xf>
    <xf numFmtId="174" fontId="1" fillId="0" borderId="26" xfId="0" applyNumberFormat="1" applyFont="1" applyBorder="1" applyAlignment="1">
      <alignment horizontal="left"/>
    </xf>
    <xf numFmtId="44" fontId="0" fillId="0" borderId="15" xfId="0" applyNumberFormat="1" applyBorder="1" applyAlignment="1">
      <alignment horizontal="center"/>
    </xf>
    <xf numFmtId="174" fontId="1" fillId="6" borderId="18" xfId="0" applyNumberFormat="1" applyFont="1" applyFill="1" applyBorder="1" applyAlignment="1">
      <alignment horizontal="left"/>
    </xf>
    <xf numFmtId="44" fontId="0" fillId="6" borderId="0" xfId="0" applyNumberFormat="1" applyFill="1" applyAlignment="1">
      <alignment horizontal="center"/>
    </xf>
    <xf numFmtId="174" fontId="0" fillId="0" borderId="6" xfId="3" applyNumberFormat="1" applyFont="1" applyBorder="1" applyAlignment="1">
      <alignment horizontal="center"/>
    </xf>
    <xf numFmtId="44" fontId="0" fillId="0" borderId="2" xfId="3" applyNumberFormat="1" applyFont="1" applyBorder="1" applyAlignment="1">
      <alignment horizontal="center"/>
    </xf>
    <xf numFmtId="175" fontId="0" fillId="0" borderId="0" xfId="3" applyNumberFormat="1" applyFont="1"/>
    <xf numFmtId="176" fontId="0" fillId="0" borderId="0" xfId="0" applyNumberFormat="1"/>
    <xf numFmtId="174" fontId="0" fillId="0" borderId="0" xfId="0" applyNumberFormat="1"/>
    <xf numFmtId="174" fontId="15" fillId="0" borderId="0" xfId="0" applyNumberFormat="1" applyFont="1"/>
    <xf numFmtId="177" fontId="6" fillId="2" borderId="1" xfId="0" applyNumberFormat="1" applyFont="1" applyFill="1" applyBorder="1" applyAlignment="1">
      <alignment horizontal="center" vertical="center"/>
    </xf>
    <xf numFmtId="178" fontId="6" fillId="2" borderId="1" xfId="1" applyNumberFormat="1" applyFont="1" applyFill="1" applyBorder="1" applyAlignment="1">
      <alignment horizontal="center" vertical="center"/>
    </xf>
    <xf numFmtId="43" fontId="6" fillId="2" borderId="1" xfId="1" applyFont="1" applyFill="1" applyBorder="1" applyAlignment="1">
      <alignment horizontal="center" vertical="center"/>
    </xf>
    <xf numFmtId="177" fontId="5" fillId="0" borderId="0" xfId="0" applyNumberFormat="1" applyFont="1"/>
    <xf numFmtId="43" fontId="5" fillId="0" borderId="0" xfId="1" applyFont="1"/>
    <xf numFmtId="179" fontId="5" fillId="0" borderId="0" xfId="2" applyFont="1"/>
    <xf numFmtId="177" fontId="5" fillId="4" borderId="0" xfId="0" applyNumberFormat="1" applyFont="1" applyFill="1"/>
    <xf numFmtId="43" fontId="5" fillId="4" borderId="0" xfId="1" applyFont="1" applyFill="1"/>
    <xf numFmtId="43" fontId="6" fillId="4" borderId="0" xfId="1" applyFont="1" applyFill="1" applyAlignment="1">
      <alignment horizontal="right"/>
    </xf>
    <xf numFmtId="180" fontId="8" fillId="4" borderId="0" xfId="1" applyNumberFormat="1" applyFont="1" applyFill="1" applyAlignment="1">
      <alignment horizontal="right"/>
    </xf>
    <xf numFmtId="177" fontId="5" fillId="4" borderId="0" xfId="0" applyNumberFormat="1" applyFont="1" applyFill="1" applyAlignment="1">
      <alignment vertical="center"/>
    </xf>
    <xf numFmtId="43" fontId="5" fillId="4" borderId="0" xfId="1" applyFont="1" applyFill="1" applyAlignment="1">
      <alignment vertical="center"/>
    </xf>
    <xf numFmtId="43" fontId="6" fillId="4" borderId="0" xfId="1" applyFont="1" applyFill="1" applyAlignment="1">
      <alignment horizontal="right" vertical="center"/>
    </xf>
    <xf numFmtId="43" fontId="6" fillId="4" borderId="0" xfId="1" applyFont="1" applyFill="1" applyAlignment="1">
      <alignment vertical="center"/>
    </xf>
    <xf numFmtId="181" fontId="0" fillId="0" borderId="0" xfId="0" applyNumberFormat="1"/>
    <xf numFmtId="182" fontId="0" fillId="0" borderId="0" xfId="0" applyNumberFormat="1"/>
    <xf numFmtId="14" fontId="2" fillId="0" borderId="2" xfId="0" applyNumberFormat="1" applyFont="1" applyBorder="1" applyAlignment="1">
      <alignment horizontal="center"/>
    </xf>
    <xf numFmtId="0" fontId="0" fillId="0" borderId="2" xfId="0" applyBorder="1"/>
    <xf numFmtId="0" fontId="2" fillId="6" borderId="16" xfId="0" applyFont="1" applyFill="1" applyBorder="1" applyAlignment="1">
      <alignment horizontal="left"/>
    </xf>
    <xf numFmtId="0" fontId="0" fillId="0" borderId="17" xfId="0" applyBorder="1"/>
    <xf numFmtId="0" fontId="0" fillId="0" borderId="16" xfId="0" applyBorder="1"/>
    <xf numFmtId="0" fontId="2" fillId="6" borderId="15" xfId="0" applyFont="1" applyFill="1" applyBorder="1" applyAlignment="1">
      <alignment horizontal="right"/>
    </xf>
    <xf numFmtId="0" fontId="0" fillId="0" borderId="15" xfId="0" applyBorder="1"/>
    <xf numFmtId="0" fontId="2" fillId="6" borderId="19" xfId="0" applyFont="1" applyFill="1" applyBorder="1" applyAlignment="1">
      <alignment horizontal="right"/>
    </xf>
    <xf numFmtId="0" fontId="2" fillId="6" borderId="21" xfId="0" applyFont="1" applyFill="1" applyBorder="1" applyAlignment="1">
      <alignment horizontal="right"/>
    </xf>
    <xf numFmtId="0" fontId="0" fillId="0" borderId="22" xfId="0" applyBorder="1"/>
    <xf numFmtId="0" fontId="2" fillId="2" borderId="0" xfId="0" applyFont="1" applyFill="1" applyAlignment="1">
      <alignment horizontal="center"/>
    </xf>
    <xf numFmtId="0" fontId="0" fillId="0" borderId="0" xfId="0"/>
    <xf numFmtId="44" fontId="2" fillId="0" borderId="2" xfId="0" applyNumberFormat="1" applyFont="1" applyBorder="1" applyAlignment="1">
      <alignment horizontal="right"/>
    </xf>
    <xf numFmtId="44" fontId="2" fillId="0" borderId="15" xfId="0" applyNumberFormat="1" applyFont="1" applyBorder="1" applyAlignment="1">
      <alignment horizontal="right"/>
    </xf>
    <xf numFmtId="0" fontId="2" fillId="2" borderId="5" xfId="0" applyFont="1" applyFill="1" applyBorder="1" applyAlignment="1">
      <alignment horizontal="right"/>
    </xf>
    <xf numFmtId="0" fontId="0" fillId="0" borderId="0" xfId="0" applyFont="1"/>
    <xf numFmtId="0" fontId="0" fillId="0" borderId="4" xfId="3" applyNumberFormat="1" applyFont="1" applyBorder="1" applyAlignment="1">
      <alignment horizontal="right"/>
    </xf>
    <xf numFmtId="12" fontId="1" fillId="0" borderId="18" xfId="0" applyNumberFormat="1" applyFont="1" applyBorder="1" applyAlignment="1">
      <alignment horizontal="left"/>
    </xf>
  </cellXfs>
  <cellStyles count="13">
    <cellStyle name="Moeda" xfId="2" builtinId="4"/>
    <cellStyle name="Moeda 2" xfId="5" xr:uid="{00000000-0005-0000-0000-000005000000}"/>
    <cellStyle name="Moeda 2 2" xfId="10" xr:uid="{00000000-0005-0000-0000-00000A000000}"/>
    <cellStyle name="Moeda 3" xfId="9" xr:uid="{00000000-0005-0000-0000-000009000000}"/>
    <cellStyle name="Normal" xfId="0" builtinId="0"/>
    <cellStyle name="Porcentagem" xfId="3" builtinId="5"/>
    <cellStyle name="Ruim" xfId="4" builtinId="27"/>
    <cellStyle name="Vírgula" xfId="1" builtinId="3"/>
    <cellStyle name="Vírgula 2" xfId="7" xr:uid="{00000000-0005-0000-0000-000007000000}"/>
    <cellStyle name="Vírgula 2 2" xfId="12" xr:uid="{00000000-0005-0000-0000-00000C000000}"/>
    <cellStyle name="Vírgula 3" xfId="6" xr:uid="{00000000-0005-0000-0000-000006000000}"/>
    <cellStyle name="Vírgula 3 2" xfId="11" xr:uid="{00000000-0005-0000-0000-00000B000000}"/>
    <cellStyle name="Vírgula 4" xfId="8" xr:uid="{00000000-0005-0000-0000-000008000000}"/>
  </cellStyles>
  <dxfs count="61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517"/>
  <sheetViews>
    <sheetView workbookViewId="0"/>
  </sheetViews>
  <sheetFormatPr defaultRowHeight="15" x14ac:dyDescent="0.25"/>
  <cols>
    <col min="1" max="1" width="23.85546875" style="3" bestFit="1" customWidth="1"/>
    <col min="2" max="2" width="10.7109375" style="3" bestFit="1" customWidth="1"/>
    <col min="3" max="3" width="14.7109375" style="162" bestFit="1" customWidth="1"/>
    <col min="4" max="4" width="12.7109375" style="162" bestFit="1" customWidth="1"/>
    <col min="5" max="5" width="16" style="162" bestFit="1" customWidth="1"/>
    <col min="6" max="6" width="16.140625" style="162" bestFit="1" customWidth="1"/>
    <col min="7" max="7" width="50.7109375" style="3" bestFit="1" customWidth="1"/>
    <col min="8" max="8" width="10.140625" style="3" bestFit="1" customWidth="1"/>
    <col min="9" max="32" width="9.140625" style="3" customWidth="1"/>
    <col min="33" max="16384" width="9.140625" style="3"/>
  </cols>
  <sheetData>
    <row r="1" spans="1:6" ht="34.5" customHeight="1" x14ac:dyDescent="0.25">
      <c r="A1" s="2" t="s">
        <v>0</v>
      </c>
      <c r="B1" s="2" t="s">
        <v>1</v>
      </c>
      <c r="C1" s="163" t="s">
        <v>2</v>
      </c>
      <c r="D1" s="163" t="s">
        <v>3</v>
      </c>
      <c r="E1" s="163" t="s">
        <v>4</v>
      </c>
      <c r="F1" s="163" t="s">
        <v>5</v>
      </c>
    </row>
    <row r="2" spans="1:6" x14ac:dyDescent="0.25">
      <c r="A2" s="3" t="s">
        <v>6</v>
      </c>
      <c r="B2" s="4">
        <v>42961</v>
      </c>
      <c r="C2" s="162">
        <v>21041.5</v>
      </c>
      <c r="F2" s="162">
        <v>21041.5</v>
      </c>
    </row>
    <row r="3" spans="1:6" x14ac:dyDescent="0.25">
      <c r="A3" s="3" t="s">
        <v>7</v>
      </c>
      <c r="B3" s="4">
        <v>42961</v>
      </c>
      <c r="C3" s="162">
        <v>21504.68</v>
      </c>
      <c r="D3" s="162">
        <v>15326.83</v>
      </c>
      <c r="E3" s="162">
        <v>1224.9100000000001</v>
      </c>
      <c r="F3" s="162">
        <v>4952.9399999999996</v>
      </c>
    </row>
    <row r="4" spans="1:6" x14ac:dyDescent="0.25">
      <c r="A4" s="3" t="s">
        <v>8</v>
      </c>
      <c r="B4" s="4">
        <v>42961</v>
      </c>
      <c r="C4" s="162">
        <v>46534.68</v>
      </c>
      <c r="F4" s="162">
        <v>46534.68</v>
      </c>
    </row>
    <row r="5" spans="1:6" x14ac:dyDescent="0.25">
      <c r="A5" s="3" t="s">
        <v>9</v>
      </c>
      <c r="B5" s="4">
        <v>42961</v>
      </c>
      <c r="C5" s="162">
        <v>174895.72</v>
      </c>
      <c r="E5" s="162">
        <v>337.78</v>
      </c>
      <c r="F5" s="162">
        <v>174557.94</v>
      </c>
    </row>
    <row r="6" spans="1:6" x14ac:dyDescent="0.25">
      <c r="A6" s="3" t="s">
        <v>10</v>
      </c>
      <c r="B6" s="4">
        <v>42961</v>
      </c>
      <c r="C6" s="162">
        <v>89570.81</v>
      </c>
      <c r="D6" s="162">
        <v>1078.08</v>
      </c>
      <c r="E6" s="162">
        <v>468.73</v>
      </c>
      <c r="F6" s="162">
        <v>88024</v>
      </c>
    </row>
    <row r="7" spans="1:6" x14ac:dyDescent="0.25">
      <c r="A7" s="3" t="s">
        <v>11</v>
      </c>
      <c r="B7" s="4">
        <v>42962</v>
      </c>
      <c r="C7" s="162">
        <v>7186.48</v>
      </c>
      <c r="F7" s="162">
        <v>7186.48</v>
      </c>
    </row>
    <row r="8" spans="1:6" x14ac:dyDescent="0.25">
      <c r="A8" s="3" t="s">
        <v>6</v>
      </c>
      <c r="B8" s="4">
        <v>42962</v>
      </c>
      <c r="C8" s="162">
        <v>67848.600000000006</v>
      </c>
      <c r="E8" s="162">
        <v>743.38</v>
      </c>
      <c r="F8" s="162">
        <v>67105.22</v>
      </c>
    </row>
    <row r="9" spans="1:6" x14ac:dyDescent="0.25">
      <c r="A9" s="3" t="s">
        <v>7</v>
      </c>
      <c r="B9" s="4">
        <v>42962</v>
      </c>
      <c r="C9" s="162">
        <v>30068.080000000002</v>
      </c>
      <c r="F9" s="162">
        <v>30068.080000000002</v>
      </c>
    </row>
    <row r="10" spans="1:6" x14ac:dyDescent="0.25">
      <c r="A10" s="3" t="s">
        <v>8</v>
      </c>
      <c r="B10" s="4">
        <v>42962</v>
      </c>
      <c r="C10" s="162">
        <v>114361.64</v>
      </c>
      <c r="F10" s="162">
        <v>114361.64</v>
      </c>
    </row>
    <row r="11" spans="1:6" x14ac:dyDescent="0.25">
      <c r="A11" s="3" t="s">
        <v>9</v>
      </c>
      <c r="B11" s="4">
        <v>42962</v>
      </c>
      <c r="C11" s="162">
        <v>170401.08</v>
      </c>
      <c r="F11" s="162">
        <v>170401.08</v>
      </c>
    </row>
    <row r="12" spans="1:6" x14ac:dyDescent="0.25">
      <c r="A12" s="3" t="s">
        <v>12</v>
      </c>
      <c r="B12" s="4">
        <v>42962</v>
      </c>
      <c r="C12" s="162">
        <v>209683.35</v>
      </c>
      <c r="F12" s="162">
        <v>209683.35</v>
      </c>
    </row>
    <row r="13" spans="1:6" x14ac:dyDescent="0.25">
      <c r="A13" s="3" t="s">
        <v>10</v>
      </c>
      <c r="B13" s="4">
        <v>42962</v>
      </c>
      <c r="C13" s="162">
        <v>114045.09</v>
      </c>
      <c r="F13" s="162">
        <v>114045.09</v>
      </c>
    </row>
    <row r="14" spans="1:6" x14ac:dyDescent="0.25">
      <c r="A14" s="3" t="s">
        <v>13</v>
      </c>
      <c r="B14" s="4">
        <v>42962</v>
      </c>
      <c r="C14" s="162">
        <v>50118.74</v>
      </c>
      <c r="F14" s="162">
        <v>50118.74</v>
      </c>
    </row>
    <row r="15" spans="1:6" x14ac:dyDescent="0.25">
      <c r="A15" s="3" t="s">
        <v>11</v>
      </c>
      <c r="B15" s="4">
        <v>42963</v>
      </c>
      <c r="C15" s="162">
        <v>52438.31</v>
      </c>
      <c r="F15" s="162">
        <v>52438.31</v>
      </c>
    </row>
    <row r="16" spans="1:6" x14ac:dyDescent="0.25">
      <c r="A16" s="3" t="s">
        <v>6</v>
      </c>
      <c r="B16" s="4">
        <v>42963</v>
      </c>
      <c r="C16" s="162">
        <v>3038.92</v>
      </c>
      <c r="F16" s="162">
        <v>3038.92</v>
      </c>
    </row>
    <row r="17" spans="1:6" x14ac:dyDescent="0.25">
      <c r="A17" s="3" t="s">
        <v>9</v>
      </c>
      <c r="B17" s="4">
        <v>42963</v>
      </c>
      <c r="C17" s="162">
        <v>46327.85</v>
      </c>
      <c r="F17" s="162">
        <v>46327.85</v>
      </c>
    </row>
    <row r="18" spans="1:6" x14ac:dyDescent="0.25">
      <c r="A18" s="3" t="s">
        <v>8</v>
      </c>
      <c r="B18" s="4">
        <v>42963</v>
      </c>
      <c r="C18" s="162">
        <v>144313.62</v>
      </c>
      <c r="E18" s="162">
        <v>59.31</v>
      </c>
      <c r="F18" s="162">
        <v>144254.31</v>
      </c>
    </row>
    <row r="19" spans="1:6" x14ac:dyDescent="0.25">
      <c r="A19" s="3" t="s">
        <v>12</v>
      </c>
      <c r="B19" s="4">
        <v>42963</v>
      </c>
      <c r="C19" s="162">
        <v>39658.53</v>
      </c>
      <c r="F19" s="162">
        <v>39658.53</v>
      </c>
    </row>
    <row r="20" spans="1:6" x14ac:dyDescent="0.25">
      <c r="A20" s="3" t="s">
        <v>11</v>
      </c>
      <c r="B20" s="4">
        <v>42964</v>
      </c>
      <c r="C20" s="162">
        <v>83957.74</v>
      </c>
      <c r="E20" s="162">
        <v>64.48</v>
      </c>
      <c r="F20" s="162">
        <v>83893.26</v>
      </c>
    </row>
    <row r="21" spans="1:6" x14ac:dyDescent="0.25">
      <c r="A21" s="3" t="s">
        <v>6</v>
      </c>
      <c r="B21" s="4">
        <v>42964</v>
      </c>
      <c r="C21" s="162">
        <v>512311.22</v>
      </c>
      <c r="F21" s="162">
        <v>512311.22</v>
      </c>
    </row>
    <row r="22" spans="1:6" x14ac:dyDescent="0.25">
      <c r="A22" s="3" t="s">
        <v>7</v>
      </c>
      <c r="B22" s="4">
        <v>42964</v>
      </c>
      <c r="C22" s="162">
        <v>211794.08</v>
      </c>
      <c r="E22" s="162">
        <v>40.630000000000003</v>
      </c>
      <c r="F22" s="162">
        <v>211753.45</v>
      </c>
    </row>
    <row r="23" spans="1:6" x14ac:dyDescent="0.25">
      <c r="A23" s="3" t="s">
        <v>9</v>
      </c>
      <c r="B23" s="4">
        <v>42964</v>
      </c>
      <c r="C23" s="162">
        <v>489353.5</v>
      </c>
      <c r="F23" s="162">
        <v>489353.5</v>
      </c>
    </row>
    <row r="24" spans="1:6" x14ac:dyDescent="0.25">
      <c r="A24" s="3" t="s">
        <v>14</v>
      </c>
      <c r="B24" s="4">
        <v>42964</v>
      </c>
      <c r="C24" s="162">
        <v>116423.16</v>
      </c>
      <c r="F24" s="162">
        <v>116423.16</v>
      </c>
    </row>
    <row r="25" spans="1:6" x14ac:dyDescent="0.25">
      <c r="A25" s="3" t="s">
        <v>15</v>
      </c>
      <c r="B25" s="4">
        <v>42964</v>
      </c>
      <c r="C25" s="162">
        <v>142189.70000000001</v>
      </c>
      <c r="D25" s="162">
        <v>11191</v>
      </c>
      <c r="E25" s="162">
        <v>168</v>
      </c>
      <c r="F25" s="162">
        <v>130830.7</v>
      </c>
    </row>
    <row r="26" spans="1:6" x14ac:dyDescent="0.25">
      <c r="A26" s="3" t="s">
        <v>12</v>
      </c>
      <c r="B26" s="4">
        <v>42964</v>
      </c>
      <c r="C26" s="162">
        <v>9557.08</v>
      </c>
      <c r="F26" s="162">
        <v>9557.08</v>
      </c>
    </row>
    <row r="27" spans="1:6" x14ac:dyDescent="0.25">
      <c r="A27" s="3" t="s">
        <v>10</v>
      </c>
      <c r="B27" s="4">
        <v>42964</v>
      </c>
      <c r="C27" s="162">
        <v>70169.45</v>
      </c>
      <c r="E27" s="162">
        <v>961.8</v>
      </c>
      <c r="F27" s="162">
        <v>69207.649999999994</v>
      </c>
    </row>
    <row r="28" spans="1:6" x14ac:dyDescent="0.25">
      <c r="A28" s="3" t="s">
        <v>7</v>
      </c>
      <c r="B28" s="4">
        <v>42965</v>
      </c>
      <c r="C28" s="162">
        <v>161560.60999999999</v>
      </c>
      <c r="D28" s="162">
        <v>5767.83</v>
      </c>
      <c r="F28" s="162">
        <v>155792.78</v>
      </c>
    </row>
    <row r="29" spans="1:6" x14ac:dyDescent="0.25">
      <c r="A29" s="3" t="s">
        <v>6</v>
      </c>
      <c r="B29" s="4">
        <v>42965</v>
      </c>
      <c r="C29" s="162">
        <v>55190.76</v>
      </c>
      <c r="F29" s="162">
        <v>55190.76</v>
      </c>
    </row>
    <row r="30" spans="1:6" x14ac:dyDescent="0.25">
      <c r="A30" s="3" t="s">
        <v>8</v>
      </c>
      <c r="B30" s="4">
        <v>42965</v>
      </c>
      <c r="C30" s="162">
        <v>42778.42</v>
      </c>
      <c r="D30" s="162">
        <v>23738.63</v>
      </c>
      <c r="F30" s="162">
        <v>19039.79</v>
      </c>
    </row>
    <row r="31" spans="1:6" x14ac:dyDescent="0.25">
      <c r="A31" s="3" t="s">
        <v>9</v>
      </c>
      <c r="B31" s="4">
        <v>42965</v>
      </c>
      <c r="C31" s="162">
        <v>841930.94</v>
      </c>
      <c r="D31" s="162">
        <v>316172.86</v>
      </c>
      <c r="F31" s="162">
        <v>525758.07999999996</v>
      </c>
    </row>
    <row r="32" spans="1:6" x14ac:dyDescent="0.25">
      <c r="A32" s="3" t="s">
        <v>12</v>
      </c>
      <c r="B32" s="4">
        <v>42965</v>
      </c>
      <c r="C32" s="162">
        <v>8558.3700000000008</v>
      </c>
      <c r="E32" s="162">
        <v>75.400000000000006</v>
      </c>
      <c r="F32" s="162">
        <v>8482.9699999999993</v>
      </c>
    </row>
    <row r="33" spans="1:6" x14ac:dyDescent="0.25">
      <c r="A33" s="3" t="s">
        <v>10</v>
      </c>
      <c r="B33" s="4">
        <v>42965</v>
      </c>
      <c r="C33" s="162">
        <v>116448.43</v>
      </c>
      <c r="F33" s="162">
        <v>116448.43</v>
      </c>
    </row>
    <row r="34" spans="1:6" x14ac:dyDescent="0.25">
      <c r="A34" s="3" t="s">
        <v>14</v>
      </c>
      <c r="B34" s="4">
        <v>42965</v>
      </c>
      <c r="C34" s="162">
        <v>163889.94</v>
      </c>
      <c r="E34" s="162">
        <v>23.27</v>
      </c>
      <c r="F34" s="162">
        <v>163866.67000000001</v>
      </c>
    </row>
    <row r="35" spans="1:6" x14ac:dyDescent="0.25">
      <c r="A35" s="3" t="s">
        <v>13</v>
      </c>
      <c r="B35" s="4">
        <v>42965</v>
      </c>
      <c r="C35" s="162">
        <v>2078700.24</v>
      </c>
      <c r="F35" s="162">
        <v>2078700.24</v>
      </c>
    </row>
    <row r="36" spans="1:6" x14ac:dyDescent="0.25">
      <c r="A36" s="3" t="s">
        <v>16</v>
      </c>
      <c r="B36" s="4">
        <v>42965</v>
      </c>
      <c r="C36" s="162">
        <v>45629.760000000002</v>
      </c>
      <c r="F36" s="162">
        <v>45629.760000000002</v>
      </c>
    </row>
    <row r="37" spans="1:6" x14ac:dyDescent="0.25">
      <c r="A37" s="3" t="s">
        <v>11</v>
      </c>
      <c r="B37" s="4">
        <v>42968</v>
      </c>
      <c r="C37" s="162">
        <v>147204.13</v>
      </c>
      <c r="F37" s="162">
        <v>147204.13</v>
      </c>
    </row>
    <row r="38" spans="1:6" x14ac:dyDescent="0.25">
      <c r="A38" s="3" t="s">
        <v>6</v>
      </c>
      <c r="B38" s="4">
        <v>42968</v>
      </c>
      <c r="C38" s="162">
        <v>385127.79</v>
      </c>
      <c r="F38" s="162">
        <v>385127.79</v>
      </c>
    </row>
    <row r="39" spans="1:6" x14ac:dyDescent="0.25">
      <c r="A39" s="3" t="s">
        <v>8</v>
      </c>
      <c r="B39" s="4">
        <v>42968</v>
      </c>
      <c r="C39" s="162">
        <v>67324.160000000003</v>
      </c>
      <c r="F39" s="162">
        <v>67324.160000000003</v>
      </c>
    </row>
    <row r="40" spans="1:6" x14ac:dyDescent="0.25">
      <c r="A40" s="3" t="s">
        <v>7</v>
      </c>
      <c r="B40" s="4">
        <v>42968</v>
      </c>
      <c r="C40" s="162">
        <v>142096.41</v>
      </c>
      <c r="F40" s="162">
        <v>142096.41</v>
      </c>
    </row>
    <row r="41" spans="1:6" x14ac:dyDescent="0.25">
      <c r="A41" s="3" t="s">
        <v>10</v>
      </c>
      <c r="B41" s="4">
        <v>42968</v>
      </c>
      <c r="C41" s="162">
        <v>66043.179999999993</v>
      </c>
      <c r="F41" s="162">
        <v>66043.179999999993</v>
      </c>
    </row>
    <row r="42" spans="1:6" x14ac:dyDescent="0.25">
      <c r="A42" s="3" t="s">
        <v>12</v>
      </c>
      <c r="B42" s="4">
        <v>42968</v>
      </c>
      <c r="C42" s="162">
        <v>139215.57999999999</v>
      </c>
      <c r="F42" s="162">
        <v>139215.57999999999</v>
      </c>
    </row>
    <row r="43" spans="1:6" x14ac:dyDescent="0.25">
      <c r="A43" s="3" t="s">
        <v>11</v>
      </c>
      <c r="B43" s="4">
        <v>42969</v>
      </c>
      <c r="C43" s="162">
        <v>159056.42000000001</v>
      </c>
      <c r="F43" s="162">
        <v>159056.42000000001</v>
      </c>
    </row>
    <row r="44" spans="1:6" x14ac:dyDescent="0.25">
      <c r="A44" s="3" t="s">
        <v>6</v>
      </c>
      <c r="B44" s="4">
        <v>42969</v>
      </c>
      <c r="C44" s="162">
        <v>77484.33</v>
      </c>
      <c r="F44" s="162">
        <v>77484.33</v>
      </c>
    </row>
    <row r="45" spans="1:6" x14ac:dyDescent="0.25">
      <c r="A45" s="3" t="s">
        <v>7</v>
      </c>
      <c r="B45" s="4">
        <v>42969</v>
      </c>
      <c r="C45" s="162">
        <v>14429.25</v>
      </c>
      <c r="D45" s="162">
        <v>896.8</v>
      </c>
      <c r="E45" s="162">
        <v>69.31</v>
      </c>
      <c r="F45" s="162">
        <v>13463.14</v>
      </c>
    </row>
    <row r="46" spans="1:6" x14ac:dyDescent="0.25">
      <c r="A46" s="3" t="s">
        <v>8</v>
      </c>
      <c r="B46" s="4">
        <v>42969</v>
      </c>
      <c r="C46" s="162">
        <v>100918.2</v>
      </c>
      <c r="D46" s="162">
        <v>239.88</v>
      </c>
      <c r="F46" s="162">
        <v>100678.32</v>
      </c>
    </row>
    <row r="47" spans="1:6" x14ac:dyDescent="0.25">
      <c r="A47" s="3" t="s">
        <v>9</v>
      </c>
      <c r="B47" s="4">
        <v>42969</v>
      </c>
      <c r="C47" s="162">
        <v>111732.43</v>
      </c>
      <c r="E47" s="162">
        <v>28.98</v>
      </c>
      <c r="F47" s="162">
        <v>111703.45</v>
      </c>
    </row>
    <row r="48" spans="1:6" x14ac:dyDescent="0.25">
      <c r="A48" s="3" t="s">
        <v>12</v>
      </c>
      <c r="B48" s="4">
        <v>42969</v>
      </c>
      <c r="C48" s="162">
        <v>138676.38</v>
      </c>
      <c r="D48" s="162">
        <v>8712.3799999999992</v>
      </c>
      <c r="F48" s="162">
        <v>129964</v>
      </c>
    </row>
    <row r="49" spans="1:6" x14ac:dyDescent="0.25">
      <c r="A49" s="3" t="s">
        <v>14</v>
      </c>
      <c r="B49" s="4">
        <v>42969</v>
      </c>
      <c r="C49" s="162">
        <v>65272.2</v>
      </c>
      <c r="F49" s="162">
        <v>65272.2</v>
      </c>
    </row>
    <row r="50" spans="1:6" x14ac:dyDescent="0.25">
      <c r="A50" s="3" t="s">
        <v>10</v>
      </c>
      <c r="B50" s="4">
        <v>42969</v>
      </c>
      <c r="C50" s="162">
        <v>217918.95</v>
      </c>
      <c r="E50" s="162">
        <v>134.94</v>
      </c>
      <c r="F50" s="162">
        <v>217784.01</v>
      </c>
    </row>
    <row r="51" spans="1:6" x14ac:dyDescent="0.25">
      <c r="A51" s="3" t="s">
        <v>6</v>
      </c>
      <c r="B51" s="4">
        <v>42970</v>
      </c>
      <c r="C51" s="162">
        <v>4682.8900000000003</v>
      </c>
      <c r="D51" s="162">
        <v>4682.8900000000003</v>
      </c>
      <c r="F51" s="162" t="s">
        <v>17</v>
      </c>
    </row>
    <row r="52" spans="1:6" x14ac:dyDescent="0.25">
      <c r="A52" s="3" t="s">
        <v>11</v>
      </c>
      <c r="B52" s="4">
        <v>42970</v>
      </c>
      <c r="C52" s="162">
        <v>7927.26</v>
      </c>
      <c r="D52" s="162">
        <v>750.31</v>
      </c>
      <c r="E52" s="162">
        <v>22.27</v>
      </c>
      <c r="F52" s="162">
        <v>7154.68</v>
      </c>
    </row>
    <row r="53" spans="1:6" x14ac:dyDescent="0.25">
      <c r="A53" s="3" t="s">
        <v>7</v>
      </c>
      <c r="B53" s="4">
        <v>42970</v>
      </c>
      <c r="C53" s="162">
        <v>218948.89</v>
      </c>
      <c r="D53" s="162">
        <v>12760.75</v>
      </c>
      <c r="F53" s="162">
        <v>206188.14</v>
      </c>
    </row>
    <row r="54" spans="1:6" x14ac:dyDescent="0.25">
      <c r="A54" s="3" t="s">
        <v>8</v>
      </c>
      <c r="B54" s="4">
        <v>42970</v>
      </c>
      <c r="C54" s="162">
        <v>83464.289999999994</v>
      </c>
      <c r="F54" s="162">
        <v>83464.289999999994</v>
      </c>
    </row>
    <row r="55" spans="1:6" x14ac:dyDescent="0.25">
      <c r="A55" s="3" t="s">
        <v>9</v>
      </c>
      <c r="B55" s="4">
        <v>42970</v>
      </c>
      <c r="C55" s="162">
        <v>307781.03000000003</v>
      </c>
      <c r="F55" s="162">
        <v>307781.03000000003</v>
      </c>
    </row>
    <row r="56" spans="1:6" x14ac:dyDescent="0.25">
      <c r="A56" s="3" t="s">
        <v>12</v>
      </c>
      <c r="B56" s="4">
        <v>42970</v>
      </c>
      <c r="C56" s="162">
        <v>82823.199999999997</v>
      </c>
      <c r="E56" s="162">
        <v>113.3</v>
      </c>
      <c r="F56" s="162">
        <v>82709.899999999994</v>
      </c>
    </row>
    <row r="57" spans="1:6" x14ac:dyDescent="0.25">
      <c r="A57" s="3" t="s">
        <v>14</v>
      </c>
      <c r="B57" s="4">
        <v>42970</v>
      </c>
      <c r="C57" s="162">
        <v>37578.410000000003</v>
      </c>
      <c r="F57" s="162">
        <v>37578.410000000003</v>
      </c>
    </row>
    <row r="58" spans="1:6" x14ac:dyDescent="0.25">
      <c r="A58" s="3" t="s">
        <v>11</v>
      </c>
      <c r="B58" s="4">
        <v>42971</v>
      </c>
      <c r="C58" s="162">
        <v>79015.09</v>
      </c>
      <c r="F58" s="162">
        <v>79015.09</v>
      </c>
    </row>
    <row r="59" spans="1:6" x14ac:dyDescent="0.25">
      <c r="A59" s="3" t="s">
        <v>6</v>
      </c>
      <c r="B59" s="4">
        <v>42971</v>
      </c>
      <c r="C59" s="162">
        <v>47704.28</v>
      </c>
      <c r="F59" s="162">
        <v>47704.28</v>
      </c>
    </row>
    <row r="60" spans="1:6" x14ac:dyDescent="0.25">
      <c r="A60" s="3" t="s">
        <v>7</v>
      </c>
      <c r="B60" s="4">
        <v>42971</v>
      </c>
      <c r="C60" s="162">
        <v>111668.03</v>
      </c>
      <c r="F60" s="162">
        <v>111668.03</v>
      </c>
    </row>
    <row r="61" spans="1:6" x14ac:dyDescent="0.25">
      <c r="A61" s="3" t="s">
        <v>12</v>
      </c>
      <c r="B61" s="4">
        <v>42971</v>
      </c>
      <c r="C61" s="162">
        <v>57467.73</v>
      </c>
      <c r="F61" s="162">
        <v>57467.73</v>
      </c>
    </row>
    <row r="62" spans="1:6" x14ac:dyDescent="0.25">
      <c r="A62" s="3" t="s">
        <v>9</v>
      </c>
      <c r="B62" s="4">
        <v>42971</v>
      </c>
      <c r="C62" s="162">
        <v>62032.22</v>
      </c>
      <c r="F62" s="162">
        <v>62032.22</v>
      </c>
    </row>
    <row r="63" spans="1:6" x14ac:dyDescent="0.25">
      <c r="A63" s="3" t="s">
        <v>11</v>
      </c>
      <c r="B63" s="4">
        <v>42972</v>
      </c>
      <c r="C63" s="162">
        <v>30595.119999999999</v>
      </c>
      <c r="F63" s="162">
        <v>30595.119999999999</v>
      </c>
    </row>
    <row r="64" spans="1:6" x14ac:dyDescent="0.25">
      <c r="A64" s="3" t="s">
        <v>6</v>
      </c>
      <c r="B64" s="4">
        <v>42972</v>
      </c>
      <c r="C64" s="162">
        <v>60193.53</v>
      </c>
      <c r="F64" s="162">
        <v>60193.53</v>
      </c>
    </row>
    <row r="65" spans="1:6" x14ac:dyDescent="0.25">
      <c r="A65" s="3" t="s">
        <v>7</v>
      </c>
      <c r="B65" s="4">
        <v>42972</v>
      </c>
      <c r="C65" s="162">
        <v>52740.43</v>
      </c>
      <c r="F65" s="162">
        <v>52740.43</v>
      </c>
    </row>
    <row r="66" spans="1:6" x14ac:dyDescent="0.25">
      <c r="A66" s="3" t="s">
        <v>8</v>
      </c>
      <c r="B66" s="4">
        <v>42972</v>
      </c>
      <c r="C66" s="162">
        <v>24243.53</v>
      </c>
      <c r="D66" s="162">
        <v>23903.59</v>
      </c>
      <c r="F66" s="162">
        <v>339.94</v>
      </c>
    </row>
    <row r="67" spans="1:6" x14ac:dyDescent="0.25">
      <c r="A67" s="3" t="s">
        <v>9</v>
      </c>
      <c r="B67" s="4">
        <v>42972</v>
      </c>
      <c r="C67" s="162">
        <v>2142.2199999999998</v>
      </c>
      <c r="D67" s="162">
        <v>2142.2199999999998</v>
      </c>
      <c r="F67" s="162" t="s">
        <v>17</v>
      </c>
    </row>
    <row r="68" spans="1:6" x14ac:dyDescent="0.25">
      <c r="A68" s="3" t="s">
        <v>12</v>
      </c>
      <c r="B68" s="4">
        <v>42972</v>
      </c>
      <c r="C68" s="162">
        <v>450694.27</v>
      </c>
      <c r="E68" s="162">
        <v>104.47</v>
      </c>
      <c r="F68" s="162">
        <v>450589.8</v>
      </c>
    </row>
    <row r="69" spans="1:6" x14ac:dyDescent="0.25">
      <c r="A69" s="3" t="s">
        <v>10</v>
      </c>
      <c r="B69" s="4">
        <v>42972</v>
      </c>
      <c r="C69" s="162">
        <v>103090.97</v>
      </c>
      <c r="E69" s="162">
        <v>25.46</v>
      </c>
      <c r="F69" s="162">
        <v>103065.51</v>
      </c>
    </row>
    <row r="70" spans="1:6" x14ac:dyDescent="0.25">
      <c r="A70" s="3" t="s">
        <v>13</v>
      </c>
      <c r="B70" s="4">
        <v>42972</v>
      </c>
      <c r="C70" s="162">
        <v>41456.620000000003</v>
      </c>
      <c r="F70" s="162">
        <v>41456.620000000003</v>
      </c>
    </row>
    <row r="71" spans="1:6" x14ac:dyDescent="0.25">
      <c r="A71" s="3" t="s">
        <v>11</v>
      </c>
      <c r="B71" s="4">
        <v>42975</v>
      </c>
      <c r="C71" s="162">
        <v>103614.35</v>
      </c>
      <c r="D71" s="162">
        <v>9350.9599999999991</v>
      </c>
      <c r="F71" s="162">
        <v>94263.39</v>
      </c>
    </row>
    <row r="72" spans="1:6" x14ac:dyDescent="0.25">
      <c r="A72" s="3" t="s">
        <v>7</v>
      </c>
      <c r="B72" s="4">
        <v>42975</v>
      </c>
      <c r="C72" s="162">
        <v>84909.55</v>
      </c>
      <c r="F72" s="162">
        <v>84909.55</v>
      </c>
    </row>
    <row r="73" spans="1:6" x14ac:dyDescent="0.25">
      <c r="A73" s="3" t="s">
        <v>6</v>
      </c>
      <c r="B73" s="4">
        <v>42975</v>
      </c>
      <c r="C73" s="162">
        <v>197662.33</v>
      </c>
      <c r="E73" s="162">
        <v>6.41</v>
      </c>
      <c r="F73" s="162">
        <v>197655.92</v>
      </c>
    </row>
    <row r="74" spans="1:6" x14ac:dyDescent="0.25">
      <c r="A74" s="3" t="s">
        <v>8</v>
      </c>
      <c r="B74" s="4">
        <v>42975</v>
      </c>
      <c r="C74" s="162">
        <v>139088.35</v>
      </c>
      <c r="E74" s="162">
        <v>135.21</v>
      </c>
      <c r="F74" s="162">
        <v>138953.14000000001</v>
      </c>
    </row>
    <row r="75" spans="1:6" x14ac:dyDescent="0.25">
      <c r="A75" s="3" t="s">
        <v>13</v>
      </c>
      <c r="B75" s="4">
        <v>42975</v>
      </c>
      <c r="C75" s="162">
        <v>153387.18</v>
      </c>
      <c r="F75" s="162">
        <v>153387.18</v>
      </c>
    </row>
    <row r="76" spans="1:6" x14ac:dyDescent="0.25">
      <c r="A76" s="3" t="s">
        <v>12</v>
      </c>
      <c r="B76" s="4">
        <v>42975</v>
      </c>
      <c r="C76" s="162">
        <v>53240.92</v>
      </c>
      <c r="E76" s="162">
        <v>11.73</v>
      </c>
      <c r="F76" s="162">
        <v>53229.19</v>
      </c>
    </row>
    <row r="77" spans="1:6" x14ac:dyDescent="0.25">
      <c r="A77" s="3" t="s">
        <v>14</v>
      </c>
      <c r="B77" s="4">
        <v>42975</v>
      </c>
      <c r="C77" s="162">
        <v>110452.56</v>
      </c>
      <c r="E77" s="162">
        <v>48.78</v>
      </c>
      <c r="F77" s="162">
        <v>110403.78</v>
      </c>
    </row>
    <row r="78" spans="1:6" x14ac:dyDescent="0.25">
      <c r="A78" s="3" t="s">
        <v>10</v>
      </c>
      <c r="B78" s="4">
        <v>42975</v>
      </c>
      <c r="C78" s="162">
        <v>78251.92</v>
      </c>
      <c r="F78" s="162">
        <v>78251.92</v>
      </c>
    </row>
    <row r="79" spans="1:6" x14ac:dyDescent="0.25">
      <c r="A79" s="3" t="s">
        <v>6</v>
      </c>
      <c r="B79" s="4">
        <v>42976</v>
      </c>
      <c r="C79" s="162">
        <v>89380.1</v>
      </c>
      <c r="D79" s="162">
        <v>6267.51</v>
      </c>
      <c r="F79" s="162">
        <v>83112.59</v>
      </c>
    </row>
    <row r="80" spans="1:6" x14ac:dyDescent="0.25">
      <c r="A80" s="3" t="s">
        <v>7</v>
      </c>
      <c r="B80" s="4">
        <v>42976</v>
      </c>
      <c r="C80" s="162">
        <v>8594.39</v>
      </c>
      <c r="F80" s="162">
        <v>8594.39</v>
      </c>
    </row>
    <row r="81" spans="1:6" x14ac:dyDescent="0.25">
      <c r="A81" s="3" t="s">
        <v>12</v>
      </c>
      <c r="B81" s="4">
        <v>42976</v>
      </c>
      <c r="C81" s="162">
        <v>32216.84</v>
      </c>
      <c r="F81" s="162">
        <v>32216.84</v>
      </c>
    </row>
    <row r="82" spans="1:6" x14ac:dyDescent="0.25">
      <c r="A82" s="3" t="s">
        <v>8</v>
      </c>
      <c r="B82" s="4">
        <v>42976</v>
      </c>
      <c r="C82" s="162">
        <v>50027.85</v>
      </c>
      <c r="F82" s="162">
        <v>50027.85</v>
      </c>
    </row>
    <row r="83" spans="1:6" x14ac:dyDescent="0.25">
      <c r="A83" s="3" t="s">
        <v>6</v>
      </c>
      <c r="B83" s="4">
        <v>42977</v>
      </c>
      <c r="C83" s="162">
        <v>96860.21</v>
      </c>
      <c r="E83" s="162">
        <v>50.35</v>
      </c>
      <c r="F83" s="162">
        <v>96809.86</v>
      </c>
    </row>
    <row r="84" spans="1:6" x14ac:dyDescent="0.25">
      <c r="A84" s="3" t="s">
        <v>11</v>
      </c>
      <c r="B84" s="4">
        <v>42977</v>
      </c>
      <c r="C84" s="162">
        <v>111686.06</v>
      </c>
      <c r="F84" s="162">
        <v>111686.06</v>
      </c>
    </row>
    <row r="85" spans="1:6" x14ac:dyDescent="0.25">
      <c r="A85" s="3" t="s">
        <v>8</v>
      </c>
      <c r="B85" s="4">
        <v>42977</v>
      </c>
      <c r="C85" s="162">
        <v>56856.93</v>
      </c>
      <c r="D85" s="162">
        <v>691.54</v>
      </c>
      <c r="E85" s="162">
        <v>410.12</v>
      </c>
      <c r="F85" s="162">
        <v>55755.27</v>
      </c>
    </row>
    <row r="86" spans="1:6" x14ac:dyDescent="0.25">
      <c r="A86" s="3" t="s">
        <v>7</v>
      </c>
      <c r="B86" s="4">
        <v>42977</v>
      </c>
      <c r="C86" s="162">
        <v>199495.61</v>
      </c>
      <c r="F86" s="162">
        <v>199495.61</v>
      </c>
    </row>
    <row r="87" spans="1:6" x14ac:dyDescent="0.25">
      <c r="A87" s="3" t="s">
        <v>9</v>
      </c>
      <c r="B87" s="4">
        <v>42977</v>
      </c>
      <c r="C87" s="162">
        <v>309130.51</v>
      </c>
      <c r="D87" s="162">
        <v>10650</v>
      </c>
      <c r="E87" s="162">
        <v>33.19</v>
      </c>
      <c r="F87" s="162">
        <v>298447.32</v>
      </c>
    </row>
    <row r="88" spans="1:6" x14ac:dyDescent="0.25">
      <c r="A88" s="3" t="s">
        <v>10</v>
      </c>
      <c r="B88" s="4">
        <v>42977</v>
      </c>
      <c r="C88" s="162">
        <v>159170.82</v>
      </c>
      <c r="F88" s="162">
        <v>159170.82</v>
      </c>
    </row>
    <row r="89" spans="1:6" x14ac:dyDescent="0.25">
      <c r="A89" s="3" t="s">
        <v>6</v>
      </c>
      <c r="B89" s="4">
        <v>42978</v>
      </c>
      <c r="C89" s="162">
        <v>41787.910000000003</v>
      </c>
      <c r="E89" s="162">
        <v>279.04000000000002</v>
      </c>
      <c r="F89" s="162">
        <v>41508.870000000003</v>
      </c>
    </row>
    <row r="90" spans="1:6" x14ac:dyDescent="0.25">
      <c r="A90" s="3" t="s">
        <v>11</v>
      </c>
      <c r="B90" s="4">
        <v>42978</v>
      </c>
      <c r="C90" s="162">
        <v>193623.07</v>
      </c>
      <c r="F90" s="162">
        <v>193623.07</v>
      </c>
    </row>
    <row r="91" spans="1:6" x14ac:dyDescent="0.25">
      <c r="A91" s="3" t="s">
        <v>7</v>
      </c>
      <c r="B91" s="4">
        <v>42978</v>
      </c>
      <c r="C91" s="162">
        <v>127142.94</v>
      </c>
      <c r="D91" s="162">
        <v>11667.57</v>
      </c>
      <c r="F91" s="162">
        <v>115475.37</v>
      </c>
    </row>
    <row r="92" spans="1:6" x14ac:dyDescent="0.25">
      <c r="A92" s="3" t="s">
        <v>8</v>
      </c>
      <c r="B92" s="4">
        <v>42978</v>
      </c>
      <c r="C92" s="162">
        <v>28741.85</v>
      </c>
      <c r="F92" s="162">
        <v>28741.85</v>
      </c>
    </row>
    <row r="93" spans="1:6" x14ac:dyDescent="0.25">
      <c r="A93" s="3" t="s">
        <v>9</v>
      </c>
      <c r="B93" s="4">
        <v>42978</v>
      </c>
      <c r="C93" s="162">
        <v>398169.98</v>
      </c>
      <c r="E93" s="162">
        <v>36.630000000000003</v>
      </c>
      <c r="F93" s="162">
        <v>398133.35</v>
      </c>
    </row>
    <row r="94" spans="1:6" x14ac:dyDescent="0.25">
      <c r="A94" s="3" t="s">
        <v>12</v>
      </c>
      <c r="B94" s="4">
        <v>42978</v>
      </c>
      <c r="C94" s="162">
        <v>20310.05</v>
      </c>
      <c r="F94" s="162">
        <v>20310.05</v>
      </c>
    </row>
    <row r="95" spans="1:6" x14ac:dyDescent="0.25">
      <c r="A95" s="3" t="s">
        <v>13</v>
      </c>
      <c r="B95" s="4">
        <v>42978</v>
      </c>
      <c r="C95" s="162">
        <v>86078.85</v>
      </c>
      <c r="F95" s="162">
        <v>86078.85</v>
      </c>
    </row>
    <row r="96" spans="1:6" x14ac:dyDescent="0.25">
      <c r="A96" s="3" t="s">
        <v>14</v>
      </c>
      <c r="B96" s="4">
        <v>42978</v>
      </c>
      <c r="C96" s="162">
        <v>70687.8</v>
      </c>
      <c r="D96" s="162">
        <v>15371.57</v>
      </c>
      <c r="E96" s="162">
        <v>15.82</v>
      </c>
      <c r="F96" s="162">
        <v>55300.41</v>
      </c>
    </row>
    <row r="97" spans="1:6" x14ac:dyDescent="0.25">
      <c r="A97" s="3" t="s">
        <v>15</v>
      </c>
      <c r="B97" s="4">
        <v>42978</v>
      </c>
      <c r="C97" s="162">
        <v>48860.17</v>
      </c>
      <c r="F97" s="162">
        <v>48860.17</v>
      </c>
    </row>
    <row r="98" spans="1:6" x14ac:dyDescent="0.25">
      <c r="A98" s="3" t="s">
        <v>6</v>
      </c>
      <c r="B98" s="4">
        <v>42979</v>
      </c>
      <c r="C98" s="162">
        <v>109590.61</v>
      </c>
      <c r="F98" s="162">
        <v>109590.61</v>
      </c>
    </row>
    <row r="99" spans="1:6" x14ac:dyDescent="0.25">
      <c r="A99" s="3" t="s">
        <v>11</v>
      </c>
      <c r="B99" s="4">
        <v>42979</v>
      </c>
      <c r="C99" s="162">
        <v>105840.39</v>
      </c>
      <c r="F99" s="162">
        <v>105840.39</v>
      </c>
    </row>
    <row r="100" spans="1:6" x14ac:dyDescent="0.25">
      <c r="A100" s="3" t="s">
        <v>7</v>
      </c>
      <c r="B100" s="4">
        <v>42979</v>
      </c>
      <c r="C100" s="162">
        <v>1452477.69</v>
      </c>
      <c r="D100" s="162">
        <v>29881.35</v>
      </c>
      <c r="E100" s="162">
        <v>32.64</v>
      </c>
      <c r="F100" s="162">
        <v>1422563.7</v>
      </c>
    </row>
    <row r="101" spans="1:6" x14ac:dyDescent="0.25">
      <c r="A101" s="3" t="s">
        <v>8</v>
      </c>
      <c r="B101" s="4">
        <v>42979</v>
      </c>
      <c r="C101" s="162">
        <v>433033.52</v>
      </c>
      <c r="F101" s="162">
        <v>433033.52</v>
      </c>
    </row>
    <row r="102" spans="1:6" x14ac:dyDescent="0.25">
      <c r="A102" s="3" t="s">
        <v>9</v>
      </c>
      <c r="B102" s="4">
        <v>42979</v>
      </c>
      <c r="C102" s="162">
        <v>31814.720000000001</v>
      </c>
      <c r="E102" s="162">
        <v>151.88</v>
      </c>
      <c r="F102" s="162">
        <v>31662.84</v>
      </c>
    </row>
    <row r="103" spans="1:6" x14ac:dyDescent="0.25">
      <c r="A103" s="3" t="s">
        <v>11</v>
      </c>
      <c r="B103" s="4">
        <v>42982</v>
      </c>
      <c r="C103" s="162">
        <v>88867.37</v>
      </c>
      <c r="F103" s="162">
        <v>88867.37</v>
      </c>
    </row>
    <row r="104" spans="1:6" x14ac:dyDescent="0.25">
      <c r="A104" s="3" t="s">
        <v>6</v>
      </c>
      <c r="B104" s="4">
        <v>42982</v>
      </c>
      <c r="C104" s="162">
        <v>154287.29</v>
      </c>
      <c r="F104" s="162">
        <v>154287.29</v>
      </c>
    </row>
    <row r="105" spans="1:6" x14ac:dyDescent="0.25">
      <c r="A105" s="3" t="s">
        <v>7</v>
      </c>
      <c r="B105" s="4">
        <v>42982</v>
      </c>
      <c r="C105" s="162">
        <v>136085.46</v>
      </c>
      <c r="D105" s="162">
        <v>3173.88</v>
      </c>
      <c r="F105" s="162">
        <v>132911.57999999999</v>
      </c>
    </row>
    <row r="106" spans="1:6" x14ac:dyDescent="0.25">
      <c r="A106" s="3" t="s">
        <v>8</v>
      </c>
      <c r="B106" s="4">
        <v>42982</v>
      </c>
      <c r="C106" s="162">
        <v>50506.73</v>
      </c>
      <c r="F106" s="162">
        <v>50506.73</v>
      </c>
    </row>
    <row r="107" spans="1:6" x14ac:dyDescent="0.25">
      <c r="A107" s="3" t="s">
        <v>9</v>
      </c>
      <c r="B107" s="4">
        <v>42982</v>
      </c>
      <c r="C107" s="162">
        <v>33288.129999999997</v>
      </c>
      <c r="E107" s="162">
        <v>35.880000000000003</v>
      </c>
      <c r="F107" s="162">
        <v>33252.25</v>
      </c>
    </row>
    <row r="108" spans="1:6" x14ac:dyDescent="0.25">
      <c r="A108" s="3" t="s">
        <v>12</v>
      </c>
      <c r="B108" s="4">
        <v>42982</v>
      </c>
      <c r="C108" s="162">
        <v>2788453.46</v>
      </c>
      <c r="F108" s="162">
        <v>2788453.46</v>
      </c>
    </row>
    <row r="109" spans="1:6" x14ac:dyDescent="0.25">
      <c r="A109" s="3" t="s">
        <v>13</v>
      </c>
      <c r="B109" s="4">
        <v>42982</v>
      </c>
      <c r="C109" s="162">
        <v>75716.12</v>
      </c>
      <c r="E109" s="162">
        <v>113.72</v>
      </c>
      <c r="F109" s="162">
        <v>75602.399999999994</v>
      </c>
    </row>
    <row r="110" spans="1:6" x14ac:dyDescent="0.25">
      <c r="A110" s="3" t="s">
        <v>10</v>
      </c>
      <c r="B110" s="4">
        <v>42982</v>
      </c>
      <c r="C110" s="162">
        <v>227263.95</v>
      </c>
      <c r="D110" s="162">
        <v>3167.3</v>
      </c>
      <c r="F110" s="162">
        <v>224096.65</v>
      </c>
    </row>
    <row r="111" spans="1:6" x14ac:dyDescent="0.25">
      <c r="A111" s="3" t="s">
        <v>15</v>
      </c>
      <c r="B111" s="4">
        <v>42982</v>
      </c>
      <c r="C111" s="162">
        <v>14344.98</v>
      </c>
      <c r="F111" s="162">
        <v>14344.98</v>
      </c>
    </row>
    <row r="112" spans="1:6" x14ac:dyDescent="0.25">
      <c r="A112" s="3" t="s">
        <v>11</v>
      </c>
      <c r="B112" s="4">
        <v>42983</v>
      </c>
      <c r="C112" s="162">
        <v>212700.73</v>
      </c>
      <c r="E112" s="162">
        <v>230.58</v>
      </c>
      <c r="F112" s="162">
        <v>212470.15</v>
      </c>
    </row>
    <row r="113" spans="1:6" x14ac:dyDescent="0.25">
      <c r="A113" s="3" t="s">
        <v>6</v>
      </c>
      <c r="B113" s="4">
        <v>42983</v>
      </c>
      <c r="C113" s="162">
        <v>108476.46</v>
      </c>
      <c r="E113" s="162">
        <v>302.49</v>
      </c>
      <c r="F113" s="162">
        <v>108173.97</v>
      </c>
    </row>
    <row r="114" spans="1:6" x14ac:dyDescent="0.25">
      <c r="A114" s="3" t="s">
        <v>9</v>
      </c>
      <c r="B114" s="4">
        <v>42983</v>
      </c>
      <c r="C114" s="162">
        <v>54988.07</v>
      </c>
      <c r="F114" s="162">
        <v>54988.07</v>
      </c>
    </row>
    <row r="115" spans="1:6" x14ac:dyDescent="0.25">
      <c r="A115" s="3" t="s">
        <v>12</v>
      </c>
      <c r="B115" s="4">
        <v>42983</v>
      </c>
      <c r="C115" s="162">
        <v>55383.839999999997</v>
      </c>
      <c r="F115" s="162">
        <v>55383.839999999997</v>
      </c>
    </row>
    <row r="116" spans="1:6" x14ac:dyDescent="0.25">
      <c r="A116" s="3" t="s">
        <v>8</v>
      </c>
      <c r="B116" s="4">
        <v>42983</v>
      </c>
      <c r="C116" s="162">
        <v>34506.199999999997</v>
      </c>
      <c r="F116" s="162">
        <v>34506.199999999997</v>
      </c>
    </row>
    <row r="117" spans="1:6" x14ac:dyDescent="0.25">
      <c r="A117" s="3" t="s">
        <v>7</v>
      </c>
      <c r="B117" s="4">
        <v>42983</v>
      </c>
      <c r="C117" s="162">
        <v>12790.47</v>
      </c>
      <c r="D117" s="162">
        <v>5830.21</v>
      </c>
      <c r="E117" s="162">
        <v>1.98</v>
      </c>
      <c r="F117" s="162">
        <v>6958.28</v>
      </c>
    </row>
    <row r="118" spans="1:6" x14ac:dyDescent="0.25">
      <c r="A118" s="3" t="s">
        <v>13</v>
      </c>
      <c r="B118" s="4">
        <v>42983</v>
      </c>
      <c r="C118" s="162">
        <v>60515.44</v>
      </c>
      <c r="D118" s="162">
        <v>12104.15</v>
      </c>
      <c r="E118" s="162">
        <v>91.48</v>
      </c>
      <c r="F118" s="162">
        <v>48319.81</v>
      </c>
    </row>
    <row r="119" spans="1:6" x14ac:dyDescent="0.25">
      <c r="A119" s="3" t="s">
        <v>14</v>
      </c>
      <c r="B119" s="4">
        <v>42983</v>
      </c>
      <c r="C119" s="162">
        <v>69101.62</v>
      </c>
      <c r="F119" s="162">
        <v>69101.62</v>
      </c>
    </row>
    <row r="120" spans="1:6" x14ac:dyDescent="0.25">
      <c r="A120" s="3" t="s">
        <v>6</v>
      </c>
      <c r="B120" s="4">
        <v>42984</v>
      </c>
      <c r="C120" s="162">
        <v>57982.48</v>
      </c>
      <c r="F120" s="162">
        <v>57982.48</v>
      </c>
    </row>
    <row r="121" spans="1:6" x14ac:dyDescent="0.25">
      <c r="A121" s="3" t="s">
        <v>7</v>
      </c>
      <c r="B121" s="4">
        <v>42984</v>
      </c>
      <c r="C121" s="162">
        <v>234470.18</v>
      </c>
      <c r="D121" s="162">
        <v>13114.89</v>
      </c>
      <c r="F121" s="162">
        <v>221355.29</v>
      </c>
    </row>
    <row r="122" spans="1:6" x14ac:dyDescent="0.25">
      <c r="A122" s="3" t="s">
        <v>8</v>
      </c>
      <c r="B122" s="4">
        <v>42984</v>
      </c>
      <c r="C122" s="162">
        <v>255399.49</v>
      </c>
      <c r="F122" s="162">
        <v>255399.49</v>
      </c>
    </row>
    <row r="123" spans="1:6" x14ac:dyDescent="0.25">
      <c r="A123" s="3" t="s">
        <v>12</v>
      </c>
      <c r="B123" s="4">
        <v>42984</v>
      </c>
      <c r="C123" s="162">
        <v>51659.09</v>
      </c>
      <c r="F123" s="162">
        <v>51659.09</v>
      </c>
    </row>
    <row r="124" spans="1:6" x14ac:dyDescent="0.25">
      <c r="A124" s="3" t="s">
        <v>10</v>
      </c>
      <c r="B124" s="4">
        <v>42984</v>
      </c>
      <c r="C124" s="162">
        <v>37041.769999999997</v>
      </c>
      <c r="E124" s="162">
        <v>563.09</v>
      </c>
      <c r="F124" s="162">
        <v>36478.68</v>
      </c>
    </row>
    <row r="125" spans="1:6" x14ac:dyDescent="0.25">
      <c r="A125" s="3" t="s">
        <v>14</v>
      </c>
      <c r="B125" s="4">
        <v>42984</v>
      </c>
      <c r="C125" s="162">
        <v>88620.12</v>
      </c>
      <c r="F125" s="162">
        <v>88620.12</v>
      </c>
    </row>
    <row r="126" spans="1:6" x14ac:dyDescent="0.25">
      <c r="A126" s="3" t="s">
        <v>11</v>
      </c>
      <c r="B126" s="4">
        <v>42986</v>
      </c>
      <c r="C126" s="162">
        <v>127898.71</v>
      </c>
      <c r="F126" s="162">
        <v>127898.71</v>
      </c>
    </row>
    <row r="127" spans="1:6" x14ac:dyDescent="0.25">
      <c r="A127" s="3" t="s">
        <v>6</v>
      </c>
      <c r="B127" s="4">
        <v>42986</v>
      </c>
      <c r="C127" s="162">
        <v>85159.09</v>
      </c>
      <c r="F127" s="162">
        <v>85159.09</v>
      </c>
    </row>
    <row r="128" spans="1:6" x14ac:dyDescent="0.25">
      <c r="A128" s="3" t="s">
        <v>7</v>
      </c>
      <c r="B128" s="4">
        <v>42986</v>
      </c>
      <c r="C128" s="162">
        <v>356228.22</v>
      </c>
      <c r="D128" s="162">
        <v>3150.35</v>
      </c>
      <c r="E128" s="162">
        <v>475.7</v>
      </c>
      <c r="F128" s="162">
        <v>352602.17</v>
      </c>
    </row>
    <row r="129" spans="1:6" x14ac:dyDescent="0.25">
      <c r="A129" s="3" t="s">
        <v>8</v>
      </c>
      <c r="B129" s="4">
        <v>42986</v>
      </c>
      <c r="C129" s="162">
        <v>25724.16</v>
      </c>
      <c r="F129" s="162">
        <v>25724.16</v>
      </c>
    </row>
    <row r="130" spans="1:6" x14ac:dyDescent="0.25">
      <c r="A130" s="3" t="s">
        <v>9</v>
      </c>
      <c r="B130" s="4">
        <v>42986</v>
      </c>
      <c r="C130" s="162">
        <v>180096.04</v>
      </c>
      <c r="F130" s="162">
        <v>180096.04</v>
      </c>
    </row>
    <row r="131" spans="1:6" x14ac:dyDescent="0.25">
      <c r="A131" s="3" t="s">
        <v>12</v>
      </c>
      <c r="B131" s="4">
        <v>42986</v>
      </c>
      <c r="C131" s="162">
        <v>96054.71</v>
      </c>
      <c r="F131" s="162">
        <v>96054.71</v>
      </c>
    </row>
    <row r="132" spans="1:6" x14ac:dyDescent="0.25">
      <c r="A132" s="3" t="s">
        <v>10</v>
      </c>
      <c r="B132" s="4">
        <v>42986</v>
      </c>
      <c r="C132" s="162">
        <v>13355.16</v>
      </c>
      <c r="F132" s="162">
        <v>13355.16</v>
      </c>
    </row>
    <row r="133" spans="1:6" x14ac:dyDescent="0.25">
      <c r="A133" s="3" t="s">
        <v>14</v>
      </c>
      <c r="B133" s="4">
        <v>42986</v>
      </c>
      <c r="C133" s="162">
        <v>20311.78</v>
      </c>
      <c r="F133" s="162">
        <v>20311.78</v>
      </c>
    </row>
    <row r="134" spans="1:6" x14ac:dyDescent="0.25">
      <c r="A134" s="3" t="s">
        <v>15</v>
      </c>
      <c r="B134" s="4">
        <v>42986</v>
      </c>
      <c r="C134" s="162">
        <v>122581.3</v>
      </c>
      <c r="D134" s="162">
        <v>13319.9</v>
      </c>
      <c r="E134" s="162">
        <v>1651.63</v>
      </c>
      <c r="F134" s="162">
        <v>107609.77</v>
      </c>
    </row>
    <row r="135" spans="1:6" x14ac:dyDescent="0.25">
      <c r="A135" s="3" t="s">
        <v>11</v>
      </c>
      <c r="B135" s="4">
        <v>42989</v>
      </c>
      <c r="C135" s="162">
        <v>34375.980000000003</v>
      </c>
      <c r="D135" s="162">
        <v>824.5</v>
      </c>
      <c r="E135" s="162">
        <v>56.1</v>
      </c>
      <c r="F135" s="162">
        <v>33495.379999999997</v>
      </c>
    </row>
    <row r="136" spans="1:6" x14ac:dyDescent="0.25">
      <c r="A136" s="3" t="s">
        <v>6</v>
      </c>
      <c r="B136" s="4">
        <v>42989</v>
      </c>
      <c r="C136" s="162">
        <v>105062.03</v>
      </c>
      <c r="D136" s="162">
        <v>10841.43</v>
      </c>
      <c r="F136" s="162">
        <v>94220.6</v>
      </c>
    </row>
    <row r="137" spans="1:6" x14ac:dyDescent="0.25">
      <c r="A137" s="3" t="s">
        <v>7</v>
      </c>
      <c r="B137" s="4">
        <v>42989</v>
      </c>
      <c r="C137" s="162">
        <v>183686</v>
      </c>
      <c r="F137" s="162">
        <v>183686</v>
      </c>
    </row>
    <row r="138" spans="1:6" x14ac:dyDescent="0.25">
      <c r="A138" s="3" t="s">
        <v>9</v>
      </c>
      <c r="B138" s="4">
        <v>42989</v>
      </c>
      <c r="C138" s="162">
        <v>257811.67</v>
      </c>
      <c r="F138" s="162">
        <v>257811.67</v>
      </c>
    </row>
    <row r="139" spans="1:6" x14ac:dyDescent="0.25">
      <c r="A139" s="3" t="s">
        <v>8</v>
      </c>
      <c r="B139" s="4">
        <v>42989</v>
      </c>
      <c r="C139" s="162">
        <v>10114.33</v>
      </c>
      <c r="E139" s="162">
        <v>6.69</v>
      </c>
      <c r="F139" s="162">
        <v>10107.64</v>
      </c>
    </row>
    <row r="140" spans="1:6" x14ac:dyDescent="0.25">
      <c r="A140" s="3" t="s">
        <v>12</v>
      </c>
      <c r="B140" s="4">
        <v>42989</v>
      </c>
      <c r="C140" s="162">
        <v>88372.86</v>
      </c>
      <c r="D140" s="162">
        <v>4217.51</v>
      </c>
      <c r="E140" s="162">
        <v>300.02999999999997</v>
      </c>
      <c r="F140" s="162">
        <v>83855.320000000007</v>
      </c>
    </row>
    <row r="141" spans="1:6" x14ac:dyDescent="0.25">
      <c r="A141" s="3" t="s">
        <v>10</v>
      </c>
      <c r="B141" s="4">
        <v>42989</v>
      </c>
      <c r="C141" s="162">
        <v>33896.959999999999</v>
      </c>
      <c r="F141" s="162">
        <v>33896.959999999999</v>
      </c>
    </row>
    <row r="142" spans="1:6" x14ac:dyDescent="0.25">
      <c r="A142" s="3" t="s">
        <v>14</v>
      </c>
      <c r="B142" s="4">
        <v>42989</v>
      </c>
      <c r="C142" s="162">
        <v>89412.02</v>
      </c>
      <c r="F142" s="162">
        <v>89412.02</v>
      </c>
    </row>
    <row r="143" spans="1:6" x14ac:dyDescent="0.25">
      <c r="A143" s="3" t="s">
        <v>15</v>
      </c>
      <c r="B143" s="4">
        <v>42989</v>
      </c>
      <c r="C143" s="162">
        <v>162256.18</v>
      </c>
      <c r="E143" s="162">
        <v>64.31</v>
      </c>
      <c r="F143" s="162">
        <v>162191.87</v>
      </c>
    </row>
    <row r="144" spans="1:6" x14ac:dyDescent="0.25">
      <c r="A144" s="3" t="s">
        <v>16</v>
      </c>
      <c r="B144" s="4">
        <v>42989</v>
      </c>
      <c r="C144" s="162">
        <v>19392.080000000002</v>
      </c>
      <c r="F144" s="162">
        <v>19392.080000000002</v>
      </c>
    </row>
    <row r="145" spans="1:6" x14ac:dyDescent="0.25">
      <c r="A145" s="3" t="s">
        <v>11</v>
      </c>
      <c r="B145" s="4">
        <v>42990</v>
      </c>
      <c r="C145" s="162">
        <v>41877.65</v>
      </c>
      <c r="D145" s="162">
        <v>3617.79</v>
      </c>
      <c r="F145" s="162">
        <v>38259.86</v>
      </c>
    </row>
    <row r="146" spans="1:6" x14ac:dyDescent="0.25">
      <c r="A146" s="3" t="s">
        <v>6</v>
      </c>
      <c r="B146" s="4">
        <v>42990</v>
      </c>
      <c r="C146" s="162">
        <v>373361.29</v>
      </c>
      <c r="F146" s="162">
        <v>373361.29</v>
      </c>
    </row>
    <row r="147" spans="1:6" x14ac:dyDescent="0.25">
      <c r="A147" s="3" t="s">
        <v>7</v>
      </c>
      <c r="B147" s="4">
        <v>42990</v>
      </c>
      <c r="C147" s="162">
        <v>90567.13</v>
      </c>
      <c r="D147" s="162">
        <v>1083.74</v>
      </c>
      <c r="E147" s="162">
        <v>473.53</v>
      </c>
      <c r="F147" s="162">
        <v>89009.86</v>
      </c>
    </row>
    <row r="148" spans="1:6" x14ac:dyDescent="0.25">
      <c r="A148" s="3" t="s">
        <v>12</v>
      </c>
      <c r="B148" s="4">
        <v>42990</v>
      </c>
      <c r="C148" s="162">
        <v>102677.54</v>
      </c>
      <c r="F148" s="162">
        <v>102677.54</v>
      </c>
    </row>
    <row r="149" spans="1:6" x14ac:dyDescent="0.25">
      <c r="A149" s="3" t="s">
        <v>9</v>
      </c>
      <c r="B149" s="4">
        <v>42990</v>
      </c>
      <c r="C149" s="162">
        <v>83446.64</v>
      </c>
      <c r="D149" s="162">
        <v>3649.04</v>
      </c>
      <c r="F149" s="162">
        <v>79797.600000000006</v>
      </c>
    </row>
    <row r="150" spans="1:6" x14ac:dyDescent="0.25">
      <c r="A150" s="3" t="s">
        <v>11</v>
      </c>
      <c r="B150" s="4">
        <v>42991</v>
      </c>
      <c r="C150" s="162">
        <v>53166.51</v>
      </c>
      <c r="F150" s="162">
        <v>53166.51</v>
      </c>
    </row>
    <row r="151" spans="1:6" x14ac:dyDescent="0.25">
      <c r="A151" s="3" t="s">
        <v>6</v>
      </c>
      <c r="B151" s="4">
        <v>42991</v>
      </c>
      <c r="C151" s="162">
        <v>50357.67</v>
      </c>
      <c r="D151" s="162">
        <v>8247.2199999999993</v>
      </c>
      <c r="E151" s="162">
        <v>28.82</v>
      </c>
      <c r="F151" s="162">
        <v>42081.63</v>
      </c>
    </row>
    <row r="152" spans="1:6" x14ac:dyDescent="0.25">
      <c r="A152" s="3" t="s">
        <v>9</v>
      </c>
      <c r="B152" s="4">
        <v>42991</v>
      </c>
      <c r="C152" s="162">
        <v>117962.82</v>
      </c>
      <c r="F152" s="162">
        <v>117962.82</v>
      </c>
    </row>
    <row r="153" spans="1:6" x14ac:dyDescent="0.25">
      <c r="A153" s="3" t="s">
        <v>8</v>
      </c>
      <c r="B153" s="4">
        <v>42991</v>
      </c>
      <c r="C153" s="162">
        <v>41822.76</v>
      </c>
      <c r="D153" s="162">
        <v>5926.05</v>
      </c>
      <c r="E153" s="162">
        <v>719.83</v>
      </c>
      <c r="F153" s="162">
        <v>35176.879999999997</v>
      </c>
    </row>
    <row r="154" spans="1:6" x14ac:dyDescent="0.25">
      <c r="A154" s="3" t="s">
        <v>11</v>
      </c>
      <c r="B154" s="4">
        <v>42993</v>
      </c>
      <c r="C154" s="162">
        <v>41763.43</v>
      </c>
      <c r="D154" s="162" t="s">
        <v>18</v>
      </c>
      <c r="E154" s="162" t="s">
        <v>17</v>
      </c>
      <c r="F154" s="162">
        <v>41763.43</v>
      </c>
    </row>
    <row r="155" spans="1:6" x14ac:dyDescent="0.25">
      <c r="A155" s="3" t="s">
        <v>6</v>
      </c>
      <c r="B155" s="4">
        <v>42993</v>
      </c>
      <c r="C155" s="162">
        <v>187486.95</v>
      </c>
      <c r="D155" s="162" t="s">
        <v>18</v>
      </c>
      <c r="E155" s="162" t="s">
        <v>17</v>
      </c>
      <c r="F155" s="162">
        <v>187486.95</v>
      </c>
    </row>
    <row r="156" spans="1:6" x14ac:dyDescent="0.25">
      <c r="A156" s="3" t="s">
        <v>7</v>
      </c>
      <c r="B156" s="4">
        <v>42993</v>
      </c>
      <c r="C156" s="162">
        <v>1725744.99</v>
      </c>
      <c r="D156" s="162">
        <v>87729.85</v>
      </c>
      <c r="E156" s="162">
        <v>2.48</v>
      </c>
      <c r="F156" s="162">
        <v>1638012.66</v>
      </c>
    </row>
    <row r="157" spans="1:6" x14ac:dyDescent="0.25">
      <c r="A157" s="3" t="s">
        <v>9</v>
      </c>
      <c r="B157" s="4">
        <v>42993</v>
      </c>
      <c r="C157" s="162">
        <v>52459.13</v>
      </c>
      <c r="E157" s="162">
        <v>15.77</v>
      </c>
      <c r="F157" s="162">
        <v>52443.360000000001</v>
      </c>
    </row>
    <row r="158" spans="1:6" x14ac:dyDescent="0.25">
      <c r="A158" s="3" t="s">
        <v>8</v>
      </c>
      <c r="B158" s="4">
        <v>42993</v>
      </c>
      <c r="C158" s="162">
        <v>147990.76</v>
      </c>
      <c r="F158" s="162">
        <v>147990.76</v>
      </c>
    </row>
    <row r="159" spans="1:6" x14ac:dyDescent="0.25">
      <c r="A159" s="3" t="s">
        <v>12</v>
      </c>
      <c r="B159" s="4">
        <v>42993</v>
      </c>
      <c r="C159" s="162">
        <v>549547.31000000006</v>
      </c>
      <c r="D159" s="162">
        <v>3219.45</v>
      </c>
      <c r="E159" s="162">
        <v>20.23</v>
      </c>
      <c r="F159" s="162">
        <v>546307.63</v>
      </c>
    </row>
    <row r="160" spans="1:6" x14ac:dyDescent="0.25">
      <c r="A160" s="3" t="s">
        <v>10</v>
      </c>
      <c r="B160" s="4">
        <v>42993</v>
      </c>
      <c r="C160" s="162">
        <v>124381.51</v>
      </c>
      <c r="D160" s="162">
        <v>2476.86</v>
      </c>
      <c r="E160" s="162">
        <v>851.65</v>
      </c>
      <c r="F160" s="162">
        <v>121053</v>
      </c>
    </row>
    <row r="161" spans="1:6" x14ac:dyDescent="0.25">
      <c r="A161" s="3" t="s">
        <v>13</v>
      </c>
      <c r="B161" s="4">
        <v>42993</v>
      </c>
      <c r="C161" s="162">
        <v>26918.28</v>
      </c>
      <c r="F161" s="162">
        <v>26918.28</v>
      </c>
    </row>
    <row r="162" spans="1:6" x14ac:dyDescent="0.25">
      <c r="A162" s="3" t="s">
        <v>15</v>
      </c>
      <c r="B162" s="4">
        <v>42993</v>
      </c>
      <c r="C162" s="162">
        <v>12764.09</v>
      </c>
      <c r="F162" s="162">
        <v>12764.09</v>
      </c>
    </row>
    <row r="163" spans="1:6" x14ac:dyDescent="0.25">
      <c r="A163" s="3" t="s">
        <v>16</v>
      </c>
      <c r="B163" s="4">
        <v>42993</v>
      </c>
      <c r="C163" s="162">
        <v>24158.83</v>
      </c>
      <c r="F163" s="162">
        <v>24158.83</v>
      </c>
    </row>
    <row r="164" spans="1:6" x14ac:dyDescent="0.25">
      <c r="A164" s="3" t="s">
        <v>11</v>
      </c>
      <c r="B164" s="4">
        <v>42996</v>
      </c>
      <c r="C164" s="162">
        <v>181621.25</v>
      </c>
      <c r="E164" s="162">
        <v>173.83</v>
      </c>
      <c r="F164" s="162">
        <v>181447.42</v>
      </c>
    </row>
    <row r="165" spans="1:6" x14ac:dyDescent="0.25">
      <c r="A165" s="3" t="s">
        <v>6</v>
      </c>
      <c r="B165" s="4">
        <v>42996</v>
      </c>
      <c r="C165" s="162">
        <v>202819.69</v>
      </c>
      <c r="F165" s="162">
        <v>202819.69</v>
      </c>
    </row>
    <row r="166" spans="1:6" x14ac:dyDescent="0.25">
      <c r="A166" s="3" t="s">
        <v>7</v>
      </c>
      <c r="B166" s="4">
        <v>42996</v>
      </c>
      <c r="C166" s="162">
        <v>227171.66</v>
      </c>
      <c r="F166" s="162">
        <v>227171.66</v>
      </c>
    </row>
    <row r="167" spans="1:6" x14ac:dyDescent="0.25">
      <c r="A167" s="3" t="s">
        <v>14</v>
      </c>
      <c r="B167" s="4">
        <v>42996</v>
      </c>
      <c r="C167" s="162">
        <v>41278.46</v>
      </c>
      <c r="E167" s="162">
        <v>121.09</v>
      </c>
      <c r="F167" s="162">
        <v>41157.370000000003</v>
      </c>
    </row>
    <row r="168" spans="1:6" x14ac:dyDescent="0.25">
      <c r="A168" s="3" t="s">
        <v>13</v>
      </c>
      <c r="B168" s="4">
        <v>42996</v>
      </c>
      <c r="C168" s="162">
        <v>0</v>
      </c>
      <c r="F168" s="162">
        <v>0</v>
      </c>
    </row>
    <row r="169" spans="1:6" x14ac:dyDescent="0.25">
      <c r="A169" s="3" t="s">
        <v>12</v>
      </c>
      <c r="B169" s="4">
        <v>42996</v>
      </c>
      <c r="C169" s="162">
        <v>18477.990000000002</v>
      </c>
      <c r="F169" s="162">
        <v>18477.990000000002</v>
      </c>
    </row>
    <row r="170" spans="1:6" x14ac:dyDescent="0.25">
      <c r="A170" s="3" t="s">
        <v>15</v>
      </c>
      <c r="B170" s="4">
        <v>42996</v>
      </c>
      <c r="C170" s="162">
        <v>88660.42</v>
      </c>
      <c r="E170" s="162">
        <v>723.6</v>
      </c>
      <c r="F170" s="162">
        <v>87936.82</v>
      </c>
    </row>
    <row r="171" spans="1:6" x14ac:dyDescent="0.25">
      <c r="A171" s="3" t="s">
        <v>9</v>
      </c>
      <c r="B171" s="4">
        <v>42996</v>
      </c>
      <c r="C171" s="162">
        <v>18056.48</v>
      </c>
      <c r="F171" s="162">
        <v>18056.48</v>
      </c>
    </row>
    <row r="172" spans="1:6" x14ac:dyDescent="0.25">
      <c r="A172" s="3" t="s">
        <v>8</v>
      </c>
      <c r="B172" s="4">
        <v>42996</v>
      </c>
      <c r="C172" s="162">
        <v>47837.32</v>
      </c>
      <c r="F172" s="162">
        <v>47837.32</v>
      </c>
    </row>
    <row r="173" spans="1:6" x14ac:dyDescent="0.25">
      <c r="A173" s="3" t="s">
        <v>11</v>
      </c>
      <c r="B173" s="4">
        <v>42997</v>
      </c>
      <c r="C173" s="162">
        <v>102530.9</v>
      </c>
      <c r="D173" s="162">
        <v>2347.85</v>
      </c>
      <c r="F173" s="162">
        <v>100183.05</v>
      </c>
    </row>
    <row r="174" spans="1:6" x14ac:dyDescent="0.25">
      <c r="A174" s="3" t="s">
        <v>7</v>
      </c>
      <c r="B174" s="4">
        <v>42997</v>
      </c>
      <c r="C174" s="162">
        <v>88644</v>
      </c>
      <c r="D174" s="162" t="s">
        <v>18</v>
      </c>
      <c r="E174" s="162" t="s">
        <v>17</v>
      </c>
      <c r="F174" s="162">
        <v>88644</v>
      </c>
    </row>
    <row r="175" spans="1:6" x14ac:dyDescent="0.25">
      <c r="A175" s="3" t="s">
        <v>8</v>
      </c>
      <c r="B175" s="4">
        <v>42997</v>
      </c>
      <c r="C175" s="162">
        <v>72112.350000000006</v>
      </c>
      <c r="D175" s="162" t="s">
        <v>18</v>
      </c>
      <c r="E175" s="162" t="s">
        <v>17</v>
      </c>
      <c r="F175" s="162">
        <v>72112.350000000006</v>
      </c>
    </row>
    <row r="176" spans="1:6" x14ac:dyDescent="0.25">
      <c r="A176" s="3" t="s">
        <v>9</v>
      </c>
      <c r="B176" s="4">
        <v>42997</v>
      </c>
      <c r="C176" s="162">
        <v>122325.71</v>
      </c>
      <c r="D176" s="162">
        <v>8722.44</v>
      </c>
      <c r="E176" s="162" t="s">
        <v>17</v>
      </c>
      <c r="F176" s="162">
        <v>113603.27</v>
      </c>
    </row>
    <row r="177" spans="1:6" x14ac:dyDescent="0.25">
      <c r="A177" s="3" t="s">
        <v>12</v>
      </c>
      <c r="B177" s="4">
        <v>42997</v>
      </c>
      <c r="C177" s="162">
        <v>279852.95</v>
      </c>
      <c r="F177" s="162">
        <v>279852.95</v>
      </c>
    </row>
    <row r="178" spans="1:6" x14ac:dyDescent="0.25">
      <c r="A178" s="3" t="s">
        <v>10</v>
      </c>
      <c r="B178" s="4">
        <v>42997</v>
      </c>
      <c r="C178" s="162">
        <v>79432.960000000006</v>
      </c>
      <c r="F178" s="162">
        <v>79432.960000000006</v>
      </c>
    </row>
    <row r="179" spans="1:6" x14ac:dyDescent="0.25">
      <c r="A179" s="3" t="s">
        <v>14</v>
      </c>
      <c r="B179" s="4">
        <v>42997</v>
      </c>
      <c r="C179" s="162">
        <v>14944.37</v>
      </c>
      <c r="D179" s="162" t="s">
        <v>18</v>
      </c>
      <c r="E179" s="162" t="s">
        <v>17</v>
      </c>
      <c r="F179" s="162">
        <v>14944.37</v>
      </c>
    </row>
    <row r="180" spans="1:6" x14ac:dyDescent="0.25">
      <c r="A180" s="3" t="s">
        <v>11</v>
      </c>
      <c r="B180" s="4">
        <v>42998</v>
      </c>
      <c r="C180" s="162">
        <v>452987.63</v>
      </c>
      <c r="E180" s="162">
        <v>3169.68</v>
      </c>
      <c r="F180" s="162">
        <v>449817.95</v>
      </c>
    </row>
    <row r="181" spans="1:6" x14ac:dyDescent="0.25">
      <c r="A181" s="3" t="s">
        <v>6</v>
      </c>
      <c r="B181" s="4">
        <v>42998</v>
      </c>
      <c r="C181" s="162">
        <v>226238.38</v>
      </c>
      <c r="F181" s="162">
        <v>226238.38</v>
      </c>
    </row>
    <row r="182" spans="1:6" x14ac:dyDescent="0.25">
      <c r="A182" s="3" t="s">
        <v>9</v>
      </c>
      <c r="B182" s="4">
        <v>42998</v>
      </c>
      <c r="C182" s="162">
        <v>116381.37</v>
      </c>
      <c r="F182" s="162">
        <v>116381.37</v>
      </c>
    </row>
    <row r="183" spans="1:6" x14ac:dyDescent="0.25">
      <c r="A183" s="3" t="s">
        <v>8</v>
      </c>
      <c r="B183" s="4">
        <v>42998</v>
      </c>
      <c r="C183" s="162">
        <v>93039.88</v>
      </c>
      <c r="D183" s="162">
        <v>12109.83</v>
      </c>
      <c r="E183" s="162">
        <v>192.66</v>
      </c>
      <c r="F183" s="162">
        <v>80737.39</v>
      </c>
    </row>
    <row r="184" spans="1:6" x14ac:dyDescent="0.25">
      <c r="A184" s="3" t="s">
        <v>12</v>
      </c>
      <c r="B184" s="4">
        <v>42998</v>
      </c>
      <c r="C184" s="162">
        <v>104626.22</v>
      </c>
      <c r="D184" s="162">
        <v>4963.84</v>
      </c>
      <c r="E184" s="162">
        <v>47.44</v>
      </c>
      <c r="F184" s="162">
        <v>99614.94</v>
      </c>
    </row>
    <row r="185" spans="1:6" x14ac:dyDescent="0.25">
      <c r="A185" s="3" t="s">
        <v>11</v>
      </c>
      <c r="B185" s="4">
        <v>42999</v>
      </c>
      <c r="C185" s="162">
        <v>232512.65</v>
      </c>
      <c r="F185" s="162">
        <v>232512.65</v>
      </c>
    </row>
    <row r="186" spans="1:6" x14ac:dyDescent="0.25">
      <c r="A186" s="3" t="s">
        <v>6</v>
      </c>
      <c r="B186" s="4">
        <v>42999</v>
      </c>
      <c r="C186" s="162">
        <v>200153.64</v>
      </c>
      <c r="E186" s="162">
        <v>115.7</v>
      </c>
      <c r="F186" s="162">
        <v>200037.94</v>
      </c>
    </row>
    <row r="187" spans="1:6" x14ac:dyDescent="0.25">
      <c r="A187" s="3" t="s">
        <v>7</v>
      </c>
      <c r="B187" s="4">
        <v>42999</v>
      </c>
      <c r="C187" s="162">
        <v>130890.5</v>
      </c>
      <c r="E187" s="162">
        <v>284.57</v>
      </c>
      <c r="F187" s="162">
        <v>130605.93</v>
      </c>
    </row>
    <row r="188" spans="1:6" x14ac:dyDescent="0.25">
      <c r="A188" s="3" t="s">
        <v>8</v>
      </c>
      <c r="B188" s="4">
        <v>42999</v>
      </c>
      <c r="C188" s="162">
        <v>109212.77</v>
      </c>
      <c r="F188" s="162">
        <v>109212.77</v>
      </c>
    </row>
    <row r="189" spans="1:6" x14ac:dyDescent="0.25">
      <c r="A189" s="3" t="s">
        <v>9</v>
      </c>
      <c r="B189" s="4">
        <v>42999</v>
      </c>
      <c r="C189" s="162">
        <v>43967.14</v>
      </c>
      <c r="F189" s="162">
        <v>43967.14</v>
      </c>
    </row>
    <row r="190" spans="1:6" x14ac:dyDescent="0.25">
      <c r="A190" s="3" t="s">
        <v>11</v>
      </c>
      <c r="B190" s="4">
        <v>43000</v>
      </c>
      <c r="C190" s="162">
        <v>118140.47</v>
      </c>
      <c r="F190" s="162">
        <v>118140.47</v>
      </c>
    </row>
    <row r="191" spans="1:6" x14ac:dyDescent="0.25">
      <c r="A191" s="3" t="s">
        <v>6</v>
      </c>
      <c r="B191" s="4">
        <v>43000</v>
      </c>
      <c r="C191" s="162">
        <v>1059447.25</v>
      </c>
      <c r="D191" s="162">
        <v>22830.44</v>
      </c>
      <c r="E191" s="162">
        <v>19.309999999999999</v>
      </c>
      <c r="F191" s="162">
        <v>1036597.5</v>
      </c>
    </row>
    <row r="192" spans="1:6" x14ac:dyDescent="0.25">
      <c r="A192" s="3" t="s">
        <v>7</v>
      </c>
      <c r="B192" s="4">
        <v>43000</v>
      </c>
      <c r="C192" s="162">
        <v>104485.75999999999</v>
      </c>
      <c r="E192" s="162">
        <v>1161.97</v>
      </c>
      <c r="F192" s="162">
        <v>103323.79</v>
      </c>
    </row>
    <row r="193" spans="1:6" x14ac:dyDescent="0.25">
      <c r="A193" s="3" t="s">
        <v>8</v>
      </c>
      <c r="B193" s="4">
        <v>43003</v>
      </c>
      <c r="C193" s="162">
        <v>118076.34</v>
      </c>
      <c r="F193" s="162">
        <v>118076.34</v>
      </c>
    </row>
    <row r="194" spans="1:6" x14ac:dyDescent="0.25">
      <c r="A194" s="3" t="s">
        <v>11</v>
      </c>
      <c r="B194" s="4">
        <v>43003</v>
      </c>
      <c r="C194" s="162">
        <v>350607.14</v>
      </c>
      <c r="E194" s="162">
        <v>78.16</v>
      </c>
      <c r="F194" s="162">
        <v>350528.98</v>
      </c>
    </row>
    <row r="195" spans="1:6" x14ac:dyDescent="0.25">
      <c r="A195" s="3" t="s">
        <v>6</v>
      </c>
      <c r="B195" s="4">
        <v>43003</v>
      </c>
      <c r="C195" s="162">
        <v>97677.35</v>
      </c>
      <c r="D195" s="162">
        <v>57645</v>
      </c>
      <c r="E195" s="162">
        <v>93.49</v>
      </c>
      <c r="F195" s="162">
        <v>39938.86</v>
      </c>
    </row>
    <row r="196" spans="1:6" x14ac:dyDescent="0.25">
      <c r="A196" s="3" t="s">
        <v>9</v>
      </c>
      <c r="B196" s="4">
        <v>43003</v>
      </c>
      <c r="C196" s="162">
        <v>288449.63</v>
      </c>
      <c r="D196" s="162">
        <v>5999.91</v>
      </c>
      <c r="F196" s="162">
        <v>282449.71999999997</v>
      </c>
    </row>
    <row r="197" spans="1:6" x14ac:dyDescent="0.25">
      <c r="A197" s="3" t="s">
        <v>15</v>
      </c>
      <c r="B197" s="4">
        <v>43003</v>
      </c>
      <c r="C197" s="162">
        <v>100933.01</v>
      </c>
      <c r="D197" s="162">
        <v>6547.35</v>
      </c>
      <c r="E197" s="162">
        <v>16.670000000000002</v>
      </c>
      <c r="F197" s="162">
        <v>94368.99</v>
      </c>
    </row>
    <row r="198" spans="1:6" x14ac:dyDescent="0.25">
      <c r="A198" s="3" t="s">
        <v>10</v>
      </c>
      <c r="B198" s="4">
        <v>43003</v>
      </c>
      <c r="C198" s="162">
        <v>74124.77</v>
      </c>
      <c r="F198" s="162">
        <v>74124.77</v>
      </c>
    </row>
    <row r="199" spans="1:6" x14ac:dyDescent="0.25">
      <c r="A199" s="3" t="s">
        <v>13</v>
      </c>
      <c r="B199" s="4">
        <v>43003</v>
      </c>
      <c r="C199" s="162">
        <v>7956.67</v>
      </c>
      <c r="D199" s="162">
        <v>517.59</v>
      </c>
      <c r="E199" s="162">
        <v>93.5</v>
      </c>
      <c r="F199" s="162">
        <v>7345.58</v>
      </c>
    </row>
    <row r="200" spans="1:6" x14ac:dyDescent="0.25">
      <c r="A200" s="3" t="s">
        <v>14</v>
      </c>
      <c r="B200" s="4">
        <v>43003</v>
      </c>
      <c r="C200" s="162">
        <v>19223.080000000002</v>
      </c>
      <c r="D200" s="162">
        <v>11971.39</v>
      </c>
      <c r="F200" s="162">
        <v>7251.69</v>
      </c>
    </row>
    <row r="201" spans="1:6" x14ac:dyDescent="0.25">
      <c r="A201" s="3" t="s">
        <v>11</v>
      </c>
      <c r="B201" s="4">
        <v>43004</v>
      </c>
      <c r="C201" s="162">
        <v>67465.89</v>
      </c>
      <c r="F201" s="162">
        <v>67465.89</v>
      </c>
    </row>
    <row r="202" spans="1:6" x14ac:dyDescent="0.25">
      <c r="A202" s="3" t="s">
        <v>6</v>
      </c>
      <c r="B202" s="4">
        <v>43004</v>
      </c>
      <c r="C202" s="162">
        <v>395334.52</v>
      </c>
      <c r="D202" s="162">
        <v>3079.72</v>
      </c>
      <c r="F202" s="162">
        <v>392254.8</v>
      </c>
    </row>
    <row r="203" spans="1:6" x14ac:dyDescent="0.25">
      <c r="A203" s="3" t="s">
        <v>7</v>
      </c>
      <c r="B203" s="4">
        <v>43004</v>
      </c>
      <c r="C203" s="162">
        <v>406508.95</v>
      </c>
      <c r="E203" s="162">
        <v>108.77</v>
      </c>
      <c r="F203" s="162">
        <v>406400.18</v>
      </c>
    </row>
    <row r="204" spans="1:6" x14ac:dyDescent="0.25">
      <c r="A204" s="3" t="s">
        <v>8</v>
      </c>
      <c r="B204" s="4">
        <v>43004</v>
      </c>
      <c r="C204" s="162">
        <v>73654.84</v>
      </c>
      <c r="F204" s="162">
        <v>73654.84</v>
      </c>
    </row>
    <row r="205" spans="1:6" x14ac:dyDescent="0.25">
      <c r="A205" s="3" t="s">
        <v>12</v>
      </c>
      <c r="B205" s="4">
        <v>43004</v>
      </c>
      <c r="C205" s="162">
        <v>62693.34</v>
      </c>
      <c r="D205" s="162">
        <v>339.72</v>
      </c>
      <c r="E205" s="162">
        <v>8.14</v>
      </c>
      <c r="F205" s="162">
        <v>62345.48</v>
      </c>
    </row>
    <row r="206" spans="1:6" x14ac:dyDescent="0.25">
      <c r="A206" s="3" t="s">
        <v>10</v>
      </c>
      <c r="B206" s="4">
        <v>43004</v>
      </c>
      <c r="C206" s="162">
        <v>62430.36</v>
      </c>
      <c r="F206" s="162">
        <v>62430.36</v>
      </c>
    </row>
    <row r="207" spans="1:6" x14ac:dyDescent="0.25">
      <c r="A207" s="3" t="s">
        <v>11</v>
      </c>
      <c r="B207" s="4">
        <v>43005</v>
      </c>
      <c r="C207" s="162">
        <v>1140630.6599999999</v>
      </c>
      <c r="F207" s="162">
        <v>1140630.6599999999</v>
      </c>
    </row>
    <row r="208" spans="1:6" x14ac:dyDescent="0.25">
      <c r="A208" s="3" t="s">
        <v>6</v>
      </c>
      <c r="B208" s="4">
        <v>43005</v>
      </c>
      <c r="C208" s="162">
        <v>103887.25</v>
      </c>
      <c r="D208" s="162">
        <v>4965.3500000000004</v>
      </c>
      <c r="E208" s="162">
        <v>26.43</v>
      </c>
      <c r="F208" s="162">
        <v>98895.47</v>
      </c>
    </row>
    <row r="209" spans="1:6" x14ac:dyDescent="0.25">
      <c r="A209" s="3" t="s">
        <v>7</v>
      </c>
      <c r="B209" s="4">
        <v>43006</v>
      </c>
      <c r="C209" s="162">
        <v>72959.740000000005</v>
      </c>
      <c r="F209" s="162">
        <v>72959.740000000005</v>
      </c>
    </row>
    <row r="210" spans="1:6" x14ac:dyDescent="0.25">
      <c r="A210" s="3" t="s">
        <v>11</v>
      </c>
      <c r="B210" s="4">
        <v>43006</v>
      </c>
      <c r="C210" s="162">
        <v>37215.25</v>
      </c>
      <c r="D210" s="162" t="s">
        <v>18</v>
      </c>
      <c r="E210" s="162">
        <v>87.57</v>
      </c>
      <c r="F210" s="162">
        <v>37127.68</v>
      </c>
    </row>
    <row r="211" spans="1:6" x14ac:dyDescent="0.25">
      <c r="A211" s="3" t="s">
        <v>8</v>
      </c>
      <c r="B211" s="4">
        <v>43006</v>
      </c>
      <c r="C211" s="162">
        <v>74705.259999999995</v>
      </c>
      <c r="E211" s="162">
        <v>72.48</v>
      </c>
      <c r="F211" s="162">
        <v>74632.78</v>
      </c>
    </row>
    <row r="212" spans="1:6" x14ac:dyDescent="0.25">
      <c r="A212" s="3" t="s">
        <v>9</v>
      </c>
      <c r="B212" s="4">
        <v>43006</v>
      </c>
      <c r="C212" s="162">
        <v>9997.2800000000007</v>
      </c>
      <c r="D212" s="162">
        <v>1280.47</v>
      </c>
      <c r="E212" s="162">
        <v>5.72</v>
      </c>
      <c r="F212" s="162">
        <v>8711.09</v>
      </c>
    </row>
    <row r="213" spans="1:6" x14ac:dyDescent="0.25">
      <c r="A213" s="3" t="s">
        <v>10</v>
      </c>
      <c r="B213" s="4">
        <v>43006</v>
      </c>
      <c r="C213" s="162">
        <v>123618.59</v>
      </c>
      <c r="D213" s="162">
        <v>848.55</v>
      </c>
      <c r="E213" s="162">
        <v>5.72</v>
      </c>
      <c r="F213" s="162">
        <v>122764.32</v>
      </c>
    </row>
    <row r="214" spans="1:6" x14ac:dyDescent="0.25">
      <c r="A214" s="3" t="s">
        <v>12</v>
      </c>
      <c r="B214" s="4">
        <v>43006</v>
      </c>
      <c r="C214" s="162">
        <v>61970.12</v>
      </c>
      <c r="D214" s="162" t="s">
        <v>18</v>
      </c>
      <c r="E214" s="162">
        <v>225.23</v>
      </c>
      <c r="F214" s="162">
        <v>61744.89</v>
      </c>
    </row>
    <row r="215" spans="1:6" x14ac:dyDescent="0.25">
      <c r="A215" s="3" t="s">
        <v>14</v>
      </c>
      <c r="B215" s="4">
        <v>43006</v>
      </c>
      <c r="C215" s="162">
        <v>208798.97</v>
      </c>
      <c r="D215" s="162" t="s">
        <v>18</v>
      </c>
      <c r="E215" s="162" t="s">
        <v>17</v>
      </c>
      <c r="F215" s="162">
        <v>208798.97</v>
      </c>
    </row>
    <row r="216" spans="1:6" x14ac:dyDescent="0.25">
      <c r="A216" s="3" t="s">
        <v>13</v>
      </c>
      <c r="B216" s="4">
        <v>43006</v>
      </c>
      <c r="C216" s="162">
        <v>223659.23</v>
      </c>
      <c r="D216" s="162" t="s">
        <v>18</v>
      </c>
      <c r="E216" s="162" t="s">
        <v>17</v>
      </c>
      <c r="F216" s="162">
        <v>223659.23</v>
      </c>
    </row>
    <row r="217" spans="1:6" x14ac:dyDescent="0.25">
      <c r="A217" s="3" t="s">
        <v>15</v>
      </c>
      <c r="B217" s="4">
        <v>43006</v>
      </c>
      <c r="C217" s="162">
        <v>78411.89</v>
      </c>
      <c r="F217" s="162">
        <v>78411.89</v>
      </c>
    </row>
    <row r="218" spans="1:6" x14ac:dyDescent="0.25">
      <c r="A218" s="3" t="s">
        <v>7</v>
      </c>
      <c r="B218" s="4">
        <v>43007</v>
      </c>
      <c r="C218" s="162">
        <v>128980.25</v>
      </c>
      <c r="D218" s="162" t="s">
        <v>18</v>
      </c>
      <c r="E218" s="162">
        <v>49123.88</v>
      </c>
      <c r="F218" s="162">
        <v>79856.37</v>
      </c>
    </row>
    <row r="219" spans="1:6" x14ac:dyDescent="0.25">
      <c r="A219" s="3" t="s">
        <v>11</v>
      </c>
      <c r="B219" s="4">
        <v>43007</v>
      </c>
      <c r="C219" s="162">
        <v>150393.35</v>
      </c>
      <c r="D219" s="162" t="s">
        <v>18</v>
      </c>
      <c r="E219" s="162">
        <v>241.82</v>
      </c>
      <c r="F219" s="162">
        <v>150151.53</v>
      </c>
    </row>
    <row r="220" spans="1:6" x14ac:dyDescent="0.25">
      <c r="A220" s="3" t="s">
        <v>8</v>
      </c>
      <c r="B220" s="4">
        <v>43007</v>
      </c>
      <c r="C220" s="162">
        <v>49180.160000000003</v>
      </c>
      <c r="D220" s="162">
        <v>33882.410000000003</v>
      </c>
      <c r="E220" s="162">
        <v>0.01</v>
      </c>
      <c r="F220" s="162">
        <v>15297.74</v>
      </c>
    </row>
    <row r="221" spans="1:6" x14ac:dyDescent="0.25">
      <c r="A221" s="3" t="s">
        <v>9</v>
      </c>
      <c r="B221" s="4">
        <v>43007</v>
      </c>
      <c r="C221" s="162">
        <v>384747.9</v>
      </c>
      <c r="E221" s="162">
        <v>1077.74</v>
      </c>
      <c r="F221" s="162">
        <v>383670.16</v>
      </c>
    </row>
    <row r="222" spans="1:6" x14ac:dyDescent="0.25">
      <c r="A222" s="3" t="s">
        <v>12</v>
      </c>
      <c r="B222" s="4">
        <v>43007</v>
      </c>
      <c r="C222" s="162">
        <v>234119.51</v>
      </c>
      <c r="E222" s="162">
        <v>975.92</v>
      </c>
      <c r="F222" s="162">
        <v>233143.59</v>
      </c>
    </row>
    <row r="223" spans="1:6" x14ac:dyDescent="0.25">
      <c r="A223" s="3" t="s">
        <v>10</v>
      </c>
      <c r="B223" s="4">
        <v>43007</v>
      </c>
      <c r="C223" s="162">
        <v>130929.45</v>
      </c>
      <c r="E223" s="162">
        <v>11.69</v>
      </c>
      <c r="F223" s="162">
        <v>130917.75999999999</v>
      </c>
    </row>
    <row r="224" spans="1:6" x14ac:dyDescent="0.25">
      <c r="A224" s="3" t="s">
        <v>13</v>
      </c>
      <c r="B224" s="4">
        <v>43007</v>
      </c>
      <c r="C224" s="162">
        <v>155265.67000000001</v>
      </c>
      <c r="D224" s="162">
        <v>1502.09</v>
      </c>
      <c r="F224" s="162">
        <v>153763.57999999999</v>
      </c>
    </row>
    <row r="225" spans="1:6" x14ac:dyDescent="0.25">
      <c r="A225" s="3" t="s">
        <v>6</v>
      </c>
      <c r="B225" s="4">
        <v>43010</v>
      </c>
      <c r="C225" s="162">
        <v>380979.87</v>
      </c>
      <c r="F225" s="162">
        <v>380979.87</v>
      </c>
    </row>
    <row r="226" spans="1:6" x14ac:dyDescent="0.25">
      <c r="A226" s="3" t="s">
        <v>11</v>
      </c>
      <c r="B226" s="4">
        <v>43010</v>
      </c>
      <c r="C226" s="162">
        <v>54889.279999999999</v>
      </c>
      <c r="E226" s="162">
        <v>5243.72</v>
      </c>
      <c r="F226" s="162">
        <v>49645.56</v>
      </c>
    </row>
    <row r="227" spans="1:6" x14ac:dyDescent="0.25">
      <c r="A227" s="3" t="s">
        <v>7</v>
      </c>
      <c r="B227" s="4">
        <v>43010</v>
      </c>
      <c r="C227" s="162">
        <v>200847.41</v>
      </c>
      <c r="F227" s="162">
        <v>200847.41</v>
      </c>
    </row>
    <row r="228" spans="1:6" x14ac:dyDescent="0.25">
      <c r="A228" s="3" t="s">
        <v>9</v>
      </c>
      <c r="B228" s="4">
        <v>43010</v>
      </c>
      <c r="C228" s="162">
        <v>6035.29</v>
      </c>
      <c r="D228" s="162">
        <v>889.62</v>
      </c>
      <c r="F228" s="162">
        <v>5145.67</v>
      </c>
    </row>
    <row r="229" spans="1:6" x14ac:dyDescent="0.25">
      <c r="A229" s="3" t="s">
        <v>11</v>
      </c>
      <c r="B229" s="4">
        <v>43011</v>
      </c>
      <c r="C229" s="162">
        <v>110495.09</v>
      </c>
      <c r="D229" s="162">
        <v>773.33</v>
      </c>
      <c r="E229" s="162">
        <v>813.94</v>
      </c>
      <c r="F229" s="162">
        <v>108907.82</v>
      </c>
    </row>
    <row r="230" spans="1:6" x14ac:dyDescent="0.25">
      <c r="A230" s="3" t="s">
        <v>6</v>
      </c>
      <c r="B230" s="4">
        <v>43011</v>
      </c>
      <c r="C230" s="162">
        <v>129267.43</v>
      </c>
      <c r="D230" s="162">
        <v>33250.559999999998</v>
      </c>
      <c r="E230" s="162" t="s">
        <v>17</v>
      </c>
      <c r="F230" s="162">
        <v>96016.87</v>
      </c>
    </row>
    <row r="231" spans="1:6" x14ac:dyDescent="0.25">
      <c r="A231" s="3" t="s">
        <v>7</v>
      </c>
      <c r="B231" s="4">
        <v>43011</v>
      </c>
      <c r="C231" s="162">
        <v>57047.74</v>
      </c>
      <c r="D231" s="162">
        <v>3273.82</v>
      </c>
      <c r="E231" s="162">
        <v>257.58</v>
      </c>
      <c r="F231" s="162">
        <v>53516.34</v>
      </c>
    </row>
    <row r="232" spans="1:6" x14ac:dyDescent="0.25">
      <c r="A232" s="3" t="s">
        <v>9</v>
      </c>
      <c r="B232" s="4">
        <v>43011</v>
      </c>
      <c r="C232" s="162">
        <v>80915.64</v>
      </c>
      <c r="F232" s="162">
        <v>80915.64</v>
      </c>
    </row>
    <row r="233" spans="1:6" x14ac:dyDescent="0.25">
      <c r="A233" s="3" t="s">
        <v>12</v>
      </c>
      <c r="B233" s="4">
        <v>43011</v>
      </c>
      <c r="C233" s="162">
        <v>109448.43</v>
      </c>
      <c r="D233" s="162">
        <v>13217.95</v>
      </c>
      <c r="E233" s="162">
        <v>237.39</v>
      </c>
      <c r="F233" s="162">
        <v>95993.09</v>
      </c>
    </row>
    <row r="234" spans="1:6" x14ac:dyDescent="0.25">
      <c r="A234" s="3" t="s">
        <v>10</v>
      </c>
      <c r="B234" s="4">
        <v>43012</v>
      </c>
      <c r="C234" s="162">
        <v>100549.57</v>
      </c>
      <c r="F234" s="162">
        <v>100549.57</v>
      </c>
    </row>
    <row r="235" spans="1:6" x14ac:dyDescent="0.25">
      <c r="A235" s="3" t="s">
        <v>15</v>
      </c>
      <c r="B235" s="4">
        <v>43012</v>
      </c>
      <c r="C235" s="162">
        <v>185809.21</v>
      </c>
      <c r="D235" s="162">
        <v>6160.93</v>
      </c>
      <c r="F235" s="162">
        <v>179648.28</v>
      </c>
    </row>
    <row r="236" spans="1:6" x14ac:dyDescent="0.25">
      <c r="A236" s="3" t="s">
        <v>16</v>
      </c>
      <c r="B236" s="4">
        <v>43012</v>
      </c>
      <c r="C236" s="162">
        <v>4627.47</v>
      </c>
      <c r="F236" s="162">
        <v>4627.47</v>
      </c>
    </row>
    <row r="237" spans="1:6" x14ac:dyDescent="0.25">
      <c r="A237" s="3" t="s">
        <v>19</v>
      </c>
      <c r="B237" s="4">
        <v>43012</v>
      </c>
      <c r="C237" s="162">
        <v>128711.18</v>
      </c>
      <c r="E237" s="162">
        <v>59.07</v>
      </c>
      <c r="F237" s="162">
        <v>128652.11</v>
      </c>
    </row>
    <row r="238" spans="1:6" x14ac:dyDescent="0.25">
      <c r="A238" s="3" t="s">
        <v>20</v>
      </c>
      <c r="B238" s="4">
        <v>43012</v>
      </c>
      <c r="C238" s="162">
        <v>21104.54</v>
      </c>
      <c r="F238" s="162">
        <v>21104.54</v>
      </c>
    </row>
    <row r="239" spans="1:6" x14ac:dyDescent="0.25">
      <c r="A239" s="3" t="s">
        <v>21</v>
      </c>
      <c r="B239" s="4">
        <v>43012</v>
      </c>
      <c r="C239" s="162">
        <v>69163.070000000007</v>
      </c>
      <c r="E239" s="162">
        <v>205.88</v>
      </c>
      <c r="F239" s="162">
        <v>68957.19</v>
      </c>
    </row>
    <row r="240" spans="1:6" x14ac:dyDescent="0.25">
      <c r="A240" s="3" t="s">
        <v>22</v>
      </c>
      <c r="B240" s="4">
        <v>43012</v>
      </c>
      <c r="C240" s="162">
        <v>286153.53999999998</v>
      </c>
      <c r="E240" s="162">
        <v>32.42</v>
      </c>
      <c r="F240" s="162">
        <v>286121.12</v>
      </c>
    </row>
    <row r="241" spans="1:6" x14ac:dyDescent="0.25">
      <c r="A241" s="3" t="s">
        <v>11</v>
      </c>
      <c r="B241" s="4">
        <v>43013</v>
      </c>
      <c r="C241" s="162">
        <v>107208.74</v>
      </c>
      <c r="F241" s="162">
        <v>107208.74</v>
      </c>
    </row>
    <row r="242" spans="1:6" x14ac:dyDescent="0.25">
      <c r="A242" s="3" t="s">
        <v>6</v>
      </c>
      <c r="B242" s="4">
        <v>43013</v>
      </c>
      <c r="C242" s="162">
        <v>65752.69</v>
      </c>
      <c r="E242" s="162">
        <v>675.76</v>
      </c>
      <c r="F242" s="162">
        <v>65076.93</v>
      </c>
    </row>
    <row r="243" spans="1:6" x14ac:dyDescent="0.25">
      <c r="A243" s="3" t="s">
        <v>7</v>
      </c>
      <c r="B243" s="4">
        <v>43013</v>
      </c>
      <c r="C243" s="162">
        <v>11414.17</v>
      </c>
      <c r="F243" s="162">
        <v>11414.17</v>
      </c>
    </row>
    <row r="244" spans="1:6" x14ac:dyDescent="0.25">
      <c r="A244" s="3" t="s">
        <v>8</v>
      </c>
      <c r="B244" s="4">
        <v>43013</v>
      </c>
      <c r="C244" s="162">
        <v>280050.78000000003</v>
      </c>
      <c r="E244" s="162">
        <v>210.1</v>
      </c>
      <c r="F244" s="162">
        <v>279840.68</v>
      </c>
    </row>
    <row r="245" spans="1:6" x14ac:dyDescent="0.25">
      <c r="A245" s="3" t="s">
        <v>9</v>
      </c>
      <c r="B245" s="4">
        <v>43013</v>
      </c>
      <c r="C245" s="162">
        <v>74741.61</v>
      </c>
      <c r="F245" s="162">
        <v>74741.61</v>
      </c>
    </row>
    <row r="246" spans="1:6" x14ac:dyDescent="0.25">
      <c r="A246" s="3" t="s">
        <v>7</v>
      </c>
      <c r="B246" s="4">
        <v>43014</v>
      </c>
      <c r="C246" s="162">
        <v>60692.1</v>
      </c>
      <c r="F246" s="162">
        <v>60692.1</v>
      </c>
    </row>
    <row r="247" spans="1:6" x14ac:dyDescent="0.25">
      <c r="A247" s="3" t="s">
        <v>8</v>
      </c>
      <c r="B247" s="4">
        <v>43014</v>
      </c>
      <c r="C247" s="162">
        <v>68000.41</v>
      </c>
      <c r="F247" s="162">
        <v>68000.41</v>
      </c>
    </row>
    <row r="248" spans="1:6" x14ac:dyDescent="0.25">
      <c r="A248" s="3" t="s">
        <v>9</v>
      </c>
      <c r="B248" s="4">
        <v>43014</v>
      </c>
      <c r="C248" s="162">
        <v>246180.64</v>
      </c>
      <c r="D248" s="162" t="s">
        <v>18</v>
      </c>
      <c r="E248" s="162" t="s">
        <v>17</v>
      </c>
      <c r="F248" s="162">
        <v>246180.64</v>
      </c>
    </row>
    <row r="249" spans="1:6" x14ac:dyDescent="0.25">
      <c r="A249" s="3" t="s">
        <v>12</v>
      </c>
      <c r="B249" s="4">
        <v>43014</v>
      </c>
      <c r="C249" s="162">
        <v>58183.42</v>
      </c>
      <c r="F249" s="162">
        <v>58183.42</v>
      </c>
    </row>
    <row r="250" spans="1:6" x14ac:dyDescent="0.25">
      <c r="A250" s="3" t="s">
        <v>10</v>
      </c>
      <c r="B250" s="4">
        <v>43014</v>
      </c>
      <c r="C250" s="162">
        <v>76752.53</v>
      </c>
      <c r="D250" s="162">
        <v>61240.160000000003</v>
      </c>
      <c r="E250" s="162">
        <v>20.149999999999999</v>
      </c>
      <c r="F250" s="162">
        <v>15492.22</v>
      </c>
    </row>
    <row r="251" spans="1:6" x14ac:dyDescent="0.25">
      <c r="A251" s="3" t="s">
        <v>14</v>
      </c>
      <c r="B251" s="4">
        <v>43014</v>
      </c>
      <c r="C251" s="162">
        <v>700755.18</v>
      </c>
      <c r="D251" s="162" t="s">
        <v>18</v>
      </c>
      <c r="E251" s="162" t="s">
        <v>17</v>
      </c>
      <c r="F251" s="162">
        <v>700755.18</v>
      </c>
    </row>
    <row r="252" spans="1:6" x14ac:dyDescent="0.25">
      <c r="A252" s="3" t="s">
        <v>13</v>
      </c>
      <c r="B252" s="4">
        <v>43014</v>
      </c>
      <c r="C252" s="162">
        <v>97058.6</v>
      </c>
      <c r="D252" s="162" t="s">
        <v>18</v>
      </c>
      <c r="E252" s="162">
        <v>43.78</v>
      </c>
      <c r="F252" s="162">
        <v>97014.82</v>
      </c>
    </row>
    <row r="253" spans="1:6" x14ac:dyDescent="0.25">
      <c r="A253" s="3" t="s">
        <v>15</v>
      </c>
      <c r="B253" s="4">
        <v>43014</v>
      </c>
      <c r="C253" s="162">
        <v>182977.93</v>
      </c>
      <c r="D253" s="162">
        <v>7603.33</v>
      </c>
      <c r="E253" s="162">
        <v>1333.84</v>
      </c>
      <c r="F253" s="162">
        <v>174040.76</v>
      </c>
    </row>
    <row r="254" spans="1:6" x14ac:dyDescent="0.25">
      <c r="A254" s="3" t="s">
        <v>16</v>
      </c>
      <c r="B254" s="4">
        <v>43014</v>
      </c>
      <c r="C254" s="162">
        <v>113486.09</v>
      </c>
      <c r="D254" s="162" t="s">
        <v>18</v>
      </c>
      <c r="F254" s="162">
        <v>113486.09</v>
      </c>
    </row>
    <row r="255" spans="1:6" x14ac:dyDescent="0.25">
      <c r="A255" s="3" t="s">
        <v>22</v>
      </c>
      <c r="B255" s="4">
        <v>43014</v>
      </c>
      <c r="C255" s="162">
        <v>258171.36</v>
      </c>
      <c r="F255" s="162">
        <v>258171.36</v>
      </c>
    </row>
    <row r="256" spans="1:6" x14ac:dyDescent="0.25">
      <c r="A256" s="3" t="s">
        <v>20</v>
      </c>
      <c r="B256" s="4">
        <v>43014</v>
      </c>
      <c r="C256" s="162">
        <v>0</v>
      </c>
      <c r="F256" s="162" t="s">
        <v>17</v>
      </c>
    </row>
    <row r="257" spans="1:6" x14ac:dyDescent="0.25">
      <c r="A257" s="3" t="s">
        <v>11</v>
      </c>
      <c r="B257" s="4">
        <v>43017</v>
      </c>
      <c r="C257" s="162" t="s">
        <v>23</v>
      </c>
      <c r="F257" s="162">
        <v>0</v>
      </c>
    </row>
    <row r="258" spans="1:6" x14ac:dyDescent="0.25">
      <c r="A258" s="3" t="s">
        <v>6</v>
      </c>
      <c r="B258" s="4">
        <v>43017</v>
      </c>
      <c r="C258" s="162">
        <v>51200.1</v>
      </c>
      <c r="E258" s="162">
        <v>28.28</v>
      </c>
      <c r="F258" s="162">
        <v>51171.82</v>
      </c>
    </row>
    <row r="259" spans="1:6" x14ac:dyDescent="0.25">
      <c r="A259" s="3" t="s">
        <v>7</v>
      </c>
      <c r="B259" s="4">
        <v>43017</v>
      </c>
      <c r="C259" s="162">
        <v>120706.79</v>
      </c>
      <c r="F259" s="162">
        <v>120706.79</v>
      </c>
    </row>
    <row r="260" spans="1:6" x14ac:dyDescent="0.25">
      <c r="A260" s="3" t="s">
        <v>8</v>
      </c>
      <c r="B260" s="4">
        <v>43017</v>
      </c>
      <c r="C260" s="162">
        <v>205899.05</v>
      </c>
      <c r="E260" s="162">
        <v>79.44</v>
      </c>
      <c r="F260" s="162">
        <v>205819.61</v>
      </c>
    </row>
    <row r="261" spans="1:6" x14ac:dyDescent="0.25">
      <c r="A261" s="3" t="s">
        <v>9</v>
      </c>
      <c r="B261" s="4">
        <v>43017</v>
      </c>
      <c r="C261" s="162">
        <v>24196.05</v>
      </c>
      <c r="D261" s="162" t="s">
        <v>18</v>
      </c>
      <c r="E261" s="162" t="s">
        <v>17</v>
      </c>
      <c r="F261" s="162">
        <v>24196.05</v>
      </c>
    </row>
    <row r="262" spans="1:6" x14ac:dyDescent="0.25">
      <c r="A262" s="3" t="s">
        <v>10</v>
      </c>
      <c r="B262" s="4">
        <v>43017</v>
      </c>
      <c r="C262" s="162">
        <v>186388.51</v>
      </c>
      <c r="E262" s="162">
        <v>394.36</v>
      </c>
      <c r="F262" s="162">
        <v>185994.15</v>
      </c>
    </row>
    <row r="263" spans="1:6" x14ac:dyDescent="0.25">
      <c r="A263" s="3" t="s">
        <v>12</v>
      </c>
      <c r="B263" s="4">
        <v>43017</v>
      </c>
      <c r="C263" s="162">
        <v>73409.41</v>
      </c>
      <c r="E263" s="162">
        <v>119.26</v>
      </c>
      <c r="F263" s="162">
        <v>73290.149999999994</v>
      </c>
    </row>
    <row r="264" spans="1:6" x14ac:dyDescent="0.25">
      <c r="A264" s="3" t="s">
        <v>14</v>
      </c>
      <c r="B264" s="4">
        <v>43017</v>
      </c>
      <c r="C264" s="162">
        <v>231181.37</v>
      </c>
      <c r="F264" s="162">
        <v>231181.37</v>
      </c>
    </row>
    <row r="265" spans="1:6" x14ac:dyDescent="0.25">
      <c r="A265" s="3" t="s">
        <v>16</v>
      </c>
      <c r="B265" s="4">
        <v>43017</v>
      </c>
      <c r="C265" s="162">
        <v>52906.54</v>
      </c>
      <c r="E265" s="162">
        <v>154.35</v>
      </c>
      <c r="F265" s="162">
        <v>52752.19</v>
      </c>
    </row>
    <row r="266" spans="1:6" x14ac:dyDescent="0.25">
      <c r="A266" s="3" t="s">
        <v>13</v>
      </c>
      <c r="B266" s="4">
        <v>43017</v>
      </c>
      <c r="C266" s="162">
        <v>190783.29</v>
      </c>
      <c r="F266" s="162">
        <v>190783.29</v>
      </c>
    </row>
    <row r="267" spans="1:6" x14ac:dyDescent="0.25">
      <c r="A267" s="3" t="s">
        <v>20</v>
      </c>
      <c r="B267" s="4">
        <v>43017</v>
      </c>
      <c r="C267" s="162">
        <v>74916.84</v>
      </c>
      <c r="E267" s="162">
        <v>317.29000000000002</v>
      </c>
      <c r="F267" s="162">
        <v>74599.55</v>
      </c>
    </row>
    <row r="268" spans="1:6" x14ac:dyDescent="0.25">
      <c r="A268" s="3" t="s">
        <v>22</v>
      </c>
      <c r="B268" s="4">
        <v>43017</v>
      </c>
      <c r="C268" s="162">
        <v>49073.279999999999</v>
      </c>
      <c r="D268" s="162">
        <v>8323.7900000000009</v>
      </c>
      <c r="E268" s="162">
        <v>180.25</v>
      </c>
      <c r="F268" s="162">
        <v>40569.24</v>
      </c>
    </row>
    <row r="269" spans="1:6" x14ac:dyDescent="0.25">
      <c r="A269" s="3" t="s">
        <v>11</v>
      </c>
      <c r="B269" s="4">
        <v>43018</v>
      </c>
      <c r="C269" s="162">
        <v>20529</v>
      </c>
      <c r="D269" s="162">
        <v>18443.8</v>
      </c>
      <c r="E269" s="162">
        <v>13.69</v>
      </c>
      <c r="F269" s="162">
        <v>2071.5100000000002</v>
      </c>
    </row>
    <row r="270" spans="1:6" x14ac:dyDescent="0.25">
      <c r="A270" s="3" t="s">
        <v>6</v>
      </c>
      <c r="B270" s="4">
        <v>43018</v>
      </c>
      <c r="C270" s="162">
        <v>43280.97</v>
      </c>
      <c r="D270" s="162" t="s">
        <v>18</v>
      </c>
      <c r="E270" s="162" t="s">
        <v>17</v>
      </c>
      <c r="F270" s="162">
        <v>43280.97</v>
      </c>
    </row>
    <row r="271" spans="1:6" x14ac:dyDescent="0.25">
      <c r="A271" s="3" t="s">
        <v>7</v>
      </c>
      <c r="B271" s="4">
        <v>43018</v>
      </c>
      <c r="C271" s="162">
        <v>279987.75</v>
      </c>
      <c r="D271" s="162" t="s">
        <v>18</v>
      </c>
      <c r="E271" s="162">
        <v>211.5</v>
      </c>
      <c r="F271" s="162">
        <v>279776.25</v>
      </c>
    </row>
    <row r="272" spans="1:6" x14ac:dyDescent="0.25">
      <c r="A272" s="3" t="s">
        <v>8</v>
      </c>
      <c r="B272" s="4">
        <v>43018</v>
      </c>
      <c r="C272" s="162">
        <v>197358.2</v>
      </c>
      <c r="F272" s="162">
        <v>197358.2</v>
      </c>
    </row>
    <row r="273" spans="1:6" x14ac:dyDescent="0.25">
      <c r="A273" s="3" t="s">
        <v>9</v>
      </c>
      <c r="B273" s="4">
        <v>43018</v>
      </c>
      <c r="C273" s="162">
        <v>602584.64</v>
      </c>
      <c r="F273" s="162">
        <v>602584.64</v>
      </c>
    </row>
    <row r="274" spans="1:6" x14ac:dyDescent="0.25">
      <c r="A274" s="3" t="s">
        <v>12</v>
      </c>
      <c r="B274" s="4">
        <v>43018</v>
      </c>
      <c r="C274" s="162">
        <v>37819.06</v>
      </c>
      <c r="F274" s="162">
        <v>37819.06</v>
      </c>
    </row>
    <row r="275" spans="1:6" x14ac:dyDescent="0.25">
      <c r="A275" s="3" t="s">
        <v>13</v>
      </c>
      <c r="B275" s="4">
        <v>43018</v>
      </c>
      <c r="C275" s="162">
        <v>78979.45</v>
      </c>
      <c r="F275" s="162">
        <v>78979.45</v>
      </c>
    </row>
    <row r="276" spans="1:6" x14ac:dyDescent="0.25">
      <c r="A276" s="3" t="s">
        <v>14</v>
      </c>
      <c r="B276" s="4">
        <v>43018</v>
      </c>
      <c r="C276" s="162">
        <v>90343.86</v>
      </c>
      <c r="F276" s="162">
        <v>90343.86</v>
      </c>
    </row>
    <row r="277" spans="1:6" x14ac:dyDescent="0.25">
      <c r="A277" s="3" t="s">
        <v>7</v>
      </c>
      <c r="B277" s="4">
        <v>43019</v>
      </c>
      <c r="C277" s="162">
        <v>295981.63</v>
      </c>
      <c r="F277" s="162">
        <v>295981.63</v>
      </c>
    </row>
    <row r="278" spans="1:6" x14ac:dyDescent="0.25">
      <c r="A278" s="3" t="s">
        <v>10</v>
      </c>
      <c r="B278" s="4">
        <v>43019</v>
      </c>
      <c r="C278" s="162">
        <v>79269.960000000006</v>
      </c>
      <c r="D278" s="162" t="s">
        <v>18</v>
      </c>
      <c r="E278" s="162">
        <v>120.56</v>
      </c>
      <c r="F278" s="162">
        <v>79149.399999999994</v>
      </c>
    </row>
    <row r="279" spans="1:6" x14ac:dyDescent="0.25">
      <c r="A279" s="3" t="s">
        <v>8</v>
      </c>
      <c r="B279" s="4">
        <v>43019</v>
      </c>
      <c r="C279" s="162">
        <v>49229.81</v>
      </c>
      <c r="D279" s="162" t="s">
        <v>18</v>
      </c>
      <c r="E279" s="162" t="s">
        <v>17</v>
      </c>
      <c r="F279" s="162">
        <v>49229.81</v>
      </c>
    </row>
    <row r="280" spans="1:6" x14ac:dyDescent="0.25">
      <c r="A280" s="3" t="s">
        <v>9</v>
      </c>
      <c r="B280" s="4">
        <v>43019</v>
      </c>
      <c r="C280" s="162">
        <v>156604.87</v>
      </c>
      <c r="D280" s="162" t="s">
        <v>18</v>
      </c>
      <c r="E280" s="162">
        <v>94.74</v>
      </c>
      <c r="F280" s="162">
        <v>156510.13</v>
      </c>
    </row>
    <row r="281" spans="1:6" x14ac:dyDescent="0.25">
      <c r="A281" s="3" t="s">
        <v>12</v>
      </c>
      <c r="B281" s="4">
        <v>43019</v>
      </c>
      <c r="C281" s="162">
        <v>70650.570000000007</v>
      </c>
      <c r="D281" s="162" t="s">
        <v>18</v>
      </c>
      <c r="E281" s="162" t="s">
        <v>17</v>
      </c>
      <c r="F281" s="162">
        <v>70650.570000000007</v>
      </c>
    </row>
    <row r="282" spans="1:6" x14ac:dyDescent="0.25">
      <c r="A282" s="3" t="s">
        <v>14</v>
      </c>
      <c r="B282" s="4">
        <v>43019</v>
      </c>
      <c r="C282" s="162">
        <v>166105.4</v>
      </c>
      <c r="F282" s="162">
        <v>166105.4</v>
      </c>
    </row>
    <row r="283" spans="1:6" x14ac:dyDescent="0.25">
      <c r="A283" s="3" t="s">
        <v>15</v>
      </c>
      <c r="B283" s="4">
        <v>43019</v>
      </c>
      <c r="C283" s="162">
        <v>75382.11</v>
      </c>
      <c r="F283" s="162">
        <v>75382.11</v>
      </c>
    </row>
    <row r="284" spans="1:6" x14ac:dyDescent="0.25">
      <c r="A284" s="3" t="s">
        <v>11</v>
      </c>
      <c r="B284" s="4">
        <v>43021</v>
      </c>
      <c r="C284" s="162">
        <v>163010.13</v>
      </c>
      <c r="E284" s="162">
        <v>120.86</v>
      </c>
      <c r="F284" s="162">
        <v>162889.26999999999</v>
      </c>
    </row>
    <row r="285" spans="1:6" x14ac:dyDescent="0.25">
      <c r="A285" s="3" t="s">
        <v>6</v>
      </c>
      <c r="B285" s="4">
        <v>43021</v>
      </c>
      <c r="C285" s="162">
        <v>124562.01</v>
      </c>
      <c r="F285" s="162">
        <v>124562.01</v>
      </c>
    </row>
    <row r="286" spans="1:6" x14ac:dyDescent="0.25">
      <c r="A286" s="3" t="s">
        <v>7</v>
      </c>
      <c r="B286" s="4">
        <v>43021</v>
      </c>
      <c r="C286" s="162">
        <v>155988.62</v>
      </c>
      <c r="F286" s="162">
        <v>155988.62</v>
      </c>
    </row>
    <row r="287" spans="1:6" x14ac:dyDescent="0.25">
      <c r="A287" s="3" t="s">
        <v>8</v>
      </c>
      <c r="B287" s="4">
        <v>43021</v>
      </c>
      <c r="C287" s="162">
        <v>198679.97</v>
      </c>
      <c r="E287" s="162">
        <v>143.11000000000001</v>
      </c>
      <c r="F287" s="162">
        <v>198536.86</v>
      </c>
    </row>
    <row r="288" spans="1:6" x14ac:dyDescent="0.25">
      <c r="A288" s="3" t="s">
        <v>12</v>
      </c>
      <c r="B288" s="4">
        <v>43021</v>
      </c>
      <c r="C288" s="162">
        <v>160244.29</v>
      </c>
      <c r="E288" s="162">
        <v>1163.3800000000001</v>
      </c>
      <c r="F288" s="162">
        <v>159080.91</v>
      </c>
    </row>
    <row r="289" spans="1:6" x14ac:dyDescent="0.25">
      <c r="A289" s="3" t="s">
        <v>9</v>
      </c>
      <c r="B289" s="4">
        <v>43021</v>
      </c>
      <c r="C289" s="162">
        <v>283744.18</v>
      </c>
      <c r="F289" s="162">
        <v>283744.18</v>
      </c>
    </row>
    <row r="290" spans="1:6" x14ac:dyDescent="0.25">
      <c r="A290" s="3" t="s">
        <v>10</v>
      </c>
      <c r="B290" s="4">
        <v>43021</v>
      </c>
      <c r="C290" s="162">
        <v>15852.17</v>
      </c>
      <c r="F290" s="162">
        <v>15852.17</v>
      </c>
    </row>
    <row r="291" spans="1:6" x14ac:dyDescent="0.25">
      <c r="A291" s="3" t="s">
        <v>14</v>
      </c>
      <c r="B291" s="4">
        <v>43021</v>
      </c>
      <c r="C291" s="162">
        <v>19378.68</v>
      </c>
      <c r="F291" s="162">
        <v>19378.68</v>
      </c>
    </row>
    <row r="292" spans="1:6" x14ac:dyDescent="0.25">
      <c r="A292" s="3" t="s">
        <v>13</v>
      </c>
      <c r="B292" s="4">
        <v>43021</v>
      </c>
      <c r="C292" s="162">
        <v>50814</v>
      </c>
      <c r="F292" s="162">
        <v>50814</v>
      </c>
    </row>
    <row r="293" spans="1:6" x14ac:dyDescent="0.25">
      <c r="A293" s="3" t="s">
        <v>22</v>
      </c>
      <c r="B293" s="4">
        <v>43021</v>
      </c>
      <c r="C293" s="162">
        <v>48023.5</v>
      </c>
      <c r="F293" s="162">
        <v>48023.5</v>
      </c>
    </row>
    <row r="294" spans="1:6" x14ac:dyDescent="0.25">
      <c r="A294" s="3" t="s">
        <v>16</v>
      </c>
      <c r="B294" s="4">
        <v>43021</v>
      </c>
      <c r="C294" s="162">
        <v>159435.07</v>
      </c>
      <c r="E294" s="162">
        <v>193.7</v>
      </c>
      <c r="F294" s="162">
        <v>159241.37</v>
      </c>
    </row>
    <row r="295" spans="1:6" x14ac:dyDescent="0.25">
      <c r="A295" s="3" t="s">
        <v>11</v>
      </c>
      <c r="B295" s="4">
        <v>43024</v>
      </c>
      <c r="C295" s="162">
        <v>393060.39</v>
      </c>
      <c r="D295" s="162" t="s">
        <v>18</v>
      </c>
      <c r="E295" s="162" t="s">
        <v>17</v>
      </c>
      <c r="F295" s="162">
        <v>393060.39</v>
      </c>
    </row>
    <row r="296" spans="1:6" x14ac:dyDescent="0.25">
      <c r="A296" s="3" t="s">
        <v>6</v>
      </c>
      <c r="B296" s="4">
        <v>43024</v>
      </c>
      <c r="C296" s="162">
        <v>82535.259999999995</v>
      </c>
      <c r="D296" s="162" t="s">
        <v>18</v>
      </c>
      <c r="E296" s="162" t="s">
        <v>17</v>
      </c>
      <c r="F296" s="162">
        <v>82535.259999999995</v>
      </c>
    </row>
    <row r="297" spans="1:6" x14ac:dyDescent="0.25">
      <c r="A297" s="3" t="s">
        <v>7</v>
      </c>
      <c r="B297" s="4">
        <v>43024</v>
      </c>
      <c r="C297" s="162">
        <v>139006.38</v>
      </c>
      <c r="F297" s="162">
        <v>139006.38</v>
      </c>
    </row>
    <row r="298" spans="1:6" x14ac:dyDescent="0.25">
      <c r="A298" s="3" t="s">
        <v>8</v>
      </c>
      <c r="B298" s="4">
        <v>43024</v>
      </c>
      <c r="C298" s="162">
        <v>4065.89</v>
      </c>
      <c r="E298" s="162">
        <v>80.040000000000006</v>
      </c>
      <c r="F298" s="162">
        <v>3985.85</v>
      </c>
    </row>
    <row r="299" spans="1:6" x14ac:dyDescent="0.25">
      <c r="A299" s="3" t="s">
        <v>9</v>
      </c>
      <c r="B299" s="4">
        <v>43024</v>
      </c>
      <c r="C299" s="162">
        <v>9910.1299999999992</v>
      </c>
      <c r="F299" s="162">
        <v>9910.1299999999992</v>
      </c>
    </row>
    <row r="300" spans="1:6" x14ac:dyDescent="0.25">
      <c r="A300" s="3" t="s">
        <v>6</v>
      </c>
      <c r="B300" s="4">
        <v>43025</v>
      </c>
      <c r="C300" s="162">
        <v>230527.87</v>
      </c>
      <c r="D300" s="162">
        <v>18982.2</v>
      </c>
      <c r="E300" s="162">
        <v>36.54</v>
      </c>
      <c r="F300" s="162">
        <v>211509.13</v>
      </c>
    </row>
    <row r="301" spans="1:6" x14ac:dyDescent="0.25">
      <c r="A301" s="3" t="s">
        <v>11</v>
      </c>
      <c r="B301" s="4">
        <v>43025</v>
      </c>
      <c r="C301" s="162">
        <v>99028.78</v>
      </c>
      <c r="E301" s="162">
        <v>13.3</v>
      </c>
      <c r="F301" s="162">
        <v>99015.48</v>
      </c>
    </row>
    <row r="302" spans="1:6" x14ac:dyDescent="0.25">
      <c r="A302" s="3" t="s">
        <v>12</v>
      </c>
      <c r="B302" s="4">
        <v>43025</v>
      </c>
      <c r="C302" s="162">
        <v>70491.929999999993</v>
      </c>
      <c r="F302" s="162">
        <v>70491.929999999993</v>
      </c>
    </row>
    <row r="303" spans="1:6" x14ac:dyDescent="0.25">
      <c r="A303" s="3" t="s">
        <v>7</v>
      </c>
      <c r="B303" s="4">
        <v>43025</v>
      </c>
      <c r="C303" s="162">
        <v>198631.42</v>
      </c>
      <c r="D303" s="162" t="s">
        <v>18</v>
      </c>
      <c r="E303" s="162">
        <v>63.39</v>
      </c>
      <c r="F303" s="162">
        <v>198568.03</v>
      </c>
    </row>
    <row r="304" spans="1:6" x14ac:dyDescent="0.25">
      <c r="A304" s="3" t="s">
        <v>8</v>
      </c>
      <c r="B304" s="4">
        <v>43025</v>
      </c>
      <c r="C304" s="162">
        <v>63787.76</v>
      </c>
      <c r="D304" s="162" t="s">
        <v>18</v>
      </c>
      <c r="E304" s="162">
        <v>156.59</v>
      </c>
      <c r="F304" s="162">
        <v>63631.17</v>
      </c>
    </row>
    <row r="305" spans="1:6" x14ac:dyDescent="0.25">
      <c r="A305" s="3" t="s">
        <v>9</v>
      </c>
      <c r="B305" s="4">
        <v>43025</v>
      </c>
      <c r="C305" s="162">
        <v>163093.09</v>
      </c>
      <c r="D305" s="162" t="s">
        <v>18</v>
      </c>
      <c r="E305" s="162" t="s">
        <v>17</v>
      </c>
      <c r="F305" s="162">
        <v>163093.09</v>
      </c>
    </row>
    <row r="306" spans="1:6" x14ac:dyDescent="0.25">
      <c r="A306" s="3" t="s">
        <v>14</v>
      </c>
      <c r="B306" s="4">
        <v>43025</v>
      </c>
      <c r="C306" s="162">
        <v>32403.55</v>
      </c>
      <c r="F306" s="162">
        <v>32403.55</v>
      </c>
    </row>
    <row r="307" spans="1:6" x14ac:dyDescent="0.25">
      <c r="A307" s="3" t="s">
        <v>11</v>
      </c>
      <c r="B307" s="4">
        <v>43026</v>
      </c>
      <c r="C307" s="162">
        <v>263611.65999999997</v>
      </c>
      <c r="E307" s="162">
        <v>15.65</v>
      </c>
      <c r="F307" s="162">
        <v>263596.01</v>
      </c>
    </row>
    <row r="308" spans="1:6" x14ac:dyDescent="0.25">
      <c r="A308" s="3" t="s">
        <v>8</v>
      </c>
      <c r="B308" s="4">
        <v>43026</v>
      </c>
      <c r="C308" s="162">
        <v>152673.60000000001</v>
      </c>
      <c r="F308" s="162">
        <v>152673.60000000001</v>
      </c>
    </row>
    <row r="309" spans="1:6" x14ac:dyDescent="0.25">
      <c r="A309" s="3" t="s">
        <v>6</v>
      </c>
      <c r="B309" s="4">
        <v>43026</v>
      </c>
      <c r="C309" s="162">
        <v>25424.5</v>
      </c>
      <c r="D309" s="162">
        <v>337.11</v>
      </c>
      <c r="E309" s="162">
        <v>3.87</v>
      </c>
      <c r="F309" s="162">
        <v>25083.52</v>
      </c>
    </row>
    <row r="310" spans="1:6" x14ac:dyDescent="0.25">
      <c r="A310" s="3" t="s">
        <v>7</v>
      </c>
      <c r="B310" s="4">
        <v>43026</v>
      </c>
      <c r="C310" s="162">
        <v>98561.95</v>
      </c>
      <c r="E310" s="162">
        <v>129.88</v>
      </c>
      <c r="F310" s="162">
        <v>98432.07</v>
      </c>
    </row>
    <row r="311" spans="1:6" x14ac:dyDescent="0.25">
      <c r="A311" s="3" t="s">
        <v>12</v>
      </c>
      <c r="B311" s="4">
        <v>43026</v>
      </c>
      <c r="C311" s="162">
        <v>73090.47</v>
      </c>
      <c r="D311" s="162">
        <v>2880.19</v>
      </c>
      <c r="E311" s="162">
        <v>182.76</v>
      </c>
      <c r="F311" s="162">
        <v>70027.520000000004</v>
      </c>
    </row>
    <row r="312" spans="1:6" x14ac:dyDescent="0.25">
      <c r="A312" s="3" t="s">
        <v>11</v>
      </c>
      <c r="B312" s="4">
        <v>43027</v>
      </c>
      <c r="C312" s="162">
        <v>70906.880000000005</v>
      </c>
      <c r="D312" s="162">
        <v>695.42</v>
      </c>
      <c r="E312" s="162">
        <v>6.62</v>
      </c>
      <c r="F312" s="162">
        <v>70204.84</v>
      </c>
    </row>
    <row r="313" spans="1:6" x14ac:dyDescent="0.25">
      <c r="A313" s="3" t="s">
        <v>6</v>
      </c>
      <c r="B313" s="4">
        <v>43027</v>
      </c>
      <c r="C313" s="162">
        <v>88788.21</v>
      </c>
      <c r="E313" s="162">
        <v>6.68</v>
      </c>
      <c r="F313" s="162">
        <v>88781.53</v>
      </c>
    </row>
    <row r="314" spans="1:6" x14ac:dyDescent="0.25">
      <c r="A314" s="3" t="s">
        <v>7</v>
      </c>
      <c r="B314" s="4">
        <v>43027</v>
      </c>
      <c r="C314" s="162">
        <v>230993.93</v>
      </c>
      <c r="E314" s="162">
        <v>2784.37</v>
      </c>
      <c r="F314" s="162">
        <v>228209.56</v>
      </c>
    </row>
    <row r="315" spans="1:6" x14ac:dyDescent="0.25">
      <c r="A315" s="3" t="s">
        <v>9</v>
      </c>
      <c r="B315" s="4">
        <v>43027</v>
      </c>
      <c r="C315" s="162">
        <v>22651.37</v>
      </c>
      <c r="D315" s="162">
        <v>993.09</v>
      </c>
      <c r="E315" s="162">
        <v>85.42</v>
      </c>
      <c r="F315" s="162">
        <v>21572.86</v>
      </c>
    </row>
    <row r="316" spans="1:6" x14ac:dyDescent="0.25">
      <c r="A316" s="3" t="s">
        <v>12</v>
      </c>
      <c r="B316" s="4">
        <v>43027</v>
      </c>
      <c r="C316" s="162">
        <v>49456.17</v>
      </c>
      <c r="E316" s="162">
        <v>238.17</v>
      </c>
      <c r="F316" s="162">
        <v>49218</v>
      </c>
    </row>
    <row r="317" spans="1:6" x14ac:dyDescent="0.25">
      <c r="A317" s="3" t="s">
        <v>10</v>
      </c>
      <c r="B317" s="4">
        <v>43027</v>
      </c>
      <c r="C317" s="162">
        <v>137891.45000000001</v>
      </c>
      <c r="D317" s="162">
        <v>6829.06</v>
      </c>
      <c r="E317" s="162">
        <v>518.58000000000004</v>
      </c>
      <c r="F317" s="162">
        <v>130543.81</v>
      </c>
    </row>
    <row r="318" spans="1:6" x14ac:dyDescent="0.25">
      <c r="A318" s="3" t="s">
        <v>15</v>
      </c>
      <c r="B318" s="4">
        <v>43027</v>
      </c>
      <c r="C318" s="162">
        <v>16499.34</v>
      </c>
      <c r="F318" s="162">
        <v>16499.34</v>
      </c>
    </row>
    <row r="319" spans="1:6" x14ac:dyDescent="0.25">
      <c r="A319" s="3" t="s">
        <v>14</v>
      </c>
      <c r="B319" s="4">
        <v>43027</v>
      </c>
      <c r="C319" s="162">
        <v>183236.27</v>
      </c>
      <c r="D319" s="162" t="s">
        <v>18</v>
      </c>
      <c r="E319" s="162" t="s">
        <v>17</v>
      </c>
      <c r="F319" s="162">
        <v>183236.27</v>
      </c>
    </row>
    <row r="320" spans="1:6" x14ac:dyDescent="0.25">
      <c r="A320" s="3" t="s">
        <v>11</v>
      </c>
      <c r="B320" s="4">
        <v>43028</v>
      </c>
      <c r="C320" s="162">
        <v>71221.41</v>
      </c>
      <c r="D320" s="162" t="s">
        <v>18</v>
      </c>
      <c r="E320" s="162" t="s">
        <v>17</v>
      </c>
      <c r="F320" s="162">
        <v>71221.41</v>
      </c>
    </row>
    <row r="321" spans="1:6" x14ac:dyDescent="0.25">
      <c r="A321" s="3" t="s">
        <v>6</v>
      </c>
      <c r="B321" s="4">
        <v>43028</v>
      </c>
      <c r="C321" s="162">
        <v>421571</v>
      </c>
      <c r="D321" s="162" t="s">
        <v>18</v>
      </c>
      <c r="E321" s="162">
        <v>11.62</v>
      </c>
      <c r="F321" s="162">
        <v>421559.38</v>
      </c>
    </row>
    <row r="322" spans="1:6" x14ac:dyDescent="0.25">
      <c r="A322" s="3" t="s">
        <v>7</v>
      </c>
      <c r="B322" s="4">
        <v>43028</v>
      </c>
      <c r="C322" s="162">
        <v>34495.83</v>
      </c>
      <c r="D322" s="162" t="s">
        <v>18</v>
      </c>
      <c r="E322" s="162" t="s">
        <v>17</v>
      </c>
      <c r="F322" s="162">
        <v>34495.83</v>
      </c>
    </row>
    <row r="323" spans="1:6" x14ac:dyDescent="0.25">
      <c r="A323" s="3" t="s">
        <v>8</v>
      </c>
      <c r="B323" s="4">
        <v>43028</v>
      </c>
      <c r="C323" s="162">
        <v>737680.64</v>
      </c>
      <c r="D323" s="162" t="s">
        <v>18</v>
      </c>
      <c r="E323" s="162" t="s">
        <v>17</v>
      </c>
      <c r="F323" s="162">
        <v>737680.64</v>
      </c>
    </row>
    <row r="324" spans="1:6" x14ac:dyDescent="0.25">
      <c r="A324" s="3" t="s">
        <v>9</v>
      </c>
      <c r="B324" s="4">
        <v>43028</v>
      </c>
      <c r="C324" s="162">
        <v>94775.679999999993</v>
      </c>
      <c r="D324" s="162" t="s">
        <v>18</v>
      </c>
      <c r="E324" s="162" t="s">
        <v>17</v>
      </c>
      <c r="F324" s="162">
        <v>94775.679999999993</v>
      </c>
    </row>
    <row r="325" spans="1:6" x14ac:dyDescent="0.25">
      <c r="A325" s="3" t="s">
        <v>12</v>
      </c>
      <c r="B325" s="4">
        <v>43028</v>
      </c>
      <c r="C325" s="162">
        <v>107888.33</v>
      </c>
      <c r="D325" s="162">
        <v>65629.37</v>
      </c>
      <c r="E325" s="162" t="s">
        <v>17</v>
      </c>
      <c r="F325" s="162">
        <v>42258.96</v>
      </c>
    </row>
    <row r="326" spans="1:6" x14ac:dyDescent="0.25">
      <c r="A326" s="3" t="s">
        <v>10</v>
      </c>
      <c r="B326" s="4">
        <v>43028</v>
      </c>
      <c r="C326" s="162">
        <v>289787.19</v>
      </c>
      <c r="E326" s="162">
        <v>71.75</v>
      </c>
      <c r="F326" s="162">
        <v>289715.44</v>
      </c>
    </row>
    <row r="327" spans="1:6" x14ac:dyDescent="0.25">
      <c r="A327" s="3" t="s">
        <v>14</v>
      </c>
      <c r="B327" s="4">
        <v>43028</v>
      </c>
      <c r="C327" s="162">
        <v>186361.65</v>
      </c>
      <c r="D327" s="162">
        <v>1092.96</v>
      </c>
      <c r="E327" s="162">
        <v>338.76</v>
      </c>
      <c r="F327" s="162">
        <v>184929.93</v>
      </c>
    </row>
    <row r="328" spans="1:6" x14ac:dyDescent="0.25">
      <c r="A328" s="3" t="s">
        <v>15</v>
      </c>
      <c r="B328" s="4">
        <v>43028</v>
      </c>
      <c r="C328" s="162">
        <v>232740.44</v>
      </c>
      <c r="F328" s="162">
        <v>232740.44</v>
      </c>
    </row>
    <row r="329" spans="1:6" x14ac:dyDescent="0.25">
      <c r="A329" s="3" t="s">
        <v>16</v>
      </c>
      <c r="B329" s="4">
        <v>43028</v>
      </c>
      <c r="C329" s="162">
        <v>49210</v>
      </c>
      <c r="F329" s="162">
        <v>49210</v>
      </c>
    </row>
    <row r="330" spans="1:6" x14ac:dyDescent="0.25">
      <c r="A330" s="3" t="s">
        <v>13</v>
      </c>
      <c r="B330" s="4">
        <v>43028</v>
      </c>
      <c r="C330" s="162">
        <v>70729.25</v>
      </c>
      <c r="D330" s="162">
        <v>2610</v>
      </c>
      <c r="E330" s="162">
        <v>210.74</v>
      </c>
      <c r="F330" s="162">
        <v>67908.509999999995</v>
      </c>
    </row>
    <row r="331" spans="1:6" x14ac:dyDescent="0.25">
      <c r="A331" s="3" t="s">
        <v>22</v>
      </c>
      <c r="B331" s="4">
        <v>43028</v>
      </c>
      <c r="C331" s="162">
        <v>93819.11</v>
      </c>
      <c r="F331" s="162">
        <v>93819.11</v>
      </c>
    </row>
    <row r="332" spans="1:6" x14ac:dyDescent="0.25">
      <c r="A332" s="3" t="s">
        <v>19</v>
      </c>
      <c r="B332" s="4">
        <v>43028</v>
      </c>
      <c r="C332" s="162">
        <v>418549.32</v>
      </c>
      <c r="F332" s="162">
        <v>418549.32</v>
      </c>
    </row>
    <row r="333" spans="1:6" x14ac:dyDescent="0.25">
      <c r="A333" s="3" t="s">
        <v>24</v>
      </c>
      <c r="B333" s="4">
        <v>43028</v>
      </c>
      <c r="C333" s="162">
        <v>23207.88</v>
      </c>
      <c r="F333" s="162">
        <v>23207.88</v>
      </c>
    </row>
    <row r="334" spans="1:6" x14ac:dyDescent="0.25">
      <c r="A334" s="3" t="s">
        <v>11</v>
      </c>
      <c r="B334" s="4">
        <v>43031</v>
      </c>
      <c r="C334" s="162">
        <v>241208.19</v>
      </c>
      <c r="F334" s="162">
        <v>241208.19</v>
      </c>
    </row>
    <row r="335" spans="1:6" x14ac:dyDescent="0.25">
      <c r="A335" s="3" t="s">
        <v>6</v>
      </c>
      <c r="B335" s="4">
        <v>43031</v>
      </c>
      <c r="C335" s="162">
        <v>103160.57</v>
      </c>
      <c r="D335" s="162">
        <v>11788.87</v>
      </c>
      <c r="F335" s="162">
        <v>91371.7</v>
      </c>
    </row>
    <row r="336" spans="1:6" x14ac:dyDescent="0.25">
      <c r="A336" s="3" t="s">
        <v>8</v>
      </c>
      <c r="B336" s="4">
        <v>43031</v>
      </c>
      <c r="C336" s="162">
        <v>709461.93</v>
      </c>
      <c r="E336" s="162">
        <v>452.17</v>
      </c>
      <c r="F336" s="162">
        <v>709009.76</v>
      </c>
    </row>
    <row r="337" spans="1:6" x14ac:dyDescent="0.25">
      <c r="A337" s="3" t="s">
        <v>9</v>
      </c>
      <c r="B337" s="4">
        <v>43031</v>
      </c>
      <c r="C337" s="162">
        <v>515829.87</v>
      </c>
      <c r="D337" s="162">
        <v>4728.4799999999996</v>
      </c>
      <c r="F337" s="162">
        <v>511101.39</v>
      </c>
    </row>
    <row r="338" spans="1:6" x14ac:dyDescent="0.25">
      <c r="A338" s="3" t="s">
        <v>7</v>
      </c>
      <c r="B338" s="4">
        <v>43031</v>
      </c>
      <c r="C338" s="162">
        <v>134896.81</v>
      </c>
      <c r="E338" s="162">
        <v>844.41</v>
      </c>
      <c r="F338" s="162">
        <v>134052.4</v>
      </c>
    </row>
    <row r="339" spans="1:6" x14ac:dyDescent="0.25">
      <c r="A339" s="3" t="s">
        <v>10</v>
      </c>
      <c r="B339" s="4">
        <v>43031</v>
      </c>
      <c r="C339" s="162">
        <v>102964.38</v>
      </c>
      <c r="F339" s="162">
        <v>102964.38</v>
      </c>
    </row>
    <row r="340" spans="1:6" x14ac:dyDescent="0.25">
      <c r="A340" s="3" t="s">
        <v>14</v>
      </c>
      <c r="B340" s="4">
        <v>43031</v>
      </c>
      <c r="C340" s="162">
        <v>116574.14</v>
      </c>
      <c r="D340" s="162">
        <v>8767.86</v>
      </c>
      <c r="F340" s="162">
        <v>107806.28</v>
      </c>
    </row>
    <row r="341" spans="1:6" x14ac:dyDescent="0.25">
      <c r="A341" s="3" t="s">
        <v>11</v>
      </c>
      <c r="B341" s="4">
        <v>43032</v>
      </c>
      <c r="C341" s="162">
        <v>91524.14</v>
      </c>
      <c r="D341" s="162">
        <v>1939.12</v>
      </c>
      <c r="E341" s="162">
        <v>90.76</v>
      </c>
      <c r="F341" s="162">
        <v>89494.26</v>
      </c>
    </row>
    <row r="342" spans="1:6" x14ac:dyDescent="0.25">
      <c r="A342" s="3" t="s">
        <v>6</v>
      </c>
      <c r="B342" s="4">
        <v>43032</v>
      </c>
      <c r="C342" s="162">
        <v>190432.48</v>
      </c>
      <c r="E342" s="162">
        <v>2442.96</v>
      </c>
      <c r="F342" s="162">
        <v>187989.52</v>
      </c>
    </row>
    <row r="343" spans="1:6" x14ac:dyDescent="0.25">
      <c r="A343" s="3" t="s">
        <v>7</v>
      </c>
      <c r="B343" s="4">
        <v>43032</v>
      </c>
      <c r="C343" s="162">
        <v>232109.8</v>
      </c>
      <c r="F343" s="162">
        <v>232109.8</v>
      </c>
    </row>
    <row r="344" spans="1:6" x14ac:dyDescent="0.25">
      <c r="A344" s="3" t="s">
        <v>9</v>
      </c>
      <c r="B344" s="4">
        <v>43032</v>
      </c>
      <c r="C344" s="162">
        <v>26571.45</v>
      </c>
      <c r="F344" s="162">
        <v>26571.45</v>
      </c>
    </row>
    <row r="345" spans="1:6" x14ac:dyDescent="0.25">
      <c r="A345" s="3" t="s">
        <v>12</v>
      </c>
      <c r="B345" s="4">
        <v>43032</v>
      </c>
      <c r="C345" s="162">
        <v>58396.02</v>
      </c>
      <c r="E345" s="162">
        <v>247.31</v>
      </c>
      <c r="F345" s="162">
        <v>58148.71</v>
      </c>
    </row>
    <row r="346" spans="1:6" x14ac:dyDescent="0.25">
      <c r="A346" s="3" t="s">
        <v>11</v>
      </c>
      <c r="B346" s="4">
        <v>43033</v>
      </c>
      <c r="C346" s="162">
        <v>62193.22</v>
      </c>
      <c r="F346" s="162">
        <v>62193.22</v>
      </c>
    </row>
    <row r="347" spans="1:6" x14ac:dyDescent="0.25">
      <c r="A347" s="3" t="s">
        <v>6</v>
      </c>
      <c r="B347" s="4">
        <v>43033</v>
      </c>
      <c r="C347" s="162">
        <v>94931.8</v>
      </c>
      <c r="F347" s="162">
        <v>94931.8</v>
      </c>
    </row>
    <row r="348" spans="1:6" x14ac:dyDescent="0.25">
      <c r="A348" s="3" t="s">
        <v>7</v>
      </c>
      <c r="B348" s="4">
        <v>43033</v>
      </c>
      <c r="C348" s="162">
        <v>80649.47</v>
      </c>
      <c r="E348" s="162">
        <v>60.18</v>
      </c>
      <c r="F348" s="162">
        <v>80589.289999999994</v>
      </c>
    </row>
    <row r="349" spans="1:6" x14ac:dyDescent="0.25">
      <c r="A349" s="3" t="s">
        <v>8</v>
      </c>
      <c r="B349" s="4">
        <v>43033</v>
      </c>
      <c r="C349" s="162">
        <v>111499.08</v>
      </c>
      <c r="E349" s="162">
        <v>954.18</v>
      </c>
      <c r="F349" s="162">
        <v>110544.9</v>
      </c>
    </row>
    <row r="350" spans="1:6" x14ac:dyDescent="0.25">
      <c r="A350" s="3" t="s">
        <v>12</v>
      </c>
      <c r="B350" s="4">
        <v>43033</v>
      </c>
      <c r="C350" s="162">
        <v>9540.7000000000007</v>
      </c>
      <c r="D350" s="162">
        <v>8062.31</v>
      </c>
      <c r="E350" s="162">
        <v>427.5</v>
      </c>
      <c r="F350" s="162">
        <v>1050.8900000000001</v>
      </c>
    </row>
    <row r="351" spans="1:6" x14ac:dyDescent="0.25">
      <c r="A351" s="3" t="s">
        <v>9</v>
      </c>
      <c r="B351" s="4">
        <v>43033</v>
      </c>
      <c r="C351" s="162">
        <v>43552.82</v>
      </c>
      <c r="D351" s="162" t="s">
        <v>18</v>
      </c>
      <c r="E351" s="162" t="s">
        <v>17</v>
      </c>
      <c r="F351" s="162">
        <v>43552.82</v>
      </c>
    </row>
    <row r="352" spans="1:6" x14ac:dyDescent="0.25">
      <c r="A352" s="3" t="s">
        <v>14</v>
      </c>
      <c r="B352" s="4">
        <v>43033</v>
      </c>
      <c r="C352" s="162">
        <v>43415.45</v>
      </c>
      <c r="D352" s="162" t="s">
        <v>18</v>
      </c>
      <c r="E352" s="162">
        <v>189.17</v>
      </c>
      <c r="F352" s="162">
        <v>43226.28</v>
      </c>
    </row>
    <row r="353" spans="1:6" x14ac:dyDescent="0.25">
      <c r="A353" s="3" t="s">
        <v>11</v>
      </c>
      <c r="B353" s="4">
        <v>43034</v>
      </c>
      <c r="C353" s="162">
        <v>72799.59</v>
      </c>
      <c r="E353" s="162">
        <v>381.57</v>
      </c>
      <c r="F353" s="162">
        <v>72418.02</v>
      </c>
    </row>
    <row r="354" spans="1:6" x14ac:dyDescent="0.25">
      <c r="A354" s="3" t="s">
        <v>6</v>
      </c>
      <c r="B354" s="4">
        <v>43034</v>
      </c>
      <c r="C354" s="162">
        <v>134827.5</v>
      </c>
      <c r="F354" s="162">
        <v>134827.5</v>
      </c>
    </row>
    <row r="355" spans="1:6" x14ac:dyDescent="0.25">
      <c r="A355" s="3" t="s">
        <v>7</v>
      </c>
      <c r="B355" s="4">
        <v>43034</v>
      </c>
      <c r="C355" s="162">
        <v>178693.74</v>
      </c>
      <c r="F355" s="162">
        <v>178693.74</v>
      </c>
    </row>
    <row r="356" spans="1:6" x14ac:dyDescent="0.25">
      <c r="A356" s="3" t="s">
        <v>8</v>
      </c>
      <c r="B356" s="4">
        <v>43034</v>
      </c>
      <c r="C356" s="162">
        <v>271197.75</v>
      </c>
      <c r="D356" s="162">
        <v>1587.87</v>
      </c>
      <c r="E356" s="162">
        <v>206.48</v>
      </c>
      <c r="F356" s="162">
        <v>269403.40000000002</v>
      </c>
    </row>
    <row r="357" spans="1:6" x14ac:dyDescent="0.25">
      <c r="A357" s="3" t="s">
        <v>12</v>
      </c>
      <c r="B357" s="4">
        <v>43034</v>
      </c>
      <c r="C357" s="162">
        <v>113729.23</v>
      </c>
      <c r="E357" s="162">
        <v>17.559999999999999</v>
      </c>
      <c r="F357" s="162">
        <v>113711.67</v>
      </c>
    </row>
    <row r="358" spans="1:6" x14ac:dyDescent="0.25">
      <c r="A358" s="3" t="s">
        <v>9</v>
      </c>
      <c r="B358" s="4">
        <v>43034</v>
      </c>
      <c r="C358" s="162">
        <v>56436.85</v>
      </c>
      <c r="D358" s="162">
        <v>50854.55</v>
      </c>
      <c r="E358" s="162">
        <v>120.24</v>
      </c>
      <c r="F358" s="162">
        <v>5462.06</v>
      </c>
    </row>
    <row r="359" spans="1:6" x14ac:dyDescent="0.25">
      <c r="A359" s="3" t="s">
        <v>10</v>
      </c>
      <c r="B359" s="4">
        <v>43034</v>
      </c>
      <c r="C359" s="162">
        <v>264718.63</v>
      </c>
      <c r="F359" s="162">
        <v>264718.63</v>
      </c>
    </row>
    <row r="360" spans="1:6" x14ac:dyDescent="0.25">
      <c r="A360" s="3" t="s">
        <v>13</v>
      </c>
      <c r="B360" s="4">
        <v>43034</v>
      </c>
      <c r="C360" s="162">
        <v>111215.05</v>
      </c>
      <c r="E360" s="162">
        <v>87.75</v>
      </c>
      <c r="F360" s="162">
        <v>111127.3</v>
      </c>
    </row>
    <row r="361" spans="1:6" x14ac:dyDescent="0.25">
      <c r="A361" s="3" t="s">
        <v>14</v>
      </c>
      <c r="B361" s="4">
        <v>43034</v>
      </c>
      <c r="C361" s="162">
        <v>132452.72</v>
      </c>
      <c r="F361" s="162">
        <v>132452.72</v>
      </c>
    </row>
    <row r="362" spans="1:6" x14ac:dyDescent="0.25">
      <c r="A362" s="3" t="s">
        <v>11</v>
      </c>
      <c r="B362" s="4">
        <v>43035</v>
      </c>
      <c r="C362" s="162">
        <v>192238.66</v>
      </c>
      <c r="D362" s="162" t="s">
        <v>18</v>
      </c>
      <c r="E362" s="162" t="s">
        <v>17</v>
      </c>
      <c r="F362" s="162">
        <v>192238.66</v>
      </c>
    </row>
    <row r="363" spans="1:6" x14ac:dyDescent="0.25">
      <c r="A363" s="3" t="s">
        <v>8</v>
      </c>
      <c r="B363" s="4">
        <v>43035</v>
      </c>
      <c r="C363" s="162">
        <v>95045.73</v>
      </c>
      <c r="D363" s="162" t="s">
        <v>18</v>
      </c>
      <c r="E363" s="162" t="s">
        <v>17</v>
      </c>
      <c r="F363" s="162">
        <v>95045.73</v>
      </c>
    </row>
    <row r="364" spans="1:6" x14ac:dyDescent="0.25">
      <c r="A364" s="3" t="s">
        <v>7</v>
      </c>
      <c r="B364" s="4">
        <v>43038</v>
      </c>
      <c r="C364" s="162">
        <v>399895.1</v>
      </c>
      <c r="D364" s="162">
        <v>19080.22</v>
      </c>
      <c r="E364" s="162">
        <v>869.91</v>
      </c>
      <c r="F364" s="162">
        <v>379944.97</v>
      </c>
    </row>
    <row r="365" spans="1:6" x14ac:dyDescent="0.25">
      <c r="A365" s="3" t="s">
        <v>6</v>
      </c>
      <c r="B365" s="4">
        <v>43038</v>
      </c>
      <c r="C365" s="162">
        <v>692389.29</v>
      </c>
      <c r="D365" s="162" t="s">
        <v>18</v>
      </c>
      <c r="E365" s="162" t="s">
        <v>17</v>
      </c>
      <c r="F365" s="162">
        <v>692389.29</v>
      </c>
    </row>
    <row r="366" spans="1:6" x14ac:dyDescent="0.25">
      <c r="A366" s="3" t="s">
        <v>8</v>
      </c>
      <c r="B366" s="4">
        <v>43038</v>
      </c>
      <c r="C366" s="162">
        <v>14611.48</v>
      </c>
      <c r="F366" s="162">
        <v>14611.48</v>
      </c>
    </row>
    <row r="367" spans="1:6" x14ac:dyDescent="0.25">
      <c r="A367" s="3" t="s">
        <v>9</v>
      </c>
      <c r="B367" s="4">
        <v>43038</v>
      </c>
      <c r="C367" s="162">
        <v>51531.7</v>
      </c>
      <c r="E367" s="162">
        <v>833.04</v>
      </c>
      <c r="F367" s="162">
        <v>50698.66</v>
      </c>
    </row>
    <row r="368" spans="1:6" x14ac:dyDescent="0.25">
      <c r="A368" s="3" t="s">
        <v>10</v>
      </c>
      <c r="B368" s="4">
        <v>43038</v>
      </c>
      <c r="C368" s="162">
        <v>297241.92</v>
      </c>
      <c r="E368" s="162">
        <v>672.03</v>
      </c>
      <c r="F368" s="162">
        <v>296569.89</v>
      </c>
    </row>
    <row r="369" spans="1:6" x14ac:dyDescent="0.25">
      <c r="A369" s="3" t="s">
        <v>14</v>
      </c>
      <c r="B369" s="4">
        <v>43038</v>
      </c>
      <c r="C369" s="162">
        <v>168192.56</v>
      </c>
      <c r="F369" s="162">
        <v>168192.56</v>
      </c>
    </row>
    <row r="370" spans="1:6" x14ac:dyDescent="0.25">
      <c r="A370" s="3" t="s">
        <v>6</v>
      </c>
      <c r="B370" s="4">
        <v>43039</v>
      </c>
      <c r="C370" s="162">
        <v>45318.559999999998</v>
      </c>
      <c r="F370" s="162">
        <v>45318.559999999998</v>
      </c>
    </row>
    <row r="371" spans="1:6" x14ac:dyDescent="0.25">
      <c r="A371" s="3" t="s">
        <v>7</v>
      </c>
      <c r="B371" s="4">
        <v>43039</v>
      </c>
      <c r="C371" s="162">
        <v>45926.45</v>
      </c>
      <c r="D371" s="162" t="s">
        <v>18</v>
      </c>
      <c r="E371" s="162" t="s">
        <v>17</v>
      </c>
      <c r="F371" s="162">
        <v>45926.45</v>
      </c>
    </row>
    <row r="372" spans="1:6" x14ac:dyDescent="0.25">
      <c r="A372" s="3" t="s">
        <v>8</v>
      </c>
      <c r="B372" s="4">
        <v>43039</v>
      </c>
      <c r="C372" s="162">
        <v>112184.01</v>
      </c>
      <c r="D372" s="162" t="s">
        <v>18</v>
      </c>
      <c r="E372" s="162">
        <v>179.07</v>
      </c>
      <c r="F372" s="162">
        <v>112004.94</v>
      </c>
    </row>
    <row r="373" spans="1:6" x14ac:dyDescent="0.25">
      <c r="A373" s="3" t="s">
        <v>9</v>
      </c>
      <c r="B373" s="4">
        <v>43039</v>
      </c>
      <c r="C373" s="162">
        <v>112871.96</v>
      </c>
      <c r="D373" s="162" t="s">
        <v>18</v>
      </c>
      <c r="E373" s="162">
        <v>129.86000000000001</v>
      </c>
      <c r="F373" s="162">
        <v>112742.1</v>
      </c>
    </row>
    <row r="374" spans="1:6" x14ac:dyDescent="0.25">
      <c r="A374" s="3" t="s">
        <v>12</v>
      </c>
      <c r="B374" s="4">
        <v>43039</v>
      </c>
      <c r="C374" s="162">
        <v>148583.16</v>
      </c>
      <c r="E374" s="162">
        <v>115.24</v>
      </c>
      <c r="F374" s="162">
        <v>148467.92000000001</v>
      </c>
    </row>
    <row r="375" spans="1:6" x14ac:dyDescent="0.25">
      <c r="A375" s="3" t="s">
        <v>15</v>
      </c>
      <c r="B375" s="4">
        <v>43039</v>
      </c>
      <c r="C375" s="162">
        <v>115819.64</v>
      </c>
      <c r="F375" s="162">
        <v>115819.64</v>
      </c>
    </row>
    <row r="376" spans="1:6" x14ac:dyDescent="0.25">
      <c r="A376" s="3" t="s">
        <v>10</v>
      </c>
      <c r="B376" s="4">
        <v>43039</v>
      </c>
      <c r="C376" s="162">
        <v>298881.09000000003</v>
      </c>
      <c r="F376" s="162">
        <v>298881.09000000003</v>
      </c>
    </row>
    <row r="377" spans="1:6" x14ac:dyDescent="0.25">
      <c r="A377" s="3" t="s">
        <v>14</v>
      </c>
      <c r="B377" s="4">
        <v>43039</v>
      </c>
      <c r="C377" s="162">
        <v>68878.97</v>
      </c>
      <c r="F377" s="162">
        <v>68878.97</v>
      </c>
    </row>
    <row r="378" spans="1:6" x14ac:dyDescent="0.25">
      <c r="A378" s="3" t="s">
        <v>12</v>
      </c>
      <c r="B378" s="4">
        <v>43040</v>
      </c>
      <c r="C378" s="162">
        <v>780575.93</v>
      </c>
      <c r="D378" s="162">
        <v>9247.98</v>
      </c>
      <c r="E378" s="162">
        <v>864.64</v>
      </c>
      <c r="F378" s="162">
        <v>770463.31</v>
      </c>
    </row>
    <row r="379" spans="1:6" x14ac:dyDescent="0.25">
      <c r="A379" s="3" t="s">
        <v>9</v>
      </c>
      <c r="B379" s="4">
        <v>43040</v>
      </c>
      <c r="C379" s="162">
        <v>93048.91</v>
      </c>
      <c r="E379" s="162">
        <v>3252.93</v>
      </c>
      <c r="F379" s="162">
        <v>89795.98</v>
      </c>
    </row>
    <row r="380" spans="1:6" x14ac:dyDescent="0.25">
      <c r="A380" s="3" t="s">
        <v>11</v>
      </c>
      <c r="B380" s="4">
        <v>43040</v>
      </c>
      <c r="C380" s="162">
        <v>40909.769999999997</v>
      </c>
      <c r="E380" s="162">
        <v>158.58000000000001</v>
      </c>
      <c r="F380" s="162">
        <v>40751.19</v>
      </c>
    </row>
    <row r="381" spans="1:6" x14ac:dyDescent="0.25">
      <c r="A381" s="3" t="s">
        <v>8</v>
      </c>
      <c r="B381" s="4">
        <v>43040</v>
      </c>
      <c r="C381" s="162">
        <v>54000.7</v>
      </c>
      <c r="F381" s="162">
        <v>54000.7</v>
      </c>
    </row>
    <row r="382" spans="1:6" x14ac:dyDescent="0.25">
      <c r="A382" s="3" t="s">
        <v>6</v>
      </c>
      <c r="B382" s="4">
        <v>43040</v>
      </c>
      <c r="C382" s="162">
        <v>202270.2</v>
      </c>
      <c r="D382" s="162">
        <v>3123.97</v>
      </c>
      <c r="E382" s="162">
        <v>231.5</v>
      </c>
      <c r="F382" s="162">
        <v>198914.73</v>
      </c>
    </row>
    <row r="383" spans="1:6" x14ac:dyDescent="0.25">
      <c r="A383" s="3" t="s">
        <v>7</v>
      </c>
      <c r="B383" s="4">
        <v>43040</v>
      </c>
      <c r="C383" s="162">
        <v>158925.42000000001</v>
      </c>
      <c r="E383" s="162">
        <v>116.93</v>
      </c>
      <c r="F383" s="162">
        <v>158808.49</v>
      </c>
    </row>
    <row r="384" spans="1:6" x14ac:dyDescent="0.25">
      <c r="A384" s="3" t="s">
        <v>14</v>
      </c>
      <c r="B384" s="4">
        <v>43040</v>
      </c>
      <c r="C384" s="162">
        <v>8611.56</v>
      </c>
      <c r="D384" s="162">
        <v>1381.22</v>
      </c>
      <c r="E384" s="162">
        <v>51.66</v>
      </c>
      <c r="F384" s="162">
        <v>7178.68</v>
      </c>
    </row>
    <row r="385" spans="1:6" x14ac:dyDescent="0.25">
      <c r="A385" s="3" t="s">
        <v>13</v>
      </c>
      <c r="B385" s="4">
        <v>43040</v>
      </c>
      <c r="C385" s="162">
        <v>257848.63</v>
      </c>
      <c r="F385" s="162">
        <v>257848.63</v>
      </c>
    </row>
    <row r="386" spans="1:6" x14ac:dyDescent="0.25">
      <c r="A386" s="3" t="s">
        <v>16</v>
      </c>
      <c r="B386" s="4">
        <v>43040</v>
      </c>
      <c r="F386" s="162" t="s">
        <v>17</v>
      </c>
    </row>
    <row r="387" spans="1:6" x14ac:dyDescent="0.25">
      <c r="A387" s="3" t="s">
        <v>15</v>
      </c>
      <c r="B387" s="4">
        <v>43040</v>
      </c>
      <c r="F387" s="162">
        <v>0</v>
      </c>
    </row>
    <row r="388" spans="1:6" x14ac:dyDescent="0.25">
      <c r="A388" s="3" t="s">
        <v>11</v>
      </c>
      <c r="B388" s="4">
        <v>43042</v>
      </c>
      <c r="C388" s="162">
        <v>73641.45</v>
      </c>
      <c r="D388" s="162">
        <v>4246.2</v>
      </c>
      <c r="E388" s="162">
        <v>15.8</v>
      </c>
      <c r="F388" s="162">
        <v>69379.45</v>
      </c>
    </row>
    <row r="389" spans="1:6" x14ac:dyDescent="0.25">
      <c r="A389" s="3" t="s">
        <v>6</v>
      </c>
      <c r="B389" s="4">
        <v>43042</v>
      </c>
      <c r="C389" s="162">
        <v>148305.07999999999</v>
      </c>
      <c r="E389" s="162">
        <v>997.09</v>
      </c>
      <c r="F389" s="162">
        <v>147307.99</v>
      </c>
    </row>
    <row r="390" spans="1:6" x14ac:dyDescent="0.25">
      <c r="A390" s="3" t="s">
        <v>7</v>
      </c>
      <c r="B390" s="4">
        <v>43042</v>
      </c>
      <c r="C390" s="162">
        <v>72463.77</v>
      </c>
      <c r="E390" s="162">
        <v>112.99</v>
      </c>
      <c r="F390" s="162">
        <v>72350.78</v>
      </c>
    </row>
    <row r="391" spans="1:6" x14ac:dyDescent="0.25">
      <c r="A391" s="3" t="s">
        <v>8</v>
      </c>
      <c r="B391" s="4">
        <v>43042</v>
      </c>
      <c r="C391" s="162">
        <v>19830.23</v>
      </c>
      <c r="F391" s="162">
        <v>19830.23</v>
      </c>
    </row>
    <row r="392" spans="1:6" x14ac:dyDescent="0.25">
      <c r="A392" s="3" t="s">
        <v>12</v>
      </c>
      <c r="B392" s="4">
        <v>43042</v>
      </c>
      <c r="C392" s="162">
        <v>81633.929999999993</v>
      </c>
      <c r="E392" s="162">
        <v>70.38</v>
      </c>
      <c r="F392" s="162">
        <v>81563.55</v>
      </c>
    </row>
    <row r="393" spans="1:6" x14ac:dyDescent="0.25">
      <c r="A393" s="3" t="s">
        <v>10</v>
      </c>
      <c r="B393" s="4">
        <v>43042</v>
      </c>
      <c r="C393" s="162">
        <v>102373.49</v>
      </c>
      <c r="E393" s="162">
        <v>99.62</v>
      </c>
      <c r="F393" s="162">
        <v>102273.87</v>
      </c>
    </row>
    <row r="394" spans="1:6" x14ac:dyDescent="0.25">
      <c r="A394" s="3" t="s">
        <v>14</v>
      </c>
      <c r="B394" s="4">
        <v>43042</v>
      </c>
      <c r="C394" s="162">
        <v>7012.1</v>
      </c>
      <c r="D394" s="162">
        <v>811.5</v>
      </c>
      <c r="F394" s="162">
        <v>6200.6</v>
      </c>
    </row>
    <row r="395" spans="1:6" x14ac:dyDescent="0.25">
      <c r="A395" s="3" t="s">
        <v>13</v>
      </c>
      <c r="B395" s="4">
        <v>43042</v>
      </c>
      <c r="C395" s="162">
        <v>6289.82</v>
      </c>
      <c r="D395" s="162">
        <v>854.2</v>
      </c>
      <c r="F395" s="162">
        <v>5435.62</v>
      </c>
    </row>
    <row r="396" spans="1:6" x14ac:dyDescent="0.25">
      <c r="A396" s="3" t="s">
        <v>16</v>
      </c>
      <c r="B396" s="4">
        <v>43042</v>
      </c>
      <c r="C396" s="162">
        <v>375236.03</v>
      </c>
      <c r="E396" s="162">
        <v>549.48</v>
      </c>
      <c r="F396" s="162">
        <v>374686.55</v>
      </c>
    </row>
    <row r="397" spans="1:6" x14ac:dyDescent="0.25">
      <c r="A397" s="3" t="s">
        <v>22</v>
      </c>
      <c r="B397" s="4">
        <v>43042</v>
      </c>
      <c r="C397" s="162">
        <v>289016.53000000003</v>
      </c>
      <c r="D397" s="162">
        <v>11361.6</v>
      </c>
      <c r="E397" s="162">
        <v>860.61</v>
      </c>
      <c r="F397" s="162">
        <v>276794.32</v>
      </c>
    </row>
    <row r="398" spans="1:6" x14ac:dyDescent="0.25">
      <c r="A398" s="3" t="s">
        <v>20</v>
      </c>
      <c r="B398" s="4">
        <v>43042</v>
      </c>
      <c r="C398" s="162">
        <v>400026.25</v>
      </c>
      <c r="F398" s="162">
        <v>400026.25</v>
      </c>
    </row>
    <row r="399" spans="1:6" x14ac:dyDescent="0.25">
      <c r="A399" s="3" t="s">
        <v>11</v>
      </c>
      <c r="B399" s="4">
        <v>43045</v>
      </c>
      <c r="C399" s="162">
        <v>70366.600000000006</v>
      </c>
      <c r="E399" s="162">
        <v>19.96</v>
      </c>
      <c r="F399" s="162">
        <v>70346.64</v>
      </c>
    </row>
    <row r="400" spans="1:6" x14ac:dyDescent="0.25">
      <c r="A400" s="3" t="s">
        <v>6</v>
      </c>
      <c r="B400" s="4">
        <v>43045</v>
      </c>
      <c r="C400" s="162">
        <v>8388.27</v>
      </c>
      <c r="F400" s="162">
        <v>8388.27</v>
      </c>
    </row>
    <row r="401" spans="1:6" x14ac:dyDescent="0.25">
      <c r="A401" s="3" t="s">
        <v>8</v>
      </c>
      <c r="B401" s="4">
        <v>43045</v>
      </c>
      <c r="C401" s="162">
        <v>245099.37</v>
      </c>
      <c r="E401" s="162">
        <v>177.99</v>
      </c>
      <c r="F401" s="162">
        <v>244921.38</v>
      </c>
    </row>
    <row r="402" spans="1:6" x14ac:dyDescent="0.25">
      <c r="A402" s="3" t="s">
        <v>7</v>
      </c>
      <c r="B402" s="4">
        <v>43045</v>
      </c>
      <c r="C402" s="162">
        <v>90763.98</v>
      </c>
      <c r="F402" s="162">
        <v>90763.98</v>
      </c>
    </row>
    <row r="403" spans="1:6" x14ac:dyDescent="0.25">
      <c r="A403" s="3" t="s">
        <v>9</v>
      </c>
      <c r="B403" s="4">
        <v>43045</v>
      </c>
      <c r="C403" s="162">
        <v>157559.47</v>
      </c>
      <c r="F403" s="162">
        <v>157559.47</v>
      </c>
    </row>
    <row r="404" spans="1:6" x14ac:dyDescent="0.25">
      <c r="A404" s="3" t="s">
        <v>10</v>
      </c>
      <c r="B404" s="4">
        <v>43045</v>
      </c>
      <c r="C404" s="162">
        <v>95288.17</v>
      </c>
      <c r="F404" s="162">
        <v>95288.17</v>
      </c>
    </row>
    <row r="405" spans="1:6" x14ac:dyDescent="0.25">
      <c r="A405" s="3" t="s">
        <v>13</v>
      </c>
      <c r="B405" s="4">
        <v>43045</v>
      </c>
      <c r="C405" s="162">
        <v>242261.93</v>
      </c>
      <c r="D405" s="162">
        <v>8335.7900000000009</v>
      </c>
      <c r="E405" s="162">
        <v>820.57</v>
      </c>
      <c r="F405" s="162">
        <v>233105.57</v>
      </c>
    </row>
    <row r="406" spans="1:6" x14ac:dyDescent="0.25">
      <c r="A406" s="3" t="s">
        <v>12</v>
      </c>
      <c r="B406" s="4">
        <v>43045</v>
      </c>
      <c r="C406" s="162">
        <v>241170.46</v>
      </c>
      <c r="F406" s="162">
        <v>241170.46</v>
      </c>
    </row>
    <row r="407" spans="1:6" x14ac:dyDescent="0.25">
      <c r="A407" s="3" t="s">
        <v>11</v>
      </c>
      <c r="B407" s="4">
        <v>43046</v>
      </c>
      <c r="C407" s="162">
        <v>235117.58</v>
      </c>
      <c r="F407" s="162">
        <v>235117.58</v>
      </c>
    </row>
    <row r="408" spans="1:6" x14ac:dyDescent="0.25">
      <c r="A408" s="3" t="s">
        <v>7</v>
      </c>
      <c r="B408" s="4">
        <v>43046</v>
      </c>
      <c r="C408" s="162">
        <v>60728.959999999999</v>
      </c>
      <c r="E408" s="162">
        <v>12.75</v>
      </c>
      <c r="F408" s="162">
        <v>60716.21</v>
      </c>
    </row>
    <row r="409" spans="1:6" x14ac:dyDescent="0.25">
      <c r="A409" s="3" t="s">
        <v>6</v>
      </c>
      <c r="B409" s="4">
        <v>43046</v>
      </c>
      <c r="C409" s="162">
        <v>213570.79</v>
      </c>
      <c r="F409" s="162">
        <v>213570.79</v>
      </c>
    </row>
    <row r="410" spans="1:6" x14ac:dyDescent="0.25">
      <c r="A410" s="3" t="s">
        <v>8</v>
      </c>
      <c r="B410" s="4">
        <v>43046</v>
      </c>
      <c r="C410" s="162">
        <v>224282.25</v>
      </c>
      <c r="F410" s="162">
        <v>224282.25</v>
      </c>
    </row>
    <row r="411" spans="1:6" x14ac:dyDescent="0.25">
      <c r="A411" s="3" t="s">
        <v>9</v>
      </c>
      <c r="B411" s="4">
        <v>43046</v>
      </c>
      <c r="C411" s="162">
        <v>44257.5</v>
      </c>
      <c r="F411" s="162">
        <v>44257.5</v>
      </c>
    </row>
    <row r="412" spans="1:6" x14ac:dyDescent="0.25">
      <c r="A412" s="3" t="s">
        <v>12</v>
      </c>
      <c r="B412" s="4">
        <v>43046</v>
      </c>
      <c r="C412" s="162">
        <v>172341.67</v>
      </c>
      <c r="E412" s="162">
        <v>380.48</v>
      </c>
      <c r="F412" s="162">
        <v>171961.19</v>
      </c>
    </row>
    <row r="413" spans="1:6" x14ac:dyDescent="0.25">
      <c r="A413" s="3" t="s">
        <v>10</v>
      </c>
      <c r="B413" s="4">
        <v>43046</v>
      </c>
      <c r="C413" s="162">
        <v>1044375.75</v>
      </c>
      <c r="F413" s="162">
        <v>1044375.75</v>
      </c>
    </row>
    <row r="414" spans="1:6" x14ac:dyDescent="0.25">
      <c r="A414" s="3" t="s">
        <v>14</v>
      </c>
      <c r="B414" s="4">
        <v>43046</v>
      </c>
      <c r="C414" s="162">
        <v>62702.11</v>
      </c>
      <c r="F414" s="162">
        <v>62702.11</v>
      </c>
    </row>
    <row r="415" spans="1:6" x14ac:dyDescent="0.25">
      <c r="A415" s="3" t="s">
        <v>13</v>
      </c>
      <c r="B415" s="4">
        <v>43046</v>
      </c>
      <c r="C415" s="162">
        <v>44266.76</v>
      </c>
      <c r="F415" s="162">
        <v>44266.76</v>
      </c>
    </row>
    <row r="416" spans="1:6" x14ac:dyDescent="0.25">
      <c r="A416" s="3" t="s">
        <v>11</v>
      </c>
      <c r="B416" s="4">
        <v>43047</v>
      </c>
      <c r="C416" s="162">
        <v>6979.71</v>
      </c>
      <c r="D416" s="162">
        <v>5889.76</v>
      </c>
      <c r="E416" s="162">
        <v>6.63</v>
      </c>
      <c r="F416" s="162">
        <v>1083.32</v>
      </c>
    </row>
    <row r="417" spans="1:6" x14ac:dyDescent="0.25">
      <c r="A417" s="3" t="s">
        <v>6</v>
      </c>
      <c r="B417" s="4">
        <v>43047</v>
      </c>
      <c r="C417" s="162">
        <v>46138.43</v>
      </c>
      <c r="D417" s="162">
        <v>587.02</v>
      </c>
      <c r="E417" s="162">
        <v>7.78</v>
      </c>
      <c r="F417" s="162">
        <v>45543.63</v>
      </c>
    </row>
    <row r="418" spans="1:6" x14ac:dyDescent="0.25">
      <c r="A418" s="3" t="s">
        <v>7</v>
      </c>
      <c r="B418" s="4">
        <v>43047</v>
      </c>
      <c r="C418" s="162">
        <v>57898.98</v>
      </c>
      <c r="E418" s="162">
        <v>172.69</v>
      </c>
      <c r="F418" s="162">
        <v>57726.29</v>
      </c>
    </row>
    <row r="419" spans="1:6" x14ac:dyDescent="0.25">
      <c r="A419" s="3" t="s">
        <v>8</v>
      </c>
      <c r="B419" s="4">
        <v>43047</v>
      </c>
      <c r="C419" s="162">
        <v>100990.01</v>
      </c>
      <c r="F419" s="162">
        <v>100990.01</v>
      </c>
    </row>
    <row r="420" spans="1:6" x14ac:dyDescent="0.25">
      <c r="A420" s="3" t="s">
        <v>9</v>
      </c>
      <c r="B420" s="4">
        <v>43047</v>
      </c>
      <c r="C420" s="162">
        <v>44750.16</v>
      </c>
      <c r="F420" s="162">
        <v>44750.16</v>
      </c>
    </row>
    <row r="421" spans="1:6" x14ac:dyDescent="0.25">
      <c r="A421" s="3" t="s">
        <v>12</v>
      </c>
      <c r="B421" s="4">
        <v>43047</v>
      </c>
      <c r="C421" s="162">
        <v>115621.59</v>
      </c>
      <c r="D421" s="162">
        <v>1686.17</v>
      </c>
      <c r="E421" s="162">
        <v>2.56</v>
      </c>
      <c r="F421" s="162">
        <v>113932.86</v>
      </c>
    </row>
    <row r="422" spans="1:6" x14ac:dyDescent="0.25">
      <c r="A422" s="3" t="s">
        <v>10</v>
      </c>
      <c r="B422" s="4">
        <v>43047</v>
      </c>
      <c r="C422" s="162">
        <v>296577.64</v>
      </c>
      <c r="E422" s="162">
        <v>44.41</v>
      </c>
      <c r="F422" s="162">
        <v>296533.23</v>
      </c>
    </row>
    <row r="423" spans="1:6" x14ac:dyDescent="0.25">
      <c r="A423" s="3" t="s">
        <v>14</v>
      </c>
      <c r="B423" s="4">
        <v>43047</v>
      </c>
      <c r="C423" s="162">
        <v>34908.04</v>
      </c>
      <c r="D423" s="162">
        <v>818.56</v>
      </c>
      <c r="E423" s="162">
        <v>53.39</v>
      </c>
      <c r="F423" s="162">
        <v>34036.089999999997</v>
      </c>
    </row>
    <row r="424" spans="1:6" x14ac:dyDescent="0.25">
      <c r="A424" s="3" t="s">
        <v>6</v>
      </c>
      <c r="B424" s="4">
        <v>43048</v>
      </c>
      <c r="C424" s="162">
        <v>199418.56</v>
      </c>
      <c r="E424" s="162">
        <v>30.75</v>
      </c>
      <c r="F424" s="162">
        <v>199387.81</v>
      </c>
    </row>
    <row r="425" spans="1:6" x14ac:dyDescent="0.25">
      <c r="A425" s="3" t="s">
        <v>11</v>
      </c>
      <c r="B425" s="4">
        <v>43048</v>
      </c>
      <c r="C425" s="162">
        <v>45837.32</v>
      </c>
      <c r="F425" s="162">
        <v>45837.32</v>
      </c>
    </row>
    <row r="426" spans="1:6" x14ac:dyDescent="0.25">
      <c r="A426" s="3" t="s">
        <v>8</v>
      </c>
      <c r="B426" s="4">
        <v>43048</v>
      </c>
      <c r="C426" s="162">
        <v>8102.79</v>
      </c>
      <c r="F426" s="162">
        <v>8102.79</v>
      </c>
    </row>
    <row r="427" spans="1:6" x14ac:dyDescent="0.25">
      <c r="A427" s="3" t="s">
        <v>9</v>
      </c>
      <c r="B427" s="4">
        <v>43048</v>
      </c>
      <c r="C427" s="162">
        <v>12005.26</v>
      </c>
      <c r="D427" s="162">
        <v>9775.35</v>
      </c>
      <c r="E427" s="162">
        <v>289.07</v>
      </c>
      <c r="F427" s="162">
        <v>1940.84</v>
      </c>
    </row>
    <row r="428" spans="1:6" x14ac:dyDescent="0.25">
      <c r="A428" s="3" t="s">
        <v>11</v>
      </c>
      <c r="B428" s="4">
        <v>43049</v>
      </c>
      <c r="C428" s="162">
        <v>26013.68</v>
      </c>
      <c r="F428" s="162">
        <v>26013.68</v>
      </c>
    </row>
    <row r="429" spans="1:6" x14ac:dyDescent="0.25">
      <c r="A429" s="3" t="s">
        <v>7</v>
      </c>
      <c r="B429" s="4">
        <v>43049</v>
      </c>
      <c r="C429" s="162">
        <v>64434.36</v>
      </c>
      <c r="F429" s="162">
        <v>64434.36</v>
      </c>
    </row>
    <row r="430" spans="1:6" x14ac:dyDescent="0.25">
      <c r="A430" s="3" t="s">
        <v>6</v>
      </c>
      <c r="B430" s="4">
        <v>43049</v>
      </c>
      <c r="C430" s="162">
        <v>85428.94</v>
      </c>
      <c r="E430" s="162">
        <v>73.48</v>
      </c>
      <c r="F430" s="162">
        <v>85355.46</v>
      </c>
    </row>
    <row r="431" spans="1:6" x14ac:dyDescent="0.25">
      <c r="A431" s="3" t="s">
        <v>8</v>
      </c>
      <c r="B431" s="4">
        <v>43049</v>
      </c>
      <c r="C431" s="162">
        <v>235195.53</v>
      </c>
      <c r="F431" s="162">
        <v>235195.53</v>
      </c>
    </row>
    <row r="432" spans="1:6" x14ac:dyDescent="0.25">
      <c r="A432" s="3" t="s">
        <v>10</v>
      </c>
      <c r="B432" s="4">
        <v>43049</v>
      </c>
      <c r="C432" s="162">
        <v>256069.58</v>
      </c>
      <c r="D432" s="162" t="s">
        <v>18</v>
      </c>
      <c r="E432" s="162" t="s">
        <v>17</v>
      </c>
      <c r="F432" s="162">
        <v>256069.58</v>
      </c>
    </row>
    <row r="433" spans="1:6" x14ac:dyDescent="0.25">
      <c r="A433" s="3" t="s">
        <v>13</v>
      </c>
      <c r="B433" s="4">
        <v>43049</v>
      </c>
      <c r="C433" s="162">
        <v>1046451.15</v>
      </c>
      <c r="D433" s="162">
        <v>41067.32</v>
      </c>
      <c r="E433" s="162">
        <v>134.04</v>
      </c>
      <c r="F433" s="162">
        <v>1005249.79</v>
      </c>
    </row>
    <row r="434" spans="1:6" x14ac:dyDescent="0.25">
      <c r="A434" s="3" t="s">
        <v>9</v>
      </c>
      <c r="B434" s="4">
        <v>43049</v>
      </c>
      <c r="C434" s="162">
        <v>142684.48000000001</v>
      </c>
      <c r="D434" s="162">
        <v>27175.98</v>
      </c>
      <c r="E434" s="162">
        <v>89.59</v>
      </c>
      <c r="F434" s="162">
        <v>115418.91</v>
      </c>
    </row>
    <row r="435" spans="1:6" x14ac:dyDescent="0.25">
      <c r="A435" s="3" t="s">
        <v>15</v>
      </c>
      <c r="B435" s="4">
        <v>43049</v>
      </c>
      <c r="C435" s="162">
        <v>143131.10999999999</v>
      </c>
      <c r="D435" s="162">
        <v>2610</v>
      </c>
      <c r="F435" s="162">
        <v>140521.10999999999</v>
      </c>
    </row>
    <row r="436" spans="1:6" x14ac:dyDescent="0.25">
      <c r="A436" s="3" t="s">
        <v>16</v>
      </c>
      <c r="B436" s="4">
        <v>43049</v>
      </c>
      <c r="C436" s="162">
        <v>125689.07</v>
      </c>
      <c r="E436" s="162">
        <v>140.19</v>
      </c>
      <c r="F436" s="162">
        <v>125548.88</v>
      </c>
    </row>
    <row r="437" spans="1:6" x14ac:dyDescent="0.25">
      <c r="A437" s="3" t="s">
        <v>22</v>
      </c>
      <c r="B437" s="4">
        <v>43049</v>
      </c>
      <c r="C437" s="162">
        <v>43874.36</v>
      </c>
      <c r="F437" s="162">
        <v>43874.36</v>
      </c>
    </row>
    <row r="438" spans="1:6" x14ac:dyDescent="0.25">
      <c r="A438" s="3" t="s">
        <v>19</v>
      </c>
      <c r="B438" s="4">
        <v>43049</v>
      </c>
      <c r="C438" s="162">
        <v>11738.93</v>
      </c>
      <c r="D438" s="162">
        <v>687.7</v>
      </c>
      <c r="E438" s="162">
        <v>2.4900000000000002</v>
      </c>
      <c r="F438" s="162">
        <v>11048.74</v>
      </c>
    </row>
    <row r="439" spans="1:6" x14ac:dyDescent="0.25">
      <c r="A439" s="3" t="s">
        <v>24</v>
      </c>
      <c r="B439" s="4">
        <v>43049</v>
      </c>
      <c r="C439" s="162">
        <v>85043.3</v>
      </c>
      <c r="F439" s="162">
        <v>85043.3</v>
      </c>
    </row>
    <row r="440" spans="1:6" x14ac:dyDescent="0.25">
      <c r="A440" s="3" t="s">
        <v>11</v>
      </c>
      <c r="B440" s="4">
        <v>43052</v>
      </c>
      <c r="C440" s="162">
        <v>67445.88</v>
      </c>
      <c r="F440" s="162">
        <v>67445.88</v>
      </c>
    </row>
    <row r="441" spans="1:6" x14ac:dyDescent="0.25">
      <c r="A441" s="3" t="s">
        <v>6</v>
      </c>
      <c r="B441" s="4">
        <v>43052</v>
      </c>
      <c r="C441" s="162">
        <v>55526.720000000001</v>
      </c>
      <c r="E441" s="162">
        <v>455.8</v>
      </c>
      <c r="F441" s="162">
        <v>55070.92</v>
      </c>
    </row>
    <row r="442" spans="1:6" x14ac:dyDescent="0.25">
      <c r="A442" s="3" t="s">
        <v>7</v>
      </c>
      <c r="B442" s="4">
        <v>43052</v>
      </c>
      <c r="C442" s="162">
        <v>1486928.01</v>
      </c>
      <c r="F442" s="162">
        <v>1486928.01</v>
      </c>
    </row>
    <row r="443" spans="1:6" x14ac:dyDescent="0.25">
      <c r="A443" s="3" t="s">
        <v>8</v>
      </c>
      <c r="B443" s="4">
        <v>43052</v>
      </c>
      <c r="C443" s="162">
        <v>25759.599999999999</v>
      </c>
      <c r="F443" s="162">
        <v>25759.599999999999</v>
      </c>
    </row>
    <row r="444" spans="1:6" x14ac:dyDescent="0.25">
      <c r="A444" s="3" t="s">
        <v>12</v>
      </c>
      <c r="B444" s="4">
        <v>43052</v>
      </c>
      <c r="C444" s="162">
        <v>10641.16</v>
      </c>
      <c r="F444" s="162">
        <v>10641.16</v>
      </c>
    </row>
    <row r="445" spans="1:6" x14ac:dyDescent="0.25">
      <c r="A445" s="3" t="s">
        <v>10</v>
      </c>
      <c r="B445" s="4">
        <v>43052</v>
      </c>
      <c r="C445" s="162">
        <v>25320.05</v>
      </c>
      <c r="F445" s="162">
        <v>25320.05</v>
      </c>
    </row>
    <row r="446" spans="1:6" x14ac:dyDescent="0.25">
      <c r="A446" s="3" t="s">
        <v>11</v>
      </c>
      <c r="B446" s="4">
        <v>43053</v>
      </c>
      <c r="C446" s="162">
        <v>129252.07</v>
      </c>
      <c r="D446" s="162">
        <v>1338.82</v>
      </c>
      <c r="E446" s="162">
        <v>116.11</v>
      </c>
      <c r="F446" s="162">
        <v>127797.14</v>
      </c>
    </row>
    <row r="447" spans="1:6" x14ac:dyDescent="0.25">
      <c r="A447" s="3" t="s">
        <v>6</v>
      </c>
      <c r="B447" s="4">
        <v>43053</v>
      </c>
      <c r="C447" s="162">
        <v>147155.62</v>
      </c>
      <c r="E447" s="162">
        <v>142.82</v>
      </c>
      <c r="F447" s="162">
        <v>147012.79999999999</v>
      </c>
    </row>
    <row r="448" spans="1:6" x14ac:dyDescent="0.25">
      <c r="A448" s="3" t="s">
        <v>9</v>
      </c>
      <c r="B448" s="4">
        <v>43053</v>
      </c>
      <c r="C448" s="162">
        <v>47906.27</v>
      </c>
      <c r="F448" s="162">
        <v>47906.27</v>
      </c>
    </row>
    <row r="449" spans="1:6" x14ac:dyDescent="0.25">
      <c r="A449" s="3" t="s">
        <v>12</v>
      </c>
      <c r="B449" s="4">
        <v>43053</v>
      </c>
      <c r="C449" s="162">
        <v>181485.42</v>
      </c>
      <c r="E449" s="162">
        <v>594.95000000000005</v>
      </c>
      <c r="F449" s="162">
        <v>180890.47</v>
      </c>
    </row>
    <row r="450" spans="1:6" x14ac:dyDescent="0.25">
      <c r="A450" s="3" t="s">
        <v>10</v>
      </c>
      <c r="B450" s="4">
        <v>43053</v>
      </c>
      <c r="C450" s="162">
        <v>38437.360000000001</v>
      </c>
      <c r="D450" s="162">
        <v>38249.21</v>
      </c>
      <c r="E450" s="162">
        <v>15.81</v>
      </c>
      <c r="F450" s="162">
        <v>172.34</v>
      </c>
    </row>
    <row r="451" spans="1:6" x14ac:dyDescent="0.25">
      <c r="A451" s="3" t="s">
        <v>7</v>
      </c>
      <c r="B451" s="4">
        <v>43053</v>
      </c>
      <c r="C451" s="162">
        <v>170181.9</v>
      </c>
      <c r="D451" s="162">
        <v>2040.48</v>
      </c>
      <c r="E451" s="162">
        <v>291.49</v>
      </c>
      <c r="F451" s="162">
        <v>167849.93</v>
      </c>
    </row>
    <row r="452" spans="1:6" x14ac:dyDescent="0.25">
      <c r="A452" s="3" t="s">
        <v>11</v>
      </c>
      <c r="B452" s="4">
        <v>43055</v>
      </c>
      <c r="C452" s="162">
        <v>22739.46</v>
      </c>
      <c r="D452" s="162">
        <v>5156.92</v>
      </c>
      <c r="E452" s="162">
        <v>6.32</v>
      </c>
      <c r="F452" s="162">
        <v>17576.22</v>
      </c>
    </row>
    <row r="453" spans="1:6" x14ac:dyDescent="0.25">
      <c r="A453" s="3" t="s">
        <v>7</v>
      </c>
      <c r="B453" s="4">
        <v>43055</v>
      </c>
      <c r="C453" s="162">
        <v>106685.67</v>
      </c>
      <c r="E453" s="162">
        <v>1600.96</v>
      </c>
      <c r="F453" s="162">
        <v>105084.71</v>
      </c>
    </row>
    <row r="454" spans="1:6" x14ac:dyDescent="0.25">
      <c r="A454" s="3" t="s">
        <v>6</v>
      </c>
      <c r="B454" s="4">
        <v>43055</v>
      </c>
      <c r="C454" s="162">
        <v>160940.1</v>
      </c>
      <c r="E454" s="162">
        <v>2.92</v>
      </c>
      <c r="F454" s="162">
        <v>160937.18</v>
      </c>
    </row>
    <row r="455" spans="1:6" x14ac:dyDescent="0.25">
      <c r="A455" s="3" t="s">
        <v>9</v>
      </c>
      <c r="B455" s="4">
        <v>43055</v>
      </c>
      <c r="C455" s="162">
        <v>58203.86</v>
      </c>
      <c r="F455" s="162">
        <v>58203.86</v>
      </c>
    </row>
    <row r="456" spans="1:6" x14ac:dyDescent="0.25">
      <c r="A456" s="3" t="s">
        <v>12</v>
      </c>
      <c r="B456" s="4">
        <v>43055</v>
      </c>
      <c r="C456" s="162">
        <v>18608.91</v>
      </c>
      <c r="F456" s="162">
        <v>18608.91</v>
      </c>
    </row>
    <row r="457" spans="1:6" x14ac:dyDescent="0.25">
      <c r="A457" s="3" t="s">
        <v>14</v>
      </c>
      <c r="B457" s="4">
        <v>43055</v>
      </c>
      <c r="C457" s="162">
        <v>79244.78</v>
      </c>
      <c r="E457" s="162">
        <v>566.65</v>
      </c>
      <c r="F457" s="162">
        <v>78678.13</v>
      </c>
    </row>
    <row r="458" spans="1:6" x14ac:dyDescent="0.25">
      <c r="A458" s="3" t="s">
        <v>11</v>
      </c>
      <c r="B458" s="4">
        <v>43056</v>
      </c>
      <c r="C458" s="162">
        <v>94548.27</v>
      </c>
      <c r="D458" s="162">
        <v>1124.29</v>
      </c>
      <c r="E458" s="162">
        <v>1836.96</v>
      </c>
      <c r="F458" s="162">
        <v>91587.02</v>
      </c>
    </row>
    <row r="459" spans="1:6" x14ac:dyDescent="0.25">
      <c r="A459" s="3" t="s">
        <v>6</v>
      </c>
      <c r="B459" s="4">
        <v>43056</v>
      </c>
      <c r="C459" s="162">
        <v>195124.72</v>
      </c>
      <c r="D459" s="162">
        <v>1661.02</v>
      </c>
      <c r="F459" s="162">
        <v>193463.7</v>
      </c>
    </row>
    <row r="460" spans="1:6" x14ac:dyDescent="0.25">
      <c r="A460" s="3" t="s">
        <v>7</v>
      </c>
      <c r="B460" s="4">
        <v>43056</v>
      </c>
      <c r="C460" s="162">
        <v>51517.25</v>
      </c>
      <c r="E460" s="162">
        <v>53.74</v>
      </c>
      <c r="F460" s="162">
        <v>51463.51</v>
      </c>
    </row>
    <row r="461" spans="1:6" x14ac:dyDescent="0.25">
      <c r="A461" s="3" t="s">
        <v>8</v>
      </c>
      <c r="B461" s="4">
        <v>43056</v>
      </c>
      <c r="C461" s="162">
        <v>59068.41</v>
      </c>
      <c r="F461" s="162">
        <v>59068.41</v>
      </c>
    </row>
    <row r="462" spans="1:6" x14ac:dyDescent="0.25">
      <c r="A462" s="3" t="s">
        <v>9</v>
      </c>
      <c r="B462" s="4">
        <v>43056</v>
      </c>
      <c r="C462" s="162">
        <v>832880.99</v>
      </c>
      <c r="D462" s="162">
        <v>21184.91</v>
      </c>
      <c r="E462" s="162">
        <v>4.25</v>
      </c>
      <c r="F462" s="162">
        <v>811691.83</v>
      </c>
    </row>
    <row r="463" spans="1:6" x14ac:dyDescent="0.25">
      <c r="A463" s="3" t="s">
        <v>12</v>
      </c>
      <c r="B463" s="4">
        <v>43056</v>
      </c>
      <c r="C463" s="162">
        <v>78441.509999999995</v>
      </c>
      <c r="F463" s="162">
        <v>78441.509999999995</v>
      </c>
    </row>
    <row r="464" spans="1:6" x14ac:dyDescent="0.25">
      <c r="A464" s="3" t="s">
        <v>10</v>
      </c>
      <c r="B464" s="4">
        <v>43056</v>
      </c>
      <c r="C464" s="162">
        <v>63116.61</v>
      </c>
      <c r="E464" s="162">
        <v>231.46</v>
      </c>
      <c r="F464" s="162">
        <v>62885.15</v>
      </c>
    </row>
    <row r="465" spans="1:6" x14ac:dyDescent="0.25">
      <c r="A465" s="3" t="s">
        <v>14</v>
      </c>
      <c r="B465" s="4">
        <v>43056</v>
      </c>
      <c r="C465" s="162">
        <v>147155.79999999999</v>
      </c>
      <c r="E465" s="162">
        <v>695.67</v>
      </c>
      <c r="F465" s="162">
        <v>146460.13</v>
      </c>
    </row>
    <row r="466" spans="1:6" x14ac:dyDescent="0.25">
      <c r="A466" s="3" t="s">
        <v>11</v>
      </c>
      <c r="B466" s="4">
        <v>43060</v>
      </c>
      <c r="C466" s="162">
        <v>68093.919999999998</v>
      </c>
      <c r="D466" s="162" t="s">
        <v>18</v>
      </c>
      <c r="E466" s="162" t="s">
        <v>17</v>
      </c>
      <c r="F466" s="162">
        <v>68093.919999999998</v>
      </c>
    </row>
    <row r="467" spans="1:6" x14ac:dyDescent="0.25">
      <c r="A467" s="3" t="s">
        <v>6</v>
      </c>
      <c r="B467" s="4">
        <v>43060</v>
      </c>
      <c r="C467" s="162">
        <v>193310.52</v>
      </c>
      <c r="E467" s="162">
        <v>498.54</v>
      </c>
      <c r="F467" s="162">
        <v>192811.98</v>
      </c>
    </row>
    <row r="468" spans="1:6" x14ac:dyDescent="0.25">
      <c r="A468" s="3" t="s">
        <v>8</v>
      </c>
      <c r="B468" s="4">
        <v>43060</v>
      </c>
      <c r="C468" s="162">
        <v>11619.08</v>
      </c>
      <c r="D468" s="162">
        <v>9658.6</v>
      </c>
      <c r="E468" s="162">
        <v>250.5</v>
      </c>
      <c r="F468" s="162">
        <v>1709.98</v>
      </c>
    </row>
    <row r="469" spans="1:6" x14ac:dyDescent="0.25">
      <c r="A469" s="3" t="s">
        <v>11</v>
      </c>
      <c r="B469" s="4">
        <v>43061</v>
      </c>
      <c r="C469" s="162">
        <v>17281.04</v>
      </c>
      <c r="E469" s="162">
        <v>68.150000000000006</v>
      </c>
      <c r="F469" s="162">
        <v>17212.89</v>
      </c>
    </row>
    <row r="470" spans="1:6" x14ac:dyDescent="0.25">
      <c r="A470" s="3" t="s">
        <v>6</v>
      </c>
      <c r="B470" s="4">
        <v>43061</v>
      </c>
      <c r="C470" s="162">
        <v>291220.02</v>
      </c>
      <c r="E470" s="162">
        <v>227.61</v>
      </c>
      <c r="F470" s="162">
        <v>290992.40999999997</v>
      </c>
    </row>
    <row r="471" spans="1:6" x14ac:dyDescent="0.25">
      <c r="A471" s="3" t="s">
        <v>7</v>
      </c>
      <c r="B471" s="4">
        <v>43061</v>
      </c>
      <c r="C471" s="162">
        <v>391935.58</v>
      </c>
      <c r="D471" s="162">
        <v>531.39</v>
      </c>
      <c r="E471" s="162">
        <v>459.44</v>
      </c>
      <c r="F471" s="162">
        <v>390944.75</v>
      </c>
    </row>
    <row r="472" spans="1:6" x14ac:dyDescent="0.25">
      <c r="A472" s="3" t="s">
        <v>8</v>
      </c>
      <c r="B472" s="4">
        <v>43061</v>
      </c>
      <c r="C472" s="162">
        <v>141215.28</v>
      </c>
      <c r="D472" s="162">
        <v>2623.57</v>
      </c>
      <c r="E472" s="162">
        <v>85.28</v>
      </c>
      <c r="F472" s="162">
        <v>138506.43</v>
      </c>
    </row>
    <row r="473" spans="1:6" x14ac:dyDescent="0.25">
      <c r="A473" s="3" t="s">
        <v>12</v>
      </c>
      <c r="B473" s="4">
        <v>43061</v>
      </c>
      <c r="C473" s="162">
        <v>39777.31</v>
      </c>
      <c r="D473" s="162">
        <v>6225.53</v>
      </c>
      <c r="E473" s="162">
        <v>626.12</v>
      </c>
      <c r="F473" s="162">
        <v>32925.660000000003</v>
      </c>
    </row>
    <row r="474" spans="1:6" x14ac:dyDescent="0.25">
      <c r="A474" s="3" t="s">
        <v>10</v>
      </c>
      <c r="B474" s="4">
        <v>43061</v>
      </c>
      <c r="C474" s="162">
        <v>18697.650000000001</v>
      </c>
      <c r="F474" s="162">
        <v>18697.650000000001</v>
      </c>
    </row>
    <row r="475" spans="1:6" x14ac:dyDescent="0.25">
      <c r="A475" s="3" t="s">
        <v>11</v>
      </c>
      <c r="B475" s="4">
        <v>43062</v>
      </c>
      <c r="C475" s="162">
        <v>74031.08</v>
      </c>
      <c r="D475" s="162">
        <v>2541.36</v>
      </c>
      <c r="E475" s="162">
        <v>15.81</v>
      </c>
      <c r="F475" s="162">
        <v>71473.91</v>
      </c>
    </row>
    <row r="476" spans="1:6" x14ac:dyDescent="0.25">
      <c r="A476" s="3" t="s">
        <v>6</v>
      </c>
      <c r="B476" s="4">
        <v>43062</v>
      </c>
      <c r="C476" s="162">
        <v>25093.64</v>
      </c>
      <c r="F476" s="162">
        <v>25093.64</v>
      </c>
    </row>
    <row r="477" spans="1:6" x14ac:dyDescent="0.25">
      <c r="A477" s="3" t="s">
        <v>9</v>
      </c>
      <c r="B477" s="4">
        <v>43062</v>
      </c>
      <c r="C477" s="162">
        <v>14065.02</v>
      </c>
      <c r="D477" s="162">
        <v>2428.5300000000002</v>
      </c>
      <c r="E477" s="162">
        <v>38.25</v>
      </c>
      <c r="F477" s="162">
        <v>11598.24</v>
      </c>
    </row>
    <row r="478" spans="1:6" x14ac:dyDescent="0.25">
      <c r="A478" s="3" t="s">
        <v>8</v>
      </c>
      <c r="B478" s="4">
        <v>43062</v>
      </c>
      <c r="C478" s="162">
        <v>102061.17</v>
      </c>
      <c r="D478" s="162">
        <v>2610</v>
      </c>
      <c r="E478" s="162">
        <v>316.39999999999998</v>
      </c>
      <c r="F478" s="162">
        <v>99134.77</v>
      </c>
    </row>
    <row r="479" spans="1:6" x14ac:dyDescent="0.25">
      <c r="A479" s="3" t="s">
        <v>6</v>
      </c>
      <c r="B479" s="4">
        <v>43063</v>
      </c>
      <c r="C479" s="162">
        <v>37101.040000000001</v>
      </c>
      <c r="D479" s="162" t="s">
        <v>18</v>
      </c>
      <c r="E479" s="162">
        <v>7.53</v>
      </c>
      <c r="F479" s="162">
        <v>37093.51</v>
      </c>
    </row>
    <row r="480" spans="1:6" x14ac:dyDescent="0.25">
      <c r="A480" s="3" t="s">
        <v>7</v>
      </c>
      <c r="B480" s="4">
        <v>43063</v>
      </c>
      <c r="C480" s="162">
        <v>8770.44</v>
      </c>
      <c r="D480" s="162" t="s">
        <v>18</v>
      </c>
      <c r="E480" s="162" t="s">
        <v>17</v>
      </c>
      <c r="F480" s="162">
        <v>8770.44</v>
      </c>
    </row>
    <row r="481" spans="1:6" x14ac:dyDescent="0.25">
      <c r="A481" s="3" t="s">
        <v>8</v>
      </c>
      <c r="B481" s="4">
        <v>43063</v>
      </c>
      <c r="C481" s="162">
        <v>269128.5</v>
      </c>
      <c r="D481" s="162" t="s">
        <v>18</v>
      </c>
      <c r="E481" s="162" t="s">
        <v>17</v>
      </c>
      <c r="F481" s="162">
        <v>269128.5</v>
      </c>
    </row>
    <row r="482" spans="1:6" x14ac:dyDescent="0.25">
      <c r="A482" s="3" t="s">
        <v>11</v>
      </c>
      <c r="B482" s="4">
        <v>43063</v>
      </c>
      <c r="C482" s="162">
        <v>209445.22</v>
      </c>
      <c r="E482" s="162">
        <v>461.28</v>
      </c>
      <c r="F482" s="162">
        <v>208983.94</v>
      </c>
    </row>
    <row r="483" spans="1:6" x14ac:dyDescent="0.25">
      <c r="A483" s="3" t="s">
        <v>12</v>
      </c>
      <c r="B483" s="4">
        <v>43063</v>
      </c>
      <c r="C483" s="162">
        <v>145458.03</v>
      </c>
      <c r="D483" s="162">
        <v>881.3</v>
      </c>
      <c r="E483" s="162">
        <v>180.99</v>
      </c>
      <c r="F483" s="162">
        <v>144395.74</v>
      </c>
    </row>
    <row r="484" spans="1:6" x14ac:dyDescent="0.25">
      <c r="A484" s="3" t="s">
        <v>9</v>
      </c>
      <c r="B484" s="4">
        <v>43063</v>
      </c>
      <c r="C484" s="162">
        <v>287253.61</v>
      </c>
      <c r="D484" s="162" t="s">
        <v>18</v>
      </c>
      <c r="E484" s="162">
        <v>1594.07</v>
      </c>
      <c r="F484" s="162">
        <v>285659.53999999998</v>
      </c>
    </row>
    <row r="485" spans="1:6" x14ac:dyDescent="0.25">
      <c r="A485" s="3" t="s">
        <v>14</v>
      </c>
      <c r="B485" s="4">
        <v>43063</v>
      </c>
      <c r="C485" s="162">
        <v>57433.38</v>
      </c>
      <c r="E485" s="162">
        <v>723.75</v>
      </c>
      <c r="F485" s="162">
        <v>56709.63</v>
      </c>
    </row>
    <row r="486" spans="1:6" x14ac:dyDescent="0.25">
      <c r="A486" s="3" t="s">
        <v>15</v>
      </c>
      <c r="B486" s="4">
        <v>43063</v>
      </c>
      <c r="C486" s="162">
        <v>161858.23999999999</v>
      </c>
      <c r="E486" s="162">
        <v>4057.81</v>
      </c>
      <c r="F486" s="162">
        <v>157800.43</v>
      </c>
    </row>
    <row r="487" spans="1:6" x14ac:dyDescent="0.25">
      <c r="A487" s="3" t="s">
        <v>13</v>
      </c>
      <c r="B487" s="4">
        <v>43063</v>
      </c>
      <c r="C487" s="162">
        <v>10179.43</v>
      </c>
      <c r="F487" s="162">
        <v>10179.43</v>
      </c>
    </row>
    <row r="488" spans="1:6" x14ac:dyDescent="0.25">
      <c r="A488" s="3" t="s">
        <v>11</v>
      </c>
      <c r="B488" s="4">
        <v>43066</v>
      </c>
      <c r="C488" s="162">
        <v>136986.32</v>
      </c>
      <c r="F488" s="162">
        <v>136986.32</v>
      </c>
    </row>
    <row r="489" spans="1:6" x14ac:dyDescent="0.25">
      <c r="A489" s="3" t="s">
        <v>6</v>
      </c>
      <c r="B489" s="4">
        <v>43066</v>
      </c>
      <c r="C489" s="162">
        <v>143646.10999999999</v>
      </c>
      <c r="D489" s="162">
        <v>1645.97</v>
      </c>
      <c r="E489" s="162">
        <v>148.05000000000001</v>
      </c>
      <c r="F489" s="162">
        <v>141852.09</v>
      </c>
    </row>
    <row r="490" spans="1:6" x14ac:dyDescent="0.25">
      <c r="A490" s="3" t="s">
        <v>7</v>
      </c>
      <c r="B490" s="4">
        <v>43066</v>
      </c>
      <c r="C490" s="162">
        <v>124463.12</v>
      </c>
      <c r="E490" s="162">
        <v>377.68</v>
      </c>
      <c r="F490" s="162">
        <v>124085.44</v>
      </c>
    </row>
    <row r="491" spans="1:6" x14ac:dyDescent="0.25">
      <c r="A491" s="3" t="s">
        <v>8</v>
      </c>
      <c r="B491" s="4">
        <v>43066</v>
      </c>
      <c r="C491" s="162">
        <v>498659.07</v>
      </c>
      <c r="F491" s="162">
        <v>498659.07</v>
      </c>
    </row>
    <row r="492" spans="1:6" x14ac:dyDescent="0.25">
      <c r="A492" s="3" t="s">
        <v>12</v>
      </c>
      <c r="B492" s="4">
        <v>43066</v>
      </c>
      <c r="C492" s="162">
        <v>30824.13</v>
      </c>
      <c r="E492" s="162">
        <v>627.52</v>
      </c>
      <c r="F492" s="162">
        <v>30196.61</v>
      </c>
    </row>
    <row r="493" spans="1:6" x14ac:dyDescent="0.25">
      <c r="A493" s="3" t="s">
        <v>14</v>
      </c>
      <c r="B493" s="4">
        <v>43066</v>
      </c>
      <c r="C493" s="162">
        <v>24852.25</v>
      </c>
      <c r="F493" s="162">
        <v>24852.25</v>
      </c>
    </row>
    <row r="494" spans="1:6" x14ac:dyDescent="0.25">
      <c r="A494" s="3" t="s">
        <v>11</v>
      </c>
      <c r="B494" s="4">
        <v>43067</v>
      </c>
      <c r="C494" s="162">
        <v>101951.62</v>
      </c>
      <c r="F494" s="162">
        <v>101951.62</v>
      </c>
    </row>
    <row r="495" spans="1:6" x14ac:dyDescent="0.25">
      <c r="A495" s="3" t="s">
        <v>6</v>
      </c>
      <c r="B495" s="4">
        <v>43067</v>
      </c>
      <c r="C495" s="162">
        <v>59795.78</v>
      </c>
      <c r="E495" s="162">
        <v>17.38</v>
      </c>
      <c r="F495" s="162">
        <v>59778.400000000001</v>
      </c>
    </row>
    <row r="496" spans="1:6" x14ac:dyDescent="0.25">
      <c r="A496" s="3" t="s">
        <v>8</v>
      </c>
      <c r="B496" s="4">
        <v>43067</v>
      </c>
      <c r="C496" s="162">
        <v>102595.19</v>
      </c>
      <c r="E496" s="162">
        <v>426.36</v>
      </c>
      <c r="F496" s="162">
        <v>102168.83</v>
      </c>
    </row>
    <row r="497" spans="1:6" x14ac:dyDescent="0.25">
      <c r="A497" s="3" t="s">
        <v>11</v>
      </c>
      <c r="B497" s="4">
        <v>43068</v>
      </c>
      <c r="C497" s="162">
        <v>15628.65</v>
      </c>
      <c r="F497" s="162">
        <v>15628.65</v>
      </c>
    </row>
    <row r="498" spans="1:6" x14ac:dyDescent="0.25">
      <c r="A498" s="3" t="s">
        <v>6</v>
      </c>
      <c r="B498" s="4">
        <v>43068</v>
      </c>
      <c r="C498" s="162">
        <v>135438.85</v>
      </c>
      <c r="F498" s="162">
        <v>135438.85</v>
      </c>
    </row>
    <row r="499" spans="1:6" x14ac:dyDescent="0.25">
      <c r="A499" s="3" t="s">
        <v>7</v>
      </c>
      <c r="B499" s="4">
        <v>43068</v>
      </c>
      <c r="C499" s="162">
        <v>106911.81</v>
      </c>
      <c r="D499" s="162">
        <v>3100.94</v>
      </c>
      <c r="E499" s="162">
        <v>456.88</v>
      </c>
      <c r="F499" s="162">
        <v>103353.99</v>
      </c>
    </row>
    <row r="500" spans="1:6" x14ac:dyDescent="0.25">
      <c r="A500" s="3" t="s">
        <v>8</v>
      </c>
      <c r="B500" s="4">
        <v>43068</v>
      </c>
      <c r="C500" s="162">
        <v>58405.5</v>
      </c>
      <c r="F500" s="162">
        <v>58405.5</v>
      </c>
    </row>
    <row r="501" spans="1:6" x14ac:dyDescent="0.25">
      <c r="A501" s="3" t="s">
        <v>9</v>
      </c>
      <c r="B501" s="4">
        <v>43068</v>
      </c>
      <c r="C501" s="162">
        <v>761523.08</v>
      </c>
      <c r="D501" s="162">
        <v>53501.08</v>
      </c>
      <c r="E501" s="162">
        <v>317.62</v>
      </c>
      <c r="F501" s="162">
        <v>707704.38</v>
      </c>
    </row>
    <row r="502" spans="1:6" x14ac:dyDescent="0.25">
      <c r="A502" s="3" t="s">
        <v>11</v>
      </c>
      <c r="B502" s="4">
        <v>43069</v>
      </c>
      <c r="C502" s="162">
        <v>283685.49</v>
      </c>
      <c r="E502" s="162">
        <v>720.76</v>
      </c>
      <c r="F502" s="162">
        <v>282964.73</v>
      </c>
    </row>
    <row r="503" spans="1:6" x14ac:dyDescent="0.25">
      <c r="A503" s="3" t="s">
        <v>7</v>
      </c>
      <c r="B503" s="4">
        <v>43069</v>
      </c>
      <c r="C503" s="162">
        <v>154707.72</v>
      </c>
      <c r="E503" s="162">
        <v>15.65</v>
      </c>
      <c r="F503" s="162">
        <v>154692.07</v>
      </c>
    </row>
    <row r="504" spans="1:6" x14ac:dyDescent="0.25">
      <c r="A504" s="3" t="s">
        <v>6</v>
      </c>
      <c r="B504" s="4">
        <v>43069</v>
      </c>
      <c r="C504" s="162">
        <v>255285.7</v>
      </c>
      <c r="F504" s="162">
        <v>255285.7</v>
      </c>
    </row>
    <row r="505" spans="1:6" x14ac:dyDescent="0.25">
      <c r="A505" s="3" t="s">
        <v>9</v>
      </c>
      <c r="B505" s="4">
        <v>43069</v>
      </c>
      <c r="C505" s="162">
        <v>410439.78</v>
      </c>
      <c r="F505" s="162">
        <v>410439.78</v>
      </c>
    </row>
    <row r="506" spans="1:6" x14ac:dyDescent="0.25">
      <c r="A506" s="3" t="s">
        <v>8</v>
      </c>
      <c r="B506" s="4">
        <v>43069</v>
      </c>
      <c r="C506" s="162">
        <v>11570.06</v>
      </c>
      <c r="E506" s="162">
        <v>89.96</v>
      </c>
      <c r="F506" s="162">
        <v>11480.1</v>
      </c>
    </row>
    <row r="507" spans="1:6" x14ac:dyDescent="0.25">
      <c r="A507" s="3" t="s">
        <v>12</v>
      </c>
      <c r="B507" s="4">
        <v>43069</v>
      </c>
      <c r="C507" s="162">
        <v>303578.15999999997</v>
      </c>
      <c r="F507" s="162">
        <v>303578.15999999997</v>
      </c>
    </row>
    <row r="508" spans="1:6" x14ac:dyDescent="0.25">
      <c r="A508" s="3" t="s">
        <v>14</v>
      </c>
      <c r="B508" s="4">
        <v>43069</v>
      </c>
      <c r="C508" s="162">
        <v>62995.040000000001</v>
      </c>
      <c r="E508" s="162">
        <v>191.23</v>
      </c>
      <c r="F508" s="162">
        <v>62803.81</v>
      </c>
    </row>
    <row r="509" spans="1:6" x14ac:dyDescent="0.25">
      <c r="A509" s="3" t="s">
        <v>11</v>
      </c>
      <c r="B509" s="4">
        <v>43070</v>
      </c>
      <c r="C509" s="162">
        <v>46493.04</v>
      </c>
      <c r="E509" s="162">
        <v>789.24</v>
      </c>
      <c r="F509" s="162">
        <v>45703.8</v>
      </c>
    </row>
    <row r="510" spans="1:6" x14ac:dyDescent="0.25">
      <c r="A510" s="3" t="s">
        <v>6</v>
      </c>
      <c r="B510" s="4">
        <v>43070</v>
      </c>
      <c r="C510" s="162">
        <v>56696.480000000003</v>
      </c>
      <c r="D510" s="162">
        <v>4613.13</v>
      </c>
      <c r="E510" s="162">
        <v>5.97</v>
      </c>
      <c r="F510" s="162">
        <v>52077.38</v>
      </c>
    </row>
    <row r="511" spans="1:6" x14ac:dyDescent="0.25">
      <c r="A511" s="3" t="s">
        <v>7</v>
      </c>
      <c r="B511" s="4">
        <v>43070</v>
      </c>
      <c r="C511" s="162">
        <v>91937.83</v>
      </c>
      <c r="E511" s="162">
        <v>71.48</v>
      </c>
      <c r="F511" s="162">
        <v>91866.35</v>
      </c>
    </row>
    <row r="512" spans="1:6" x14ac:dyDescent="0.25">
      <c r="A512" s="3" t="s">
        <v>8</v>
      </c>
      <c r="B512" s="4">
        <v>43070</v>
      </c>
      <c r="C512" s="162">
        <v>83357.86</v>
      </c>
      <c r="F512" s="162">
        <v>83357.86</v>
      </c>
    </row>
    <row r="513" spans="1:6" x14ac:dyDescent="0.25">
      <c r="A513" s="3" t="s">
        <v>9</v>
      </c>
      <c r="B513" s="4">
        <v>43070</v>
      </c>
      <c r="C513" s="162">
        <v>115254.56</v>
      </c>
      <c r="E513" s="162">
        <v>298.61</v>
      </c>
      <c r="F513" s="162">
        <v>114955.95</v>
      </c>
    </row>
    <row r="514" spans="1:6" x14ac:dyDescent="0.25">
      <c r="A514" s="3" t="s">
        <v>12</v>
      </c>
      <c r="B514" s="4">
        <v>43070</v>
      </c>
      <c r="C514" s="162">
        <v>152945.29999999999</v>
      </c>
      <c r="F514" s="162">
        <v>152945.29999999999</v>
      </c>
    </row>
    <row r="515" spans="1:6" x14ac:dyDescent="0.25">
      <c r="A515" s="3" t="s">
        <v>10</v>
      </c>
      <c r="B515" s="4">
        <v>43070</v>
      </c>
      <c r="C515" s="162">
        <v>91141</v>
      </c>
      <c r="D515" s="162">
        <v>14607.17</v>
      </c>
      <c r="E515" s="162">
        <v>31.62</v>
      </c>
      <c r="F515" s="162">
        <v>76502.210000000006</v>
      </c>
    </row>
    <row r="516" spans="1:6" x14ac:dyDescent="0.25">
      <c r="A516" s="3" t="s">
        <v>14</v>
      </c>
      <c r="B516" s="4">
        <v>43070</v>
      </c>
      <c r="C516" s="162">
        <v>495809.89</v>
      </c>
      <c r="F516" s="162">
        <v>495809.89</v>
      </c>
    </row>
    <row r="517" spans="1:6" x14ac:dyDescent="0.25">
      <c r="A517" s="3" t="s">
        <v>15</v>
      </c>
      <c r="B517" s="4">
        <v>43070</v>
      </c>
      <c r="C517" s="162">
        <v>71980.899999999994</v>
      </c>
      <c r="F517" s="162">
        <v>71980.899999999994</v>
      </c>
    </row>
    <row r="518" spans="1:6" x14ac:dyDescent="0.25">
      <c r="A518" s="3" t="s">
        <v>11</v>
      </c>
      <c r="B518" s="4">
        <v>43073</v>
      </c>
      <c r="C518" s="162">
        <v>156463.17000000001</v>
      </c>
      <c r="F518" s="162">
        <v>156463.17000000001</v>
      </c>
    </row>
    <row r="519" spans="1:6" x14ac:dyDescent="0.25">
      <c r="A519" s="3" t="s">
        <v>6</v>
      </c>
      <c r="B519" s="4">
        <v>43073</v>
      </c>
      <c r="C519" s="162">
        <v>73055.17</v>
      </c>
      <c r="D519" s="162">
        <v>4983.75</v>
      </c>
      <c r="E519" s="162">
        <v>5.97</v>
      </c>
      <c r="F519" s="162">
        <v>68065.45</v>
      </c>
    </row>
    <row r="520" spans="1:6" x14ac:dyDescent="0.25">
      <c r="A520" s="3" t="s">
        <v>7</v>
      </c>
      <c r="B520" s="4">
        <v>43073</v>
      </c>
      <c r="C520" s="162">
        <v>3060.45</v>
      </c>
      <c r="F520" s="162">
        <v>3060.45</v>
      </c>
    </row>
    <row r="521" spans="1:6" x14ac:dyDescent="0.25">
      <c r="A521" s="3" t="s">
        <v>9</v>
      </c>
      <c r="B521" s="4">
        <v>43073</v>
      </c>
      <c r="C521" s="162">
        <v>209807.29</v>
      </c>
      <c r="E521" s="162">
        <v>53.65</v>
      </c>
      <c r="F521" s="162">
        <v>209753.64</v>
      </c>
    </row>
    <row r="522" spans="1:6" x14ac:dyDescent="0.25">
      <c r="A522" s="3" t="s">
        <v>11</v>
      </c>
      <c r="B522" s="4">
        <v>43074</v>
      </c>
      <c r="C522" s="162">
        <v>10766.13</v>
      </c>
      <c r="F522" s="162">
        <v>10766.13</v>
      </c>
    </row>
    <row r="523" spans="1:6" x14ac:dyDescent="0.25">
      <c r="A523" s="3" t="s">
        <v>6</v>
      </c>
      <c r="B523" s="4">
        <v>43074</v>
      </c>
      <c r="C523" s="162">
        <v>39038.370000000003</v>
      </c>
      <c r="D523" s="162">
        <v>3102.9</v>
      </c>
      <c r="E523" s="162">
        <v>11.94</v>
      </c>
      <c r="F523" s="162">
        <v>35923.53</v>
      </c>
    </row>
    <row r="524" spans="1:6" x14ac:dyDescent="0.25">
      <c r="A524" s="3" t="s">
        <v>7</v>
      </c>
      <c r="B524" s="4">
        <v>43074</v>
      </c>
      <c r="C524" s="162">
        <v>153055.54</v>
      </c>
      <c r="E524" s="162">
        <v>34.659999999999997</v>
      </c>
      <c r="F524" s="162">
        <v>153020.88</v>
      </c>
    </row>
    <row r="525" spans="1:6" x14ac:dyDescent="0.25">
      <c r="A525" s="3" t="s">
        <v>8</v>
      </c>
      <c r="B525" s="4">
        <v>43074</v>
      </c>
      <c r="C525" s="162">
        <v>399720.34</v>
      </c>
      <c r="F525" s="162">
        <v>399720.34</v>
      </c>
    </row>
    <row r="526" spans="1:6" x14ac:dyDescent="0.25">
      <c r="A526" s="3" t="s">
        <v>9</v>
      </c>
      <c r="B526" s="4">
        <v>43074</v>
      </c>
      <c r="C526" s="162">
        <v>255173.1</v>
      </c>
      <c r="E526" s="162">
        <v>92.81</v>
      </c>
      <c r="F526" s="162">
        <v>255080.29</v>
      </c>
    </row>
    <row r="527" spans="1:6" x14ac:dyDescent="0.25">
      <c r="A527" s="3" t="s">
        <v>12</v>
      </c>
      <c r="B527" s="4">
        <v>43074</v>
      </c>
      <c r="C527" s="162">
        <v>225377.54</v>
      </c>
      <c r="D527" s="162">
        <v>27982.74</v>
      </c>
      <c r="E527" s="162">
        <v>1696.81</v>
      </c>
      <c r="F527" s="162">
        <v>195697.99</v>
      </c>
    </row>
    <row r="528" spans="1:6" x14ac:dyDescent="0.25">
      <c r="A528" s="3" t="s">
        <v>11</v>
      </c>
      <c r="B528" s="4">
        <v>43075</v>
      </c>
      <c r="C528" s="162">
        <v>989558.02</v>
      </c>
      <c r="E528" s="162">
        <v>1858.35</v>
      </c>
      <c r="F528" s="162">
        <v>987699.67</v>
      </c>
    </row>
    <row r="529" spans="1:6" x14ac:dyDescent="0.25">
      <c r="A529" s="3" t="s">
        <v>6</v>
      </c>
      <c r="B529" s="4">
        <v>43075</v>
      </c>
      <c r="C529" s="162">
        <v>348962.15</v>
      </c>
      <c r="F529" s="162">
        <v>348962.15</v>
      </c>
    </row>
    <row r="530" spans="1:6" x14ac:dyDescent="0.25">
      <c r="A530" s="3" t="s">
        <v>7</v>
      </c>
      <c r="B530" s="4">
        <v>43075</v>
      </c>
      <c r="C530" s="162">
        <v>176659.87</v>
      </c>
      <c r="F530" s="162">
        <v>176659.87</v>
      </c>
    </row>
    <row r="531" spans="1:6" x14ac:dyDescent="0.25">
      <c r="A531" s="3" t="s">
        <v>9</v>
      </c>
      <c r="B531" s="4">
        <v>43075</v>
      </c>
      <c r="C531" s="162">
        <v>189081.71</v>
      </c>
      <c r="E531" s="162">
        <v>502.1</v>
      </c>
      <c r="F531" s="162">
        <v>188579.61</v>
      </c>
    </row>
    <row r="532" spans="1:6" x14ac:dyDescent="0.25">
      <c r="A532" s="3" t="s">
        <v>11</v>
      </c>
      <c r="B532" s="4">
        <v>43076</v>
      </c>
      <c r="C532" s="162">
        <v>90591.9</v>
      </c>
      <c r="D532" s="162">
        <v>4974.16</v>
      </c>
      <c r="E532" s="162">
        <v>5.97</v>
      </c>
      <c r="F532" s="162">
        <v>85611.77</v>
      </c>
    </row>
    <row r="533" spans="1:6" x14ac:dyDescent="0.25">
      <c r="A533" s="3" t="s">
        <v>6</v>
      </c>
      <c r="B533" s="4">
        <v>43076</v>
      </c>
      <c r="C533" s="162">
        <v>145420.87</v>
      </c>
      <c r="F533" s="162">
        <v>145420.87</v>
      </c>
    </row>
    <row r="534" spans="1:6" x14ac:dyDescent="0.25">
      <c r="A534" s="3" t="s">
        <v>7</v>
      </c>
      <c r="B534" s="4">
        <v>43076</v>
      </c>
      <c r="C534" s="162">
        <v>94431.54</v>
      </c>
      <c r="E534" s="162">
        <v>32.08</v>
      </c>
      <c r="F534" s="162">
        <v>94399.46</v>
      </c>
    </row>
    <row r="535" spans="1:6" x14ac:dyDescent="0.25">
      <c r="A535" s="3" t="s">
        <v>8</v>
      </c>
      <c r="B535" s="4">
        <v>43076</v>
      </c>
      <c r="C535" s="162">
        <v>295225</v>
      </c>
      <c r="E535" s="162">
        <v>552</v>
      </c>
      <c r="F535" s="162">
        <v>294673</v>
      </c>
    </row>
    <row r="536" spans="1:6" x14ac:dyDescent="0.25">
      <c r="A536" s="3" t="s">
        <v>12</v>
      </c>
      <c r="B536" s="4">
        <v>43076</v>
      </c>
      <c r="C536" s="162">
        <v>155828.99</v>
      </c>
      <c r="E536" s="162">
        <v>42.11</v>
      </c>
      <c r="F536" s="162">
        <v>155786.88</v>
      </c>
    </row>
    <row r="537" spans="1:6" x14ac:dyDescent="0.25">
      <c r="A537" s="3" t="s">
        <v>11</v>
      </c>
      <c r="B537" s="4">
        <v>43077</v>
      </c>
      <c r="C537" s="162">
        <v>218500.03</v>
      </c>
      <c r="D537" s="162">
        <v>2679.26</v>
      </c>
      <c r="E537" s="162">
        <v>438.25</v>
      </c>
      <c r="F537" s="162">
        <v>215382.52</v>
      </c>
    </row>
    <row r="538" spans="1:6" x14ac:dyDescent="0.25">
      <c r="A538" s="3" t="s">
        <v>7</v>
      </c>
      <c r="B538" s="4">
        <v>43077</v>
      </c>
      <c r="C538" s="162">
        <v>316263.95</v>
      </c>
      <c r="D538" s="162">
        <v>22007.49</v>
      </c>
      <c r="E538" s="162">
        <v>160.97999999999999</v>
      </c>
      <c r="F538" s="162">
        <v>294095.48</v>
      </c>
    </row>
    <row r="539" spans="1:6" x14ac:dyDescent="0.25">
      <c r="A539" s="3" t="s">
        <v>6</v>
      </c>
      <c r="B539" s="4">
        <v>43077</v>
      </c>
      <c r="C539" s="162">
        <v>103575.61</v>
      </c>
      <c r="F539" s="162">
        <v>103575.61</v>
      </c>
    </row>
    <row r="540" spans="1:6" x14ac:dyDescent="0.25">
      <c r="A540" s="3" t="s">
        <v>8</v>
      </c>
      <c r="B540" s="4">
        <v>43077</v>
      </c>
      <c r="C540" s="162">
        <v>172652.06</v>
      </c>
      <c r="F540" s="162">
        <v>172652.06</v>
      </c>
    </row>
    <row r="541" spans="1:6" x14ac:dyDescent="0.25">
      <c r="A541" s="3" t="s">
        <v>9</v>
      </c>
      <c r="B541" s="4">
        <v>43077</v>
      </c>
      <c r="C541" s="162">
        <v>250329.82</v>
      </c>
      <c r="E541" s="162">
        <v>658.19</v>
      </c>
      <c r="F541" s="162">
        <v>249671.63</v>
      </c>
    </row>
    <row r="542" spans="1:6" x14ac:dyDescent="0.25">
      <c r="A542" s="3" t="s">
        <v>12</v>
      </c>
      <c r="B542" s="4">
        <v>43077</v>
      </c>
      <c r="C542" s="162">
        <v>82526.69</v>
      </c>
      <c r="D542" s="162">
        <v>1464.56</v>
      </c>
      <c r="E542" s="162">
        <v>550.59</v>
      </c>
      <c r="F542" s="162">
        <v>80511.539999999994</v>
      </c>
    </row>
    <row r="543" spans="1:6" x14ac:dyDescent="0.25">
      <c r="A543" s="3" t="s">
        <v>15</v>
      </c>
      <c r="B543" s="4">
        <v>43077</v>
      </c>
      <c r="C543" s="162">
        <v>123045.4</v>
      </c>
      <c r="E543" s="162">
        <v>71.290000000000006</v>
      </c>
      <c r="F543" s="162">
        <v>122974.11</v>
      </c>
    </row>
    <row r="544" spans="1:6" x14ac:dyDescent="0.25">
      <c r="A544" s="3" t="s">
        <v>10</v>
      </c>
      <c r="B544" s="4">
        <v>43077</v>
      </c>
      <c r="C544" s="162">
        <v>117274.87</v>
      </c>
      <c r="F544" s="162">
        <v>117274.87</v>
      </c>
    </row>
    <row r="545" spans="1:6" x14ac:dyDescent="0.25">
      <c r="A545" s="3" t="s">
        <v>13</v>
      </c>
      <c r="B545" s="4">
        <v>43077</v>
      </c>
      <c r="C545" s="162">
        <v>91861.87</v>
      </c>
      <c r="D545" s="162">
        <v>4613.1099999999997</v>
      </c>
      <c r="E545" s="162">
        <v>68.72</v>
      </c>
      <c r="F545" s="162">
        <v>87180.04</v>
      </c>
    </row>
    <row r="546" spans="1:6" x14ac:dyDescent="0.25">
      <c r="A546" s="3" t="s">
        <v>11</v>
      </c>
      <c r="B546" s="4">
        <v>43080</v>
      </c>
      <c r="C546" s="162">
        <v>40710.199999999997</v>
      </c>
      <c r="F546" s="162">
        <v>40710.199999999997</v>
      </c>
    </row>
    <row r="547" spans="1:6" x14ac:dyDescent="0.25">
      <c r="A547" s="3" t="s">
        <v>6</v>
      </c>
      <c r="B547" s="4">
        <v>43080</v>
      </c>
      <c r="C547" s="162">
        <v>96799.5</v>
      </c>
      <c r="E547" s="162">
        <v>154.13999999999999</v>
      </c>
      <c r="F547" s="162">
        <v>96645.36</v>
      </c>
    </row>
    <row r="548" spans="1:6" x14ac:dyDescent="0.25">
      <c r="A548" s="3" t="s">
        <v>7</v>
      </c>
      <c r="B548" s="4">
        <v>43080</v>
      </c>
      <c r="C548" s="162">
        <v>106279.38</v>
      </c>
      <c r="E548" s="162">
        <v>84.18</v>
      </c>
      <c r="F548" s="162">
        <v>106195.2</v>
      </c>
    </row>
    <row r="549" spans="1:6" x14ac:dyDescent="0.25">
      <c r="A549" s="3" t="s">
        <v>8</v>
      </c>
      <c r="B549" s="4">
        <v>43080</v>
      </c>
      <c r="C549" s="162">
        <v>267408.38</v>
      </c>
      <c r="F549" s="162">
        <v>267408.38</v>
      </c>
    </row>
    <row r="550" spans="1:6" x14ac:dyDescent="0.25">
      <c r="A550" s="3" t="s">
        <v>9</v>
      </c>
      <c r="B550" s="4">
        <v>43080</v>
      </c>
      <c r="C550" s="162">
        <v>420092.69</v>
      </c>
      <c r="D550" s="162">
        <v>33620.25</v>
      </c>
      <c r="E550" s="162">
        <v>1.46</v>
      </c>
      <c r="F550" s="162">
        <v>386470.98</v>
      </c>
    </row>
    <row r="551" spans="1:6" x14ac:dyDescent="0.25">
      <c r="A551" s="3" t="s">
        <v>12</v>
      </c>
      <c r="B551" s="4">
        <v>43080</v>
      </c>
      <c r="C551" s="162">
        <v>1778285.36</v>
      </c>
      <c r="F551" s="162">
        <v>1778285.36</v>
      </c>
    </row>
    <row r="552" spans="1:6" x14ac:dyDescent="0.25">
      <c r="A552" s="3" t="s">
        <v>10</v>
      </c>
      <c r="B552" s="4">
        <v>43080</v>
      </c>
      <c r="C552" s="162">
        <v>86845.18</v>
      </c>
      <c r="E552" s="162">
        <v>365.9</v>
      </c>
      <c r="F552" s="162">
        <v>86479.28</v>
      </c>
    </row>
    <row r="553" spans="1:6" x14ac:dyDescent="0.25">
      <c r="A553" s="3" t="s">
        <v>13</v>
      </c>
      <c r="B553" s="4">
        <v>43080</v>
      </c>
      <c r="C553" s="162">
        <v>70585.740000000005</v>
      </c>
      <c r="D553" s="162">
        <v>2247.77</v>
      </c>
      <c r="E553" s="162">
        <v>11.8</v>
      </c>
      <c r="F553" s="162">
        <v>68326.17</v>
      </c>
    </row>
    <row r="554" spans="1:6" x14ac:dyDescent="0.25">
      <c r="A554" s="3" t="s">
        <v>15</v>
      </c>
      <c r="B554" s="4">
        <v>43080</v>
      </c>
      <c r="C554" s="162">
        <v>199875.99</v>
      </c>
      <c r="D554" s="162">
        <v>6093.39</v>
      </c>
      <c r="E554" s="162">
        <v>959.15</v>
      </c>
      <c r="F554" s="162">
        <v>192823.45</v>
      </c>
    </row>
    <row r="555" spans="1:6" x14ac:dyDescent="0.25">
      <c r="A555" s="3" t="s">
        <v>11</v>
      </c>
      <c r="B555" s="4">
        <v>43081</v>
      </c>
      <c r="C555" s="162">
        <v>408237.4</v>
      </c>
      <c r="F555" s="162">
        <v>408237.4</v>
      </c>
    </row>
    <row r="556" spans="1:6" x14ac:dyDescent="0.25">
      <c r="A556" s="3" t="s">
        <v>6</v>
      </c>
      <c r="B556" s="4">
        <v>43081</v>
      </c>
      <c r="C556" s="162">
        <v>69272.649999999994</v>
      </c>
      <c r="D556" s="162">
        <v>4955.03</v>
      </c>
      <c r="E556" s="162">
        <v>5.97</v>
      </c>
      <c r="F556" s="162">
        <v>64311.65</v>
      </c>
    </row>
    <row r="557" spans="1:6" x14ac:dyDescent="0.25">
      <c r="A557" s="3" t="s">
        <v>7</v>
      </c>
      <c r="B557" s="4">
        <v>43081</v>
      </c>
      <c r="C557" s="162">
        <v>36997.49</v>
      </c>
      <c r="F557" s="162">
        <v>36997.49</v>
      </c>
    </row>
    <row r="558" spans="1:6" x14ac:dyDescent="0.25">
      <c r="A558" s="3" t="s">
        <v>12</v>
      </c>
      <c r="B558" s="4">
        <v>43081</v>
      </c>
      <c r="C558" s="162">
        <v>524901.30000000005</v>
      </c>
      <c r="E558" s="162">
        <v>236.52</v>
      </c>
      <c r="F558" s="162">
        <v>524664.78</v>
      </c>
    </row>
    <row r="559" spans="1:6" x14ac:dyDescent="0.25">
      <c r="A559" s="3" t="s">
        <v>10</v>
      </c>
      <c r="B559" s="4">
        <v>43081</v>
      </c>
      <c r="C559" s="162">
        <v>117491.77</v>
      </c>
      <c r="F559" s="162">
        <v>117491.77</v>
      </c>
    </row>
    <row r="560" spans="1:6" x14ac:dyDescent="0.25">
      <c r="A560" s="3" t="s">
        <v>9</v>
      </c>
      <c r="B560" s="4">
        <v>43081</v>
      </c>
      <c r="C560" s="162">
        <v>76764.12</v>
      </c>
      <c r="D560" s="162">
        <v>3505.17</v>
      </c>
      <c r="F560" s="162">
        <v>73258.95</v>
      </c>
    </row>
    <row r="561" spans="1:6" x14ac:dyDescent="0.25">
      <c r="A561" s="3" t="s">
        <v>8</v>
      </c>
      <c r="B561" s="4">
        <v>43081</v>
      </c>
      <c r="C561" s="162">
        <v>101519.59</v>
      </c>
      <c r="F561" s="162">
        <v>101519.59</v>
      </c>
    </row>
    <row r="562" spans="1:6" x14ac:dyDescent="0.25">
      <c r="A562" s="3" t="s">
        <v>14</v>
      </c>
      <c r="B562" s="4">
        <v>43081</v>
      </c>
      <c r="C562" s="162">
        <v>8190.12</v>
      </c>
      <c r="F562" s="162">
        <v>8190.12</v>
      </c>
    </row>
    <row r="563" spans="1:6" x14ac:dyDescent="0.25">
      <c r="A563" s="3" t="s">
        <v>11</v>
      </c>
      <c r="B563" s="4">
        <v>43082</v>
      </c>
      <c r="C563" s="162">
        <v>34337.589999999997</v>
      </c>
      <c r="D563" s="162">
        <v>1004.85</v>
      </c>
      <c r="E563" s="162">
        <v>201.86</v>
      </c>
      <c r="F563" s="162">
        <v>33130.879999999997</v>
      </c>
    </row>
    <row r="564" spans="1:6" x14ac:dyDescent="0.25">
      <c r="A564" s="3" t="s">
        <v>6</v>
      </c>
      <c r="B564" s="4">
        <v>43082</v>
      </c>
      <c r="C564" s="162">
        <v>80097.490000000005</v>
      </c>
      <c r="E564" s="162">
        <v>161.1</v>
      </c>
      <c r="F564" s="162">
        <v>79936.39</v>
      </c>
    </row>
    <row r="565" spans="1:6" x14ac:dyDescent="0.25">
      <c r="A565" s="3" t="s">
        <v>7</v>
      </c>
      <c r="B565" s="4">
        <v>43082</v>
      </c>
      <c r="C565" s="162">
        <v>145773.87</v>
      </c>
      <c r="F565" s="162">
        <v>145773.87</v>
      </c>
    </row>
    <row r="566" spans="1:6" x14ac:dyDescent="0.25">
      <c r="A566" s="3" t="s">
        <v>9</v>
      </c>
      <c r="B566" s="4">
        <v>43082</v>
      </c>
      <c r="C566" s="162">
        <v>287394.3</v>
      </c>
      <c r="E566" s="162">
        <v>3644</v>
      </c>
      <c r="F566" s="162">
        <v>283750.3</v>
      </c>
    </row>
    <row r="567" spans="1:6" x14ac:dyDescent="0.25">
      <c r="A567" s="3" t="s">
        <v>12</v>
      </c>
      <c r="B567" s="4">
        <v>43082</v>
      </c>
      <c r="C567" s="162">
        <v>166847.25</v>
      </c>
      <c r="F567" s="162">
        <v>166847.25</v>
      </c>
    </row>
    <row r="568" spans="1:6" x14ac:dyDescent="0.25">
      <c r="A568" s="3" t="s">
        <v>14</v>
      </c>
      <c r="B568" s="4">
        <v>43082</v>
      </c>
      <c r="C568" s="162">
        <v>129100.19</v>
      </c>
      <c r="D568" s="162">
        <v>160.63</v>
      </c>
      <c r="E568" s="162">
        <v>3723.37</v>
      </c>
      <c r="F568" s="162">
        <v>125216.19</v>
      </c>
    </row>
    <row r="569" spans="1:6" x14ac:dyDescent="0.25">
      <c r="A569" s="3" t="s">
        <v>13</v>
      </c>
      <c r="B569" s="4">
        <v>43082</v>
      </c>
      <c r="C569" s="162">
        <v>44322.39</v>
      </c>
      <c r="D569" s="162">
        <v>6288.83</v>
      </c>
      <c r="E569" s="162">
        <v>46.55</v>
      </c>
      <c r="F569" s="162">
        <v>37987.01</v>
      </c>
    </row>
    <row r="570" spans="1:6" x14ac:dyDescent="0.25">
      <c r="A570" s="3" t="s">
        <v>15</v>
      </c>
      <c r="B570" s="4">
        <v>43082</v>
      </c>
      <c r="C570" s="162">
        <v>146678.78</v>
      </c>
      <c r="F570" s="162">
        <v>146678.78</v>
      </c>
    </row>
    <row r="571" spans="1:6" x14ac:dyDescent="0.25">
      <c r="A571" s="3" t="s">
        <v>11</v>
      </c>
      <c r="B571" s="4">
        <v>43083</v>
      </c>
      <c r="C571" s="162">
        <v>113210.82</v>
      </c>
      <c r="D571" s="162">
        <v>13041.11</v>
      </c>
      <c r="E571" s="162">
        <v>47.43</v>
      </c>
      <c r="F571" s="162">
        <v>100122.28</v>
      </c>
    </row>
    <row r="572" spans="1:6" x14ac:dyDescent="0.25">
      <c r="A572" s="3" t="s">
        <v>6</v>
      </c>
      <c r="B572" s="4">
        <v>43083</v>
      </c>
      <c r="C572" s="162">
        <v>148457.20000000001</v>
      </c>
      <c r="F572" s="162">
        <v>148457.20000000001</v>
      </c>
    </row>
    <row r="573" spans="1:6" x14ac:dyDescent="0.25">
      <c r="A573" s="3" t="s">
        <v>7</v>
      </c>
      <c r="B573" s="4">
        <v>43083</v>
      </c>
      <c r="C573" s="162">
        <v>264328.71999999997</v>
      </c>
      <c r="E573" s="162">
        <v>17.52</v>
      </c>
      <c r="F573" s="162">
        <v>264311.2</v>
      </c>
    </row>
    <row r="574" spans="1:6" x14ac:dyDescent="0.25">
      <c r="A574" s="3" t="s">
        <v>11</v>
      </c>
      <c r="B574" s="4">
        <v>43084</v>
      </c>
      <c r="C574" s="162">
        <v>294248.14</v>
      </c>
      <c r="D574" s="162">
        <v>64180.32</v>
      </c>
      <c r="E574" s="162">
        <v>84.13</v>
      </c>
      <c r="F574" s="162">
        <v>229983.69</v>
      </c>
    </row>
    <row r="575" spans="1:6" x14ac:dyDescent="0.25">
      <c r="A575" s="3" t="s">
        <v>6</v>
      </c>
      <c r="B575" s="4">
        <v>43084</v>
      </c>
      <c r="C575" s="162">
        <v>10498.47</v>
      </c>
      <c r="D575" s="162">
        <v>9951.48</v>
      </c>
      <c r="F575" s="162">
        <v>546.99</v>
      </c>
    </row>
    <row r="576" spans="1:6" x14ac:dyDescent="0.25">
      <c r="A576" s="3" t="s">
        <v>11</v>
      </c>
      <c r="B576" s="4">
        <v>43087</v>
      </c>
      <c r="C576" s="162">
        <v>233088.7</v>
      </c>
      <c r="F576" s="162">
        <v>233088.7</v>
      </c>
    </row>
    <row r="577" spans="1:6" x14ac:dyDescent="0.25">
      <c r="A577" s="3" t="s">
        <v>6</v>
      </c>
      <c r="B577" s="4">
        <v>43087</v>
      </c>
      <c r="C577" s="162">
        <v>61029.39</v>
      </c>
      <c r="D577" s="162">
        <v>4639.83</v>
      </c>
      <c r="E577" s="162">
        <v>590.87</v>
      </c>
      <c r="F577" s="162">
        <v>55798.69</v>
      </c>
    </row>
    <row r="578" spans="1:6" x14ac:dyDescent="0.25">
      <c r="A578" s="3" t="s">
        <v>7</v>
      </c>
      <c r="B578" s="4">
        <v>43087</v>
      </c>
      <c r="C578" s="162">
        <v>46766.82</v>
      </c>
      <c r="F578" s="162">
        <v>46766.82</v>
      </c>
    </row>
    <row r="579" spans="1:6" x14ac:dyDescent="0.25">
      <c r="A579" s="3" t="s">
        <v>8</v>
      </c>
      <c r="B579" s="4">
        <v>43087</v>
      </c>
      <c r="C579" s="162">
        <v>441521.42</v>
      </c>
      <c r="E579" s="162">
        <v>2393.88</v>
      </c>
      <c r="F579" s="162">
        <v>439127.54</v>
      </c>
    </row>
    <row r="580" spans="1:6" x14ac:dyDescent="0.25">
      <c r="A580" s="3" t="s">
        <v>9</v>
      </c>
      <c r="B580" s="4">
        <v>43087</v>
      </c>
      <c r="C580" s="162">
        <v>445033.81</v>
      </c>
      <c r="D580" s="162">
        <v>20173.66</v>
      </c>
      <c r="E580" s="162">
        <v>110.47</v>
      </c>
      <c r="F580" s="162">
        <v>424749.68</v>
      </c>
    </row>
    <row r="581" spans="1:6" x14ac:dyDescent="0.25">
      <c r="A581" s="3" t="s">
        <v>12</v>
      </c>
      <c r="B581" s="4">
        <v>43087</v>
      </c>
      <c r="C581" s="162">
        <v>353597.55</v>
      </c>
      <c r="F581" s="162">
        <v>353597.55</v>
      </c>
    </row>
    <row r="582" spans="1:6" x14ac:dyDescent="0.25">
      <c r="A582" s="3" t="s">
        <v>10</v>
      </c>
      <c r="B582" s="4">
        <v>43087</v>
      </c>
      <c r="C582" s="162">
        <v>94994.09</v>
      </c>
      <c r="E582" s="162">
        <v>422.44</v>
      </c>
      <c r="F582" s="162">
        <v>94571.65</v>
      </c>
    </row>
    <row r="583" spans="1:6" x14ac:dyDescent="0.25">
      <c r="A583" s="3" t="s">
        <v>13</v>
      </c>
      <c r="B583" s="4">
        <v>43087</v>
      </c>
      <c r="C583" s="162">
        <v>70468.789999999994</v>
      </c>
      <c r="F583" s="162">
        <v>70468.789999999994</v>
      </c>
    </row>
    <row r="584" spans="1:6" x14ac:dyDescent="0.25">
      <c r="A584" s="3" t="s">
        <v>11</v>
      </c>
      <c r="B584" s="4">
        <v>43088</v>
      </c>
      <c r="C584" s="162">
        <v>148433.41</v>
      </c>
      <c r="F584" s="162">
        <v>148433.41</v>
      </c>
    </row>
    <row r="585" spans="1:6" x14ac:dyDescent="0.25">
      <c r="A585" s="3" t="s">
        <v>6</v>
      </c>
      <c r="B585" s="4">
        <v>43088</v>
      </c>
      <c r="C585" s="162">
        <v>241001.04</v>
      </c>
      <c r="D585" s="162">
        <v>12409.66</v>
      </c>
      <c r="E585" s="162">
        <v>335.14</v>
      </c>
      <c r="F585" s="162">
        <v>228256.24</v>
      </c>
    </row>
    <row r="586" spans="1:6" x14ac:dyDescent="0.25">
      <c r="A586" s="3" t="s">
        <v>9</v>
      </c>
      <c r="B586" s="4">
        <v>43088</v>
      </c>
      <c r="C586" s="162">
        <v>225923.95</v>
      </c>
      <c r="D586" s="162">
        <v>686.63</v>
      </c>
      <c r="E586" s="162">
        <v>883.09</v>
      </c>
      <c r="F586" s="162">
        <v>224354.23</v>
      </c>
    </row>
    <row r="587" spans="1:6" x14ac:dyDescent="0.25">
      <c r="A587" s="3" t="s">
        <v>8</v>
      </c>
      <c r="B587" s="4">
        <v>43088</v>
      </c>
      <c r="C587" s="162">
        <v>74429.820000000007</v>
      </c>
      <c r="F587" s="162">
        <v>74429.820000000007</v>
      </c>
    </row>
    <row r="588" spans="1:6" x14ac:dyDescent="0.25">
      <c r="A588" s="3" t="s">
        <v>11</v>
      </c>
      <c r="B588" s="4">
        <v>43089</v>
      </c>
      <c r="C588" s="162">
        <v>411662.17</v>
      </c>
      <c r="F588" s="162">
        <v>411662.17</v>
      </c>
    </row>
    <row r="589" spans="1:6" x14ac:dyDescent="0.25">
      <c r="A589" s="3" t="s">
        <v>7</v>
      </c>
      <c r="B589" s="4">
        <v>43089</v>
      </c>
      <c r="C589" s="162">
        <v>791681.06</v>
      </c>
      <c r="F589" s="162">
        <v>791681.06</v>
      </c>
    </row>
    <row r="590" spans="1:6" x14ac:dyDescent="0.25">
      <c r="A590" s="3" t="s">
        <v>6</v>
      </c>
      <c r="B590" s="4">
        <v>43089</v>
      </c>
      <c r="C590" s="162">
        <v>251743.93</v>
      </c>
      <c r="E590" s="162">
        <v>67.290000000000006</v>
      </c>
      <c r="F590" s="162">
        <v>251676.64</v>
      </c>
    </row>
    <row r="591" spans="1:6" x14ac:dyDescent="0.25">
      <c r="A591" s="3" t="s">
        <v>8</v>
      </c>
      <c r="B591" s="4">
        <v>43089</v>
      </c>
      <c r="C591" s="162">
        <v>796991.07</v>
      </c>
      <c r="D591" s="162">
        <v>48096.9</v>
      </c>
      <c r="E591" s="162">
        <v>61.96</v>
      </c>
      <c r="F591" s="162">
        <v>748832.21</v>
      </c>
    </row>
    <row r="592" spans="1:6" x14ac:dyDescent="0.25">
      <c r="A592" s="3" t="s">
        <v>6</v>
      </c>
      <c r="B592" s="4">
        <v>43090</v>
      </c>
      <c r="C592" s="162">
        <v>796991.07</v>
      </c>
      <c r="D592" s="162">
        <v>48096.9</v>
      </c>
      <c r="E592" s="162">
        <v>748894.17</v>
      </c>
      <c r="F592" s="162" t="s">
        <v>17</v>
      </c>
    </row>
    <row r="593" spans="1:6" x14ac:dyDescent="0.25">
      <c r="A593" s="3" t="s">
        <v>7</v>
      </c>
      <c r="B593" s="4">
        <v>43090</v>
      </c>
      <c r="C593" s="162">
        <v>791681.06</v>
      </c>
      <c r="E593" s="162">
        <v>791681.06</v>
      </c>
      <c r="F593" s="162" t="s">
        <v>17</v>
      </c>
    </row>
    <row r="594" spans="1:6" x14ac:dyDescent="0.25">
      <c r="A594" s="3" t="s">
        <v>8</v>
      </c>
      <c r="B594" s="4">
        <v>43090</v>
      </c>
      <c r="C594" s="162">
        <v>151973.70000000001</v>
      </c>
      <c r="E594" s="162">
        <v>151973.70000000001</v>
      </c>
      <c r="F594" s="162" t="s">
        <v>17</v>
      </c>
    </row>
    <row r="595" spans="1:6" x14ac:dyDescent="0.25">
      <c r="A595" s="3" t="s">
        <v>9</v>
      </c>
      <c r="B595" s="4">
        <v>43090</v>
      </c>
      <c r="C595" s="162">
        <v>22952.02</v>
      </c>
      <c r="D595" s="162">
        <v>17762.21</v>
      </c>
      <c r="E595" s="162">
        <v>409.1</v>
      </c>
      <c r="F595" s="162">
        <v>4780.71</v>
      </c>
    </row>
    <row r="596" spans="1:6" x14ac:dyDescent="0.25">
      <c r="A596" s="3" t="s">
        <v>10</v>
      </c>
      <c r="B596" s="4">
        <v>43090</v>
      </c>
      <c r="C596" s="162">
        <v>791148.08</v>
      </c>
      <c r="F596" s="162">
        <v>791148.08</v>
      </c>
    </row>
    <row r="597" spans="1:6" x14ac:dyDescent="0.25">
      <c r="A597" s="3" t="s">
        <v>14</v>
      </c>
      <c r="B597" s="4">
        <v>43090</v>
      </c>
      <c r="C597" s="162">
        <v>48091.85</v>
      </c>
      <c r="F597" s="162">
        <v>48091.85</v>
      </c>
    </row>
    <row r="598" spans="1:6" x14ac:dyDescent="0.25">
      <c r="A598" s="3" t="s">
        <v>13</v>
      </c>
      <c r="B598" s="4">
        <v>43090</v>
      </c>
      <c r="C598" s="162">
        <v>272275.3</v>
      </c>
      <c r="D598" s="162">
        <v>4217.5600000000004</v>
      </c>
      <c r="F598" s="162">
        <v>268057.74</v>
      </c>
    </row>
    <row r="599" spans="1:6" x14ac:dyDescent="0.25">
      <c r="A599" s="3" t="s">
        <v>15</v>
      </c>
      <c r="B599" s="4">
        <v>43090</v>
      </c>
      <c r="C599" s="162">
        <v>54354.91</v>
      </c>
      <c r="D599" s="162">
        <v>4974.16</v>
      </c>
      <c r="E599" s="162">
        <v>495.03</v>
      </c>
      <c r="F599" s="162">
        <v>48885.72</v>
      </c>
    </row>
    <row r="600" spans="1:6" x14ac:dyDescent="0.25">
      <c r="A600" s="3" t="s">
        <v>20</v>
      </c>
      <c r="B600" s="4">
        <v>43090</v>
      </c>
      <c r="C600" s="162">
        <v>129128.35</v>
      </c>
      <c r="F600" s="162">
        <v>129128.35</v>
      </c>
    </row>
    <row r="601" spans="1:6" x14ac:dyDescent="0.25">
      <c r="A601" s="3" t="s">
        <v>16</v>
      </c>
      <c r="B601" s="4">
        <v>43090</v>
      </c>
      <c r="C601" s="162">
        <v>135189.63</v>
      </c>
      <c r="D601" s="162">
        <v>1111.3599999999999</v>
      </c>
      <c r="E601" s="162">
        <v>1411.78</v>
      </c>
      <c r="F601" s="162">
        <v>132666.49</v>
      </c>
    </row>
    <row r="602" spans="1:6" x14ac:dyDescent="0.25">
      <c r="A602" s="3" t="s">
        <v>11</v>
      </c>
      <c r="B602" s="4">
        <v>43091</v>
      </c>
      <c r="C602" s="162">
        <v>83145.429999999993</v>
      </c>
      <c r="D602" s="162">
        <v>2118.34</v>
      </c>
      <c r="E602" s="162">
        <v>148.24</v>
      </c>
      <c r="F602" s="162">
        <v>80878.850000000006</v>
      </c>
    </row>
    <row r="603" spans="1:6" x14ac:dyDescent="0.25">
      <c r="A603" s="3" t="s">
        <v>7</v>
      </c>
      <c r="B603" s="4">
        <v>43091</v>
      </c>
      <c r="C603" s="162">
        <v>187589.48</v>
      </c>
      <c r="F603" s="162">
        <v>187589.48</v>
      </c>
    </row>
    <row r="604" spans="1:6" x14ac:dyDescent="0.25">
      <c r="A604" s="3" t="s">
        <v>8</v>
      </c>
      <c r="B604" s="4">
        <v>43091</v>
      </c>
      <c r="C604" s="162">
        <v>66346.039999999994</v>
      </c>
      <c r="E604" s="162">
        <v>9.11</v>
      </c>
      <c r="F604" s="162">
        <v>66336.929999999993</v>
      </c>
    </row>
    <row r="605" spans="1:6" x14ac:dyDescent="0.25">
      <c r="A605" s="3" t="s">
        <v>6</v>
      </c>
      <c r="B605" s="4">
        <v>43091</v>
      </c>
      <c r="C605" s="162">
        <v>91258.96</v>
      </c>
      <c r="D605" s="162">
        <v>11667.36</v>
      </c>
      <c r="E605" s="162">
        <v>42.16</v>
      </c>
      <c r="F605" s="162">
        <v>79549.440000000002</v>
      </c>
    </row>
    <row r="606" spans="1:6" x14ac:dyDescent="0.25">
      <c r="A606" s="3" t="s">
        <v>9</v>
      </c>
      <c r="B606" s="4">
        <v>43091</v>
      </c>
      <c r="C606" s="162">
        <v>453950.65</v>
      </c>
      <c r="F606" s="162">
        <v>453950.65</v>
      </c>
    </row>
    <row r="607" spans="1:6" x14ac:dyDescent="0.25">
      <c r="A607" s="3" t="s">
        <v>14</v>
      </c>
      <c r="B607" s="4">
        <v>43091</v>
      </c>
      <c r="C607" s="162">
        <v>23190.560000000001</v>
      </c>
      <c r="E607" s="162">
        <v>272.76</v>
      </c>
      <c r="F607" s="162">
        <v>22917.8</v>
      </c>
    </row>
    <row r="608" spans="1:6" x14ac:dyDescent="0.25">
      <c r="A608" s="3" t="s">
        <v>11</v>
      </c>
      <c r="B608" s="4">
        <v>43095</v>
      </c>
      <c r="C608" s="162">
        <v>207800.65</v>
      </c>
      <c r="D608" s="162">
        <v>18255.060000000001</v>
      </c>
      <c r="F608" s="162">
        <v>189545.59</v>
      </c>
    </row>
    <row r="609" spans="1:6" x14ac:dyDescent="0.25">
      <c r="A609" s="3" t="s">
        <v>6</v>
      </c>
      <c r="B609" s="4">
        <v>43095</v>
      </c>
      <c r="C609" s="162">
        <v>412509.42</v>
      </c>
      <c r="F609" s="162">
        <v>412509.42</v>
      </c>
    </row>
    <row r="610" spans="1:6" x14ac:dyDescent="0.25">
      <c r="A610" s="3" t="s">
        <v>7</v>
      </c>
      <c r="B610" s="4">
        <v>43095</v>
      </c>
      <c r="C610" s="162">
        <v>104902.21</v>
      </c>
      <c r="F610" s="162">
        <v>104902.21</v>
      </c>
    </row>
    <row r="611" spans="1:6" x14ac:dyDescent="0.25">
      <c r="A611" s="3" t="s">
        <v>8</v>
      </c>
      <c r="B611" s="4">
        <v>43095</v>
      </c>
      <c r="C611" s="162">
        <v>85511.38</v>
      </c>
      <c r="D611" s="162">
        <v>4648.7299999999996</v>
      </c>
      <c r="E611" s="162">
        <v>210.1</v>
      </c>
      <c r="F611" s="162">
        <v>80652.55</v>
      </c>
    </row>
    <row r="612" spans="1:6" x14ac:dyDescent="0.25">
      <c r="A612" s="3" t="s">
        <v>10</v>
      </c>
      <c r="B612" s="4">
        <v>43095</v>
      </c>
      <c r="C612" s="162">
        <v>14731.51</v>
      </c>
      <c r="E612" s="162">
        <v>55.08</v>
      </c>
      <c r="F612" s="162">
        <v>14676.43</v>
      </c>
    </row>
    <row r="613" spans="1:6" x14ac:dyDescent="0.25">
      <c r="A613" s="3" t="s">
        <v>11</v>
      </c>
      <c r="B613" s="4">
        <v>43096</v>
      </c>
      <c r="C613" s="162">
        <v>208393.76</v>
      </c>
      <c r="E613" s="162">
        <v>54.06</v>
      </c>
      <c r="F613" s="162">
        <v>208339.7</v>
      </c>
    </row>
    <row r="614" spans="1:6" x14ac:dyDescent="0.25">
      <c r="A614" s="3" t="s">
        <v>6</v>
      </c>
      <c r="B614" s="4">
        <v>43096</v>
      </c>
      <c r="C614" s="162">
        <v>158333.71</v>
      </c>
      <c r="E614" s="162">
        <v>72.150000000000006</v>
      </c>
      <c r="F614" s="162">
        <v>158261.56</v>
      </c>
    </row>
    <row r="615" spans="1:6" x14ac:dyDescent="0.25">
      <c r="A615" s="3" t="s">
        <v>8</v>
      </c>
      <c r="B615" s="4">
        <v>43096</v>
      </c>
      <c r="C615" s="162">
        <v>190318.05</v>
      </c>
      <c r="F615" s="162">
        <v>190318.05</v>
      </c>
    </row>
    <row r="616" spans="1:6" x14ac:dyDescent="0.25">
      <c r="A616" s="3" t="s">
        <v>9</v>
      </c>
      <c r="B616" s="4">
        <v>43096</v>
      </c>
      <c r="C616" s="162">
        <v>40050.620000000003</v>
      </c>
      <c r="E616" s="162">
        <v>29.19</v>
      </c>
      <c r="F616" s="162">
        <v>40021.43</v>
      </c>
    </row>
    <row r="617" spans="1:6" x14ac:dyDescent="0.25">
      <c r="A617" s="3" t="s">
        <v>6</v>
      </c>
      <c r="B617" s="4">
        <v>43102</v>
      </c>
      <c r="C617" s="162">
        <v>117983.21</v>
      </c>
      <c r="E617" s="162">
        <v>771.1</v>
      </c>
      <c r="F617" s="162">
        <v>117212.11</v>
      </c>
    </row>
    <row r="618" spans="1:6" x14ac:dyDescent="0.25">
      <c r="A618" s="3" t="s">
        <v>7</v>
      </c>
      <c r="B618" s="4">
        <v>43102</v>
      </c>
      <c r="C618" s="162">
        <v>346312.37</v>
      </c>
      <c r="F618" s="162">
        <v>346312.37</v>
      </c>
    </row>
    <row r="619" spans="1:6" x14ac:dyDescent="0.25">
      <c r="A619" s="3" t="s">
        <v>25</v>
      </c>
      <c r="B619" s="4">
        <v>43102</v>
      </c>
      <c r="C619" s="162">
        <v>80553.33</v>
      </c>
      <c r="F619" s="162">
        <v>80553.33</v>
      </c>
    </row>
    <row r="620" spans="1:6" x14ac:dyDescent="0.25">
      <c r="A620" s="3" t="s">
        <v>10</v>
      </c>
      <c r="B620" s="4">
        <v>43102</v>
      </c>
      <c r="C620" s="162">
        <v>136054.18</v>
      </c>
      <c r="D620" s="162">
        <v>3213.45</v>
      </c>
      <c r="F620" s="162">
        <v>132840.73000000001</v>
      </c>
    </row>
    <row r="621" spans="1:6" x14ac:dyDescent="0.25">
      <c r="A621" s="3" t="s">
        <v>14</v>
      </c>
      <c r="B621" s="4">
        <v>43102</v>
      </c>
      <c r="C621" s="162">
        <v>716546.73</v>
      </c>
      <c r="E621" s="162">
        <v>1949.15</v>
      </c>
      <c r="F621" s="162">
        <v>714597.58</v>
      </c>
    </row>
    <row r="622" spans="1:6" x14ac:dyDescent="0.25">
      <c r="A622" s="3" t="s">
        <v>11</v>
      </c>
      <c r="B622" s="4">
        <v>43103</v>
      </c>
      <c r="C622" s="162">
        <v>142157.54999999999</v>
      </c>
      <c r="F622" s="162">
        <v>142157.54999999999</v>
      </c>
    </row>
    <row r="623" spans="1:6" x14ac:dyDescent="0.25">
      <c r="A623" s="3" t="s">
        <v>6</v>
      </c>
      <c r="B623" s="4">
        <v>43103</v>
      </c>
      <c r="C623" s="162">
        <v>99577.97</v>
      </c>
      <c r="F623" s="162">
        <v>99577.97</v>
      </c>
    </row>
    <row r="624" spans="1:6" x14ac:dyDescent="0.25">
      <c r="A624" s="3" t="s">
        <v>6</v>
      </c>
      <c r="B624" s="4">
        <v>43104</v>
      </c>
      <c r="C624" s="162">
        <v>316168.57</v>
      </c>
      <c r="F624" s="162">
        <v>316168.57</v>
      </c>
    </row>
    <row r="625" spans="1:6" x14ac:dyDescent="0.25">
      <c r="A625" s="3" t="s">
        <v>8</v>
      </c>
      <c r="B625" s="4">
        <v>43104</v>
      </c>
      <c r="C625" s="162">
        <v>60243.74</v>
      </c>
      <c r="D625" s="162">
        <v>1909.26</v>
      </c>
      <c r="E625" s="162">
        <v>178.99</v>
      </c>
      <c r="F625" s="162">
        <v>58155.49</v>
      </c>
    </row>
    <row r="626" spans="1:6" x14ac:dyDescent="0.25">
      <c r="A626" s="3" t="s">
        <v>7</v>
      </c>
      <c r="B626" s="4">
        <v>43104</v>
      </c>
      <c r="C626" s="162">
        <v>397740.98</v>
      </c>
      <c r="E626" s="162">
        <v>58.12</v>
      </c>
      <c r="F626" s="162">
        <v>397682.86</v>
      </c>
    </row>
    <row r="627" spans="1:6" x14ac:dyDescent="0.25">
      <c r="A627" s="3" t="s">
        <v>12</v>
      </c>
      <c r="B627" s="4">
        <v>43104</v>
      </c>
      <c r="C627" s="162">
        <v>34532.449999999997</v>
      </c>
      <c r="F627" s="162">
        <v>34532.449999999997</v>
      </c>
    </row>
    <row r="628" spans="1:6" x14ac:dyDescent="0.25">
      <c r="A628" s="3" t="s">
        <v>9</v>
      </c>
      <c r="B628" s="4">
        <v>43105</v>
      </c>
      <c r="C628" s="162">
        <v>83614.69</v>
      </c>
      <c r="D628" s="162">
        <v>3625.19</v>
      </c>
      <c r="E628" s="162">
        <v>3.03</v>
      </c>
      <c r="F628" s="162">
        <v>79986.47</v>
      </c>
    </row>
    <row r="629" spans="1:6" x14ac:dyDescent="0.25">
      <c r="A629" s="3" t="s">
        <v>12</v>
      </c>
      <c r="B629" s="4">
        <v>43105</v>
      </c>
      <c r="C629" s="162">
        <v>45835.66</v>
      </c>
      <c r="F629" s="162">
        <v>45835.66</v>
      </c>
    </row>
    <row r="630" spans="1:6" x14ac:dyDescent="0.25">
      <c r="A630" s="3" t="s">
        <v>11</v>
      </c>
      <c r="B630" s="4">
        <v>43105</v>
      </c>
      <c r="C630" s="162">
        <v>320285.15000000002</v>
      </c>
      <c r="E630" s="162">
        <v>121.46</v>
      </c>
      <c r="F630" s="162">
        <v>320163.69</v>
      </c>
    </row>
    <row r="631" spans="1:6" x14ac:dyDescent="0.25">
      <c r="A631" s="3" t="s">
        <v>6</v>
      </c>
      <c r="B631" s="4">
        <v>43105</v>
      </c>
      <c r="C631" s="162">
        <v>651633.16</v>
      </c>
      <c r="F631" s="162">
        <v>651633.16</v>
      </c>
    </row>
    <row r="632" spans="1:6" x14ac:dyDescent="0.25">
      <c r="A632" s="3" t="s">
        <v>7</v>
      </c>
      <c r="B632" s="4">
        <v>43105</v>
      </c>
      <c r="C632" s="162">
        <v>27427.8</v>
      </c>
      <c r="F632" s="162">
        <v>27427.8</v>
      </c>
    </row>
    <row r="633" spans="1:6" x14ac:dyDescent="0.25">
      <c r="A633" s="3" t="s">
        <v>8</v>
      </c>
      <c r="B633" s="4">
        <v>43105</v>
      </c>
      <c r="C633" s="162">
        <v>51257.97</v>
      </c>
      <c r="D633" s="162">
        <v>1090.74</v>
      </c>
      <c r="E633" s="162">
        <v>63.92</v>
      </c>
      <c r="F633" s="162">
        <v>50103.31</v>
      </c>
    </row>
    <row r="634" spans="1:6" x14ac:dyDescent="0.25">
      <c r="A634" s="3" t="s">
        <v>11</v>
      </c>
      <c r="B634" s="4">
        <v>43108</v>
      </c>
      <c r="C634" s="162">
        <v>16446.91</v>
      </c>
      <c r="D634" s="162">
        <v>3706.62</v>
      </c>
      <c r="E634" s="162">
        <v>967.1</v>
      </c>
      <c r="F634" s="162">
        <v>11773.19</v>
      </c>
    </row>
    <row r="635" spans="1:6" x14ac:dyDescent="0.25">
      <c r="A635" s="3" t="s">
        <v>6</v>
      </c>
      <c r="B635" s="4">
        <v>43108</v>
      </c>
      <c r="C635" s="162">
        <v>42355.98</v>
      </c>
      <c r="D635" s="162">
        <v>10064.61</v>
      </c>
      <c r="F635" s="162">
        <v>32291.37</v>
      </c>
    </row>
    <row r="636" spans="1:6" x14ac:dyDescent="0.25">
      <c r="A636" s="3" t="s">
        <v>8</v>
      </c>
      <c r="B636" s="4">
        <v>43108</v>
      </c>
      <c r="C636" s="162">
        <v>144675.32999999999</v>
      </c>
      <c r="D636" s="162">
        <v>21481.42</v>
      </c>
      <c r="F636" s="162">
        <v>123193.91</v>
      </c>
    </row>
    <row r="637" spans="1:6" x14ac:dyDescent="0.25">
      <c r="A637" s="3" t="s">
        <v>10</v>
      </c>
      <c r="B637" s="4">
        <v>43108</v>
      </c>
      <c r="C637" s="162">
        <v>42023.01</v>
      </c>
      <c r="F637" s="162">
        <v>42023.01</v>
      </c>
    </row>
    <row r="638" spans="1:6" x14ac:dyDescent="0.25">
      <c r="A638" s="3" t="s">
        <v>7</v>
      </c>
      <c r="B638" s="4">
        <v>43108</v>
      </c>
      <c r="C638" s="162">
        <v>78958.740000000005</v>
      </c>
      <c r="D638" s="162">
        <v>1326.88</v>
      </c>
      <c r="E638" s="162">
        <v>5.27</v>
      </c>
      <c r="F638" s="162">
        <v>77626.59</v>
      </c>
    </row>
    <row r="639" spans="1:6" x14ac:dyDescent="0.25">
      <c r="A639" s="3" t="s">
        <v>9</v>
      </c>
      <c r="B639" s="4">
        <v>43108</v>
      </c>
      <c r="C639" s="162">
        <v>27728.31</v>
      </c>
      <c r="F639" s="162">
        <v>27728.31</v>
      </c>
    </row>
    <row r="640" spans="1:6" x14ac:dyDescent="0.25">
      <c r="A640" s="3" t="s">
        <v>11</v>
      </c>
      <c r="B640" s="4">
        <v>43109</v>
      </c>
      <c r="C640" s="162">
        <v>231676.16</v>
      </c>
      <c r="D640" s="162">
        <v>1103.6500000000001</v>
      </c>
      <c r="E640" s="162">
        <v>3836.29</v>
      </c>
      <c r="F640" s="162">
        <v>226736.22</v>
      </c>
    </row>
    <row r="641" spans="1:6" x14ac:dyDescent="0.25">
      <c r="A641" s="3" t="s">
        <v>6</v>
      </c>
      <c r="B641" s="4">
        <v>43109</v>
      </c>
      <c r="C641" s="162">
        <v>71909.710000000006</v>
      </c>
      <c r="F641" s="162">
        <v>71909.710000000006</v>
      </c>
    </row>
    <row r="642" spans="1:6" x14ac:dyDescent="0.25">
      <c r="A642" s="3" t="s">
        <v>9</v>
      </c>
      <c r="B642" s="4">
        <v>43109</v>
      </c>
      <c r="C642" s="162">
        <v>196262.97</v>
      </c>
      <c r="D642" s="162">
        <v>16809.150000000001</v>
      </c>
      <c r="E642" s="162">
        <v>2235.83</v>
      </c>
      <c r="F642" s="162">
        <v>177217.99</v>
      </c>
    </row>
    <row r="643" spans="1:6" x14ac:dyDescent="0.25">
      <c r="A643" s="3" t="s">
        <v>8</v>
      </c>
      <c r="B643" s="4">
        <v>43109</v>
      </c>
      <c r="C643" s="162">
        <v>41436.81</v>
      </c>
      <c r="E643" s="162">
        <v>265.10000000000002</v>
      </c>
      <c r="F643" s="162">
        <v>41171.71</v>
      </c>
    </row>
    <row r="644" spans="1:6" x14ac:dyDescent="0.25">
      <c r="A644" s="3" t="s">
        <v>11</v>
      </c>
      <c r="B644" s="4">
        <v>43110</v>
      </c>
      <c r="C644" s="162">
        <v>9039.07</v>
      </c>
      <c r="E644" s="162">
        <v>388.56</v>
      </c>
      <c r="F644" s="162">
        <v>8650.51</v>
      </c>
    </row>
    <row r="645" spans="1:6" x14ac:dyDescent="0.25">
      <c r="A645" s="3" t="s">
        <v>7</v>
      </c>
      <c r="B645" s="4">
        <v>43110</v>
      </c>
      <c r="C645" s="162">
        <v>107496.77</v>
      </c>
      <c r="D645" s="162">
        <v>6948.33</v>
      </c>
      <c r="E645" s="162">
        <v>406.97</v>
      </c>
      <c r="F645" s="162">
        <v>100141.47</v>
      </c>
    </row>
    <row r="646" spans="1:6" x14ac:dyDescent="0.25">
      <c r="A646" s="3" t="s">
        <v>8</v>
      </c>
      <c r="B646" s="4">
        <v>43110</v>
      </c>
      <c r="C646" s="162">
        <v>328792.82</v>
      </c>
      <c r="D646" s="162">
        <v>10102.700000000001</v>
      </c>
      <c r="F646" s="162">
        <v>318690.12</v>
      </c>
    </row>
    <row r="647" spans="1:6" x14ac:dyDescent="0.25">
      <c r="A647" s="3" t="s">
        <v>9</v>
      </c>
      <c r="B647" s="4">
        <v>43110</v>
      </c>
      <c r="C647" s="162">
        <v>15229.7</v>
      </c>
      <c r="F647" s="162">
        <v>15229.7</v>
      </c>
    </row>
    <row r="648" spans="1:6" x14ac:dyDescent="0.25">
      <c r="A648" s="3" t="s">
        <v>10</v>
      </c>
      <c r="B648" s="4">
        <v>43110</v>
      </c>
      <c r="C648" s="162">
        <v>43568.44</v>
      </c>
      <c r="F648" s="162">
        <v>43568.44</v>
      </c>
    </row>
    <row r="649" spans="1:6" x14ac:dyDescent="0.25">
      <c r="A649" s="3" t="s">
        <v>11</v>
      </c>
      <c r="B649" s="4">
        <v>43111</v>
      </c>
      <c r="C649" s="162">
        <v>55353.62</v>
      </c>
      <c r="E649" s="162">
        <v>505.7</v>
      </c>
      <c r="F649" s="162">
        <v>54847.92</v>
      </c>
    </row>
    <row r="650" spans="1:6" x14ac:dyDescent="0.25">
      <c r="A650" s="3" t="s">
        <v>6</v>
      </c>
      <c r="B650" s="4">
        <v>43111</v>
      </c>
      <c r="C650" s="162">
        <v>121178.44</v>
      </c>
      <c r="F650" s="162">
        <v>121178.44</v>
      </c>
    </row>
    <row r="651" spans="1:6" x14ac:dyDescent="0.25">
      <c r="A651" s="3" t="s">
        <v>7</v>
      </c>
      <c r="B651" s="4">
        <v>43111</v>
      </c>
      <c r="C651" s="162">
        <v>135772.99</v>
      </c>
      <c r="E651" s="162">
        <v>255.49</v>
      </c>
      <c r="F651" s="162">
        <v>135517.5</v>
      </c>
    </row>
    <row r="652" spans="1:6" x14ac:dyDescent="0.25">
      <c r="A652" s="3" t="s">
        <v>8</v>
      </c>
      <c r="B652" s="4">
        <v>43111</v>
      </c>
      <c r="C652" s="162">
        <v>264680.15999999997</v>
      </c>
      <c r="D652" s="162">
        <v>13346.1</v>
      </c>
      <c r="E652" s="162">
        <v>3335.55</v>
      </c>
      <c r="F652" s="162">
        <v>247998.51</v>
      </c>
    </row>
    <row r="653" spans="1:6" x14ac:dyDescent="0.25">
      <c r="A653" s="3" t="s">
        <v>9</v>
      </c>
      <c r="B653" s="4">
        <v>43111</v>
      </c>
      <c r="C653" s="162">
        <v>73742.73</v>
      </c>
      <c r="F653" s="162">
        <v>73742.73</v>
      </c>
    </row>
    <row r="654" spans="1:6" x14ac:dyDescent="0.25">
      <c r="A654" s="3" t="s">
        <v>11</v>
      </c>
      <c r="B654" s="4">
        <v>43112</v>
      </c>
      <c r="C654" s="162">
        <v>504834.72</v>
      </c>
      <c r="D654" s="162">
        <v>1580.97</v>
      </c>
      <c r="F654" s="162">
        <v>503253.75</v>
      </c>
    </row>
    <row r="655" spans="1:6" x14ac:dyDescent="0.25">
      <c r="A655" s="3" t="s">
        <v>7</v>
      </c>
      <c r="B655" s="4">
        <v>43112</v>
      </c>
      <c r="C655" s="162">
        <v>47957.120000000003</v>
      </c>
      <c r="D655" s="162">
        <v>40304.67</v>
      </c>
      <c r="E655" s="162">
        <v>977.71</v>
      </c>
      <c r="F655" s="162">
        <v>6674.74</v>
      </c>
    </row>
    <row r="656" spans="1:6" x14ac:dyDescent="0.25">
      <c r="A656" s="3" t="s">
        <v>12</v>
      </c>
      <c r="B656" s="4">
        <v>43112</v>
      </c>
      <c r="C656" s="162">
        <v>93039.09</v>
      </c>
      <c r="F656" s="162">
        <v>93039.09</v>
      </c>
    </row>
    <row r="657" spans="1:6" x14ac:dyDescent="0.25">
      <c r="A657" s="3" t="s">
        <v>9</v>
      </c>
      <c r="B657" s="4">
        <v>43112</v>
      </c>
      <c r="C657" s="162">
        <v>147817.41</v>
      </c>
      <c r="D657" s="162">
        <v>18123.509999999998</v>
      </c>
      <c r="E657" s="162">
        <v>716.74</v>
      </c>
      <c r="F657" s="162">
        <v>128977.16</v>
      </c>
    </row>
    <row r="658" spans="1:6" x14ac:dyDescent="0.25">
      <c r="A658" s="3" t="s">
        <v>6</v>
      </c>
      <c r="B658" s="4">
        <v>43115</v>
      </c>
      <c r="C658" s="162">
        <v>60944.39</v>
      </c>
      <c r="F658" s="162">
        <v>60944.39</v>
      </c>
    </row>
    <row r="659" spans="1:6" x14ac:dyDescent="0.25">
      <c r="A659" s="3" t="s">
        <v>7</v>
      </c>
      <c r="B659" s="4">
        <v>43115</v>
      </c>
      <c r="C659" s="162">
        <v>58506.93</v>
      </c>
      <c r="F659" s="162">
        <v>58506.93</v>
      </c>
    </row>
    <row r="660" spans="1:6" x14ac:dyDescent="0.25">
      <c r="A660" s="3" t="s">
        <v>8</v>
      </c>
      <c r="B660" s="4">
        <v>43115</v>
      </c>
      <c r="C660" s="162">
        <v>67421.210000000006</v>
      </c>
      <c r="E660" s="162">
        <v>11.2</v>
      </c>
      <c r="F660" s="162">
        <v>67410.009999999995</v>
      </c>
    </row>
    <row r="661" spans="1:6" x14ac:dyDescent="0.25">
      <c r="A661" s="3" t="s">
        <v>9</v>
      </c>
      <c r="B661" s="4">
        <v>43115</v>
      </c>
      <c r="C661" s="162">
        <v>100793.7</v>
      </c>
      <c r="D661" s="162">
        <v>2310.46</v>
      </c>
      <c r="E661" s="162">
        <v>294.55</v>
      </c>
      <c r="F661" s="162">
        <v>98188.69</v>
      </c>
    </row>
    <row r="662" spans="1:6" x14ac:dyDescent="0.25">
      <c r="A662" s="3" t="s">
        <v>10</v>
      </c>
      <c r="B662" s="4">
        <v>43115</v>
      </c>
      <c r="C662" s="162">
        <v>272642.93</v>
      </c>
      <c r="D662" s="162">
        <v>2068.41</v>
      </c>
      <c r="E662" s="162">
        <v>770.24</v>
      </c>
      <c r="F662" s="162">
        <v>269804.28000000003</v>
      </c>
    </row>
    <row r="663" spans="1:6" x14ac:dyDescent="0.25">
      <c r="A663" s="3" t="s">
        <v>12</v>
      </c>
      <c r="B663" s="4">
        <v>43115</v>
      </c>
      <c r="C663" s="162">
        <v>245562.79</v>
      </c>
      <c r="F663" s="162">
        <v>245562.79</v>
      </c>
    </row>
    <row r="664" spans="1:6" x14ac:dyDescent="0.25">
      <c r="A664" s="3" t="s">
        <v>14</v>
      </c>
      <c r="B664" s="4">
        <v>43115</v>
      </c>
      <c r="C664" s="162">
        <v>50662.22</v>
      </c>
      <c r="D664" s="162">
        <v>9809.77</v>
      </c>
      <c r="E664" s="162">
        <v>20.149999999999999</v>
      </c>
      <c r="F664" s="162">
        <v>40832.300000000003</v>
      </c>
    </row>
    <row r="665" spans="1:6" x14ac:dyDescent="0.25">
      <c r="A665" s="3" t="s">
        <v>15</v>
      </c>
      <c r="B665" s="4">
        <v>43115</v>
      </c>
      <c r="C665" s="162">
        <v>70323.03</v>
      </c>
      <c r="E665" s="162">
        <v>129.93</v>
      </c>
      <c r="F665" s="162">
        <v>70193.100000000006</v>
      </c>
    </row>
    <row r="666" spans="1:6" x14ac:dyDescent="0.25">
      <c r="A666" s="3" t="s">
        <v>11</v>
      </c>
      <c r="B666" s="4">
        <v>43116</v>
      </c>
      <c r="C666" s="162">
        <v>100170.01</v>
      </c>
      <c r="F666" s="162">
        <v>100170.01</v>
      </c>
    </row>
    <row r="667" spans="1:6" x14ac:dyDescent="0.25">
      <c r="A667" s="3" t="s">
        <v>6</v>
      </c>
      <c r="B667" s="4">
        <v>43116</v>
      </c>
      <c r="C667" s="162">
        <v>6419.98</v>
      </c>
      <c r="F667" s="162">
        <v>6419.98</v>
      </c>
    </row>
    <row r="668" spans="1:6" x14ac:dyDescent="0.25">
      <c r="A668" s="3" t="s">
        <v>7</v>
      </c>
      <c r="B668" s="4">
        <v>43116</v>
      </c>
      <c r="C668" s="162">
        <v>60192.03</v>
      </c>
      <c r="D668" s="162">
        <v>4940.29</v>
      </c>
      <c r="E668" s="162">
        <v>257.27999999999997</v>
      </c>
      <c r="F668" s="162">
        <v>54994.46</v>
      </c>
    </row>
    <row r="669" spans="1:6" x14ac:dyDescent="0.25">
      <c r="A669" s="3" t="s">
        <v>8</v>
      </c>
      <c r="B669" s="4">
        <v>43116</v>
      </c>
      <c r="C669" s="162">
        <v>34951.06</v>
      </c>
      <c r="D669" s="162">
        <v>3194.71</v>
      </c>
      <c r="F669" s="162">
        <v>31756.35</v>
      </c>
    </row>
    <row r="670" spans="1:6" x14ac:dyDescent="0.25">
      <c r="A670" s="3" t="s">
        <v>6</v>
      </c>
      <c r="B670" s="4">
        <v>43117</v>
      </c>
      <c r="C670" s="162">
        <v>117571.42</v>
      </c>
      <c r="F670" s="162">
        <v>117571.42</v>
      </c>
    </row>
    <row r="671" spans="1:6" x14ac:dyDescent="0.25">
      <c r="A671" s="3" t="s">
        <v>8</v>
      </c>
      <c r="B671" s="4">
        <v>43117</v>
      </c>
      <c r="C671" s="162">
        <v>45740.51</v>
      </c>
      <c r="D671" s="162">
        <v>3931.81</v>
      </c>
      <c r="E671" s="162">
        <v>24.04</v>
      </c>
      <c r="F671" s="162">
        <v>41784.660000000003</v>
      </c>
    </row>
    <row r="672" spans="1:6" x14ac:dyDescent="0.25">
      <c r="A672" s="3" t="s">
        <v>7</v>
      </c>
      <c r="B672" s="4">
        <v>43117</v>
      </c>
      <c r="C672" s="162">
        <v>29490.27</v>
      </c>
      <c r="F672" s="162">
        <v>29490.27</v>
      </c>
    </row>
    <row r="673" spans="1:6" x14ac:dyDescent="0.25">
      <c r="A673" s="3" t="s">
        <v>9</v>
      </c>
      <c r="B673" s="4">
        <v>43117</v>
      </c>
      <c r="C673" s="162">
        <v>22442.6</v>
      </c>
      <c r="F673" s="162">
        <v>22442.6</v>
      </c>
    </row>
    <row r="674" spans="1:6" x14ac:dyDescent="0.25">
      <c r="A674" s="3" t="s">
        <v>12</v>
      </c>
      <c r="B674" s="4">
        <v>43117</v>
      </c>
      <c r="C674" s="162">
        <v>97941.66</v>
      </c>
      <c r="D674" s="162">
        <v>3569.78</v>
      </c>
      <c r="E674" s="162">
        <v>601.26</v>
      </c>
      <c r="F674" s="162">
        <v>93770.62</v>
      </c>
    </row>
    <row r="675" spans="1:6" x14ac:dyDescent="0.25">
      <c r="A675" s="3" t="s">
        <v>10</v>
      </c>
      <c r="B675" s="4">
        <v>43117</v>
      </c>
      <c r="C675" s="162">
        <v>29069.31</v>
      </c>
      <c r="F675" s="162">
        <v>29069.31</v>
      </c>
    </row>
    <row r="676" spans="1:6" x14ac:dyDescent="0.25">
      <c r="A676" s="3" t="s">
        <v>13</v>
      </c>
      <c r="B676" s="4">
        <v>43117</v>
      </c>
      <c r="C676" s="162">
        <v>112405.19</v>
      </c>
      <c r="D676" s="162">
        <v>1475.91</v>
      </c>
      <c r="E676" s="162">
        <v>600.91</v>
      </c>
      <c r="F676" s="162">
        <v>110328.37</v>
      </c>
    </row>
    <row r="677" spans="1:6" x14ac:dyDescent="0.25">
      <c r="A677" s="3" t="s">
        <v>15</v>
      </c>
      <c r="B677" s="4">
        <v>43117</v>
      </c>
      <c r="C677" s="162">
        <v>433648.22</v>
      </c>
      <c r="F677" s="162">
        <v>433648.22</v>
      </c>
    </row>
    <row r="678" spans="1:6" x14ac:dyDescent="0.25">
      <c r="A678" s="3" t="s">
        <v>16</v>
      </c>
      <c r="B678" s="4">
        <v>43117</v>
      </c>
      <c r="C678" s="162">
        <v>124140.93</v>
      </c>
      <c r="D678" s="162">
        <v>6906.81</v>
      </c>
      <c r="E678" s="162">
        <v>789.77</v>
      </c>
      <c r="F678" s="162">
        <v>116444.35</v>
      </c>
    </row>
    <row r="679" spans="1:6" x14ac:dyDescent="0.25">
      <c r="A679" s="3" t="s">
        <v>22</v>
      </c>
      <c r="B679" s="4">
        <v>43117</v>
      </c>
      <c r="C679" s="162">
        <v>68866.05</v>
      </c>
      <c r="F679" s="162">
        <v>68866.05</v>
      </c>
    </row>
    <row r="680" spans="1:6" x14ac:dyDescent="0.25">
      <c r="A680" s="3" t="s">
        <v>6</v>
      </c>
      <c r="B680" s="4">
        <v>43118</v>
      </c>
      <c r="C680" s="162">
        <v>68950.3</v>
      </c>
      <c r="F680" s="162">
        <v>68950.3</v>
      </c>
    </row>
    <row r="681" spans="1:6" x14ac:dyDescent="0.25">
      <c r="A681" s="3" t="s">
        <v>8</v>
      </c>
      <c r="B681" s="4">
        <v>43118</v>
      </c>
      <c r="C681" s="162">
        <v>25200.09</v>
      </c>
      <c r="D681" s="162">
        <v>25200.09</v>
      </c>
      <c r="F681" s="162" t="s">
        <v>17</v>
      </c>
    </row>
    <row r="682" spans="1:6" x14ac:dyDescent="0.25">
      <c r="A682" s="3" t="s">
        <v>7</v>
      </c>
      <c r="B682" s="4">
        <v>43118</v>
      </c>
      <c r="C682" s="162">
        <v>39715.699999999997</v>
      </c>
      <c r="D682" s="162">
        <v>1109.1600000000001</v>
      </c>
      <c r="E682" s="162">
        <v>416.59</v>
      </c>
      <c r="F682" s="162">
        <v>38189.949999999997</v>
      </c>
    </row>
    <row r="683" spans="1:6" x14ac:dyDescent="0.25">
      <c r="A683" s="3" t="s">
        <v>9</v>
      </c>
      <c r="B683" s="4">
        <v>43118</v>
      </c>
      <c r="C683" s="162">
        <v>97669.37</v>
      </c>
      <c r="F683" s="162">
        <v>97669.37</v>
      </c>
    </row>
    <row r="684" spans="1:6" x14ac:dyDescent="0.25">
      <c r="A684" s="3" t="s">
        <v>12</v>
      </c>
      <c r="B684" s="4">
        <v>43118</v>
      </c>
      <c r="C684" s="162">
        <v>387997.97</v>
      </c>
      <c r="D684" s="162">
        <v>10988.68</v>
      </c>
      <c r="F684" s="162">
        <v>377009.29</v>
      </c>
    </row>
    <row r="685" spans="1:6" x14ac:dyDescent="0.25">
      <c r="A685" s="3" t="s">
        <v>11</v>
      </c>
      <c r="B685" s="4">
        <v>43119</v>
      </c>
      <c r="C685" s="162">
        <v>51288.62</v>
      </c>
      <c r="F685" s="162">
        <v>51288.62</v>
      </c>
    </row>
    <row r="686" spans="1:6" x14ac:dyDescent="0.25">
      <c r="A686" s="3" t="s">
        <v>6</v>
      </c>
      <c r="B686" s="4">
        <v>43119</v>
      </c>
      <c r="C686" s="162">
        <v>156507.03</v>
      </c>
      <c r="F686" s="162">
        <v>156507.03</v>
      </c>
    </row>
    <row r="687" spans="1:6" x14ac:dyDescent="0.25">
      <c r="A687" s="3" t="s">
        <v>7</v>
      </c>
      <c r="B687" s="4">
        <v>43119</v>
      </c>
      <c r="C687" s="162">
        <v>106689.62</v>
      </c>
      <c r="E687" s="162">
        <v>809.36</v>
      </c>
      <c r="F687" s="162">
        <v>105880.26</v>
      </c>
    </row>
    <row r="688" spans="1:6" x14ac:dyDescent="0.25">
      <c r="A688" s="3" t="s">
        <v>8</v>
      </c>
      <c r="B688" s="4">
        <v>43119</v>
      </c>
      <c r="C688" s="162">
        <v>433804.53</v>
      </c>
      <c r="E688" s="162">
        <v>4227.01</v>
      </c>
      <c r="F688" s="162">
        <v>429577.52</v>
      </c>
    </row>
    <row r="689" spans="1:6" x14ac:dyDescent="0.25">
      <c r="A689" s="3" t="s">
        <v>9</v>
      </c>
      <c r="B689" s="4">
        <v>43119</v>
      </c>
      <c r="C689" s="162">
        <v>172809.67</v>
      </c>
      <c r="E689" s="162">
        <v>146.71</v>
      </c>
      <c r="F689" s="162">
        <v>172662.96</v>
      </c>
    </row>
    <row r="690" spans="1:6" x14ac:dyDescent="0.25">
      <c r="A690" s="3" t="s">
        <v>10</v>
      </c>
      <c r="B690" s="4">
        <v>43119</v>
      </c>
      <c r="C690" s="162">
        <v>408385.19</v>
      </c>
      <c r="F690" s="162">
        <v>408385.19</v>
      </c>
    </row>
    <row r="691" spans="1:6" x14ac:dyDescent="0.25">
      <c r="A691" s="3" t="s">
        <v>14</v>
      </c>
      <c r="B691" s="4">
        <v>43119</v>
      </c>
      <c r="C691" s="162">
        <v>39979.99</v>
      </c>
      <c r="F691" s="162">
        <v>39979.99</v>
      </c>
    </row>
    <row r="692" spans="1:6" x14ac:dyDescent="0.25">
      <c r="A692" s="3" t="s">
        <v>15</v>
      </c>
      <c r="B692" s="4">
        <v>43119</v>
      </c>
      <c r="C692" s="162">
        <v>130378.88</v>
      </c>
      <c r="D692" s="162">
        <v>11826.42</v>
      </c>
      <c r="E692" s="162">
        <v>266.19</v>
      </c>
      <c r="F692" s="162">
        <v>118286.27</v>
      </c>
    </row>
    <row r="693" spans="1:6" x14ac:dyDescent="0.25">
      <c r="A693" s="3" t="s">
        <v>8</v>
      </c>
      <c r="B693" s="4">
        <v>43122</v>
      </c>
      <c r="C693" s="162">
        <v>91565.16</v>
      </c>
      <c r="E693" s="162">
        <v>20.149999999999999</v>
      </c>
      <c r="F693" s="162">
        <v>91545.01</v>
      </c>
    </row>
    <row r="694" spans="1:6" x14ac:dyDescent="0.25">
      <c r="A694" s="3" t="s">
        <v>11</v>
      </c>
      <c r="B694" s="4">
        <v>43122</v>
      </c>
      <c r="C694" s="162">
        <v>56169.37</v>
      </c>
      <c r="F694" s="162">
        <v>56169.37</v>
      </c>
    </row>
    <row r="695" spans="1:6" x14ac:dyDescent="0.25">
      <c r="A695" s="3" t="s">
        <v>6</v>
      </c>
      <c r="B695" s="4">
        <v>43122</v>
      </c>
      <c r="C695" s="162">
        <v>69938.740000000005</v>
      </c>
      <c r="F695" s="162">
        <v>69938.740000000005</v>
      </c>
    </row>
    <row r="696" spans="1:6" x14ac:dyDescent="0.25">
      <c r="A696" s="3" t="s">
        <v>10</v>
      </c>
      <c r="B696" s="4">
        <v>43122</v>
      </c>
      <c r="C696" s="162">
        <v>96314.3</v>
      </c>
      <c r="D696" s="162">
        <v>1994.8</v>
      </c>
      <c r="E696" s="162">
        <v>5.27</v>
      </c>
      <c r="F696" s="162">
        <v>94314.23</v>
      </c>
    </row>
    <row r="697" spans="1:6" x14ac:dyDescent="0.25">
      <c r="A697" s="3" t="s">
        <v>12</v>
      </c>
      <c r="B697" s="4">
        <v>43122</v>
      </c>
      <c r="C697" s="162">
        <v>138522.66</v>
      </c>
      <c r="E697" s="162">
        <v>115.7</v>
      </c>
      <c r="F697" s="162">
        <v>138406.96</v>
      </c>
    </row>
    <row r="698" spans="1:6" x14ac:dyDescent="0.25">
      <c r="A698" s="3" t="s">
        <v>9</v>
      </c>
      <c r="B698" s="4">
        <v>43122</v>
      </c>
      <c r="C698" s="162">
        <v>194686.95</v>
      </c>
      <c r="E698" s="162">
        <v>135.96</v>
      </c>
      <c r="F698" s="162">
        <v>194550.99</v>
      </c>
    </row>
    <row r="699" spans="1:6" x14ac:dyDescent="0.25">
      <c r="A699" s="3" t="s">
        <v>13</v>
      </c>
      <c r="B699" s="4">
        <v>43122</v>
      </c>
      <c r="C699" s="162">
        <v>344015.33</v>
      </c>
      <c r="F699" s="162">
        <v>344015.33</v>
      </c>
    </row>
    <row r="700" spans="1:6" x14ac:dyDescent="0.25">
      <c r="A700" s="3" t="s">
        <v>14</v>
      </c>
      <c r="B700" s="4">
        <v>43122</v>
      </c>
      <c r="C700" s="162">
        <v>50032.639999999999</v>
      </c>
      <c r="F700" s="162">
        <v>50032.639999999999</v>
      </c>
    </row>
    <row r="701" spans="1:6" x14ac:dyDescent="0.25">
      <c r="A701" s="3" t="s">
        <v>16</v>
      </c>
      <c r="B701" s="4">
        <v>43122</v>
      </c>
      <c r="C701" s="162">
        <v>26611.4</v>
      </c>
      <c r="F701" s="162">
        <v>26611.4</v>
      </c>
    </row>
    <row r="702" spans="1:6" x14ac:dyDescent="0.25">
      <c r="A702" s="3" t="s">
        <v>15</v>
      </c>
      <c r="B702" s="4">
        <v>43122</v>
      </c>
      <c r="C702" s="162">
        <v>294259.96999999997</v>
      </c>
      <c r="F702" s="162">
        <v>294259.96999999997</v>
      </c>
    </row>
    <row r="703" spans="1:6" x14ac:dyDescent="0.25">
      <c r="A703" s="3" t="s">
        <v>22</v>
      </c>
      <c r="B703" s="4">
        <v>43122</v>
      </c>
      <c r="C703" s="162">
        <v>136951.42000000001</v>
      </c>
      <c r="F703" s="162">
        <v>136951.42000000001</v>
      </c>
    </row>
    <row r="704" spans="1:6" x14ac:dyDescent="0.25">
      <c r="A704" s="3" t="s">
        <v>19</v>
      </c>
      <c r="B704" s="4">
        <v>43122</v>
      </c>
      <c r="C704" s="162">
        <v>25701.88</v>
      </c>
      <c r="D704" s="162">
        <v>6467.41</v>
      </c>
      <c r="E704" s="162">
        <v>816.6</v>
      </c>
      <c r="F704" s="162">
        <v>18417.87</v>
      </c>
    </row>
    <row r="705" spans="1:6" x14ac:dyDescent="0.25">
      <c r="A705" s="3" t="s">
        <v>11</v>
      </c>
      <c r="B705" s="4">
        <v>43123</v>
      </c>
      <c r="C705" s="162">
        <v>117739.43</v>
      </c>
      <c r="D705" s="162">
        <v>12351.96</v>
      </c>
      <c r="F705" s="162">
        <v>105387.47</v>
      </c>
    </row>
    <row r="706" spans="1:6" x14ac:dyDescent="0.25">
      <c r="A706" s="3" t="s">
        <v>6</v>
      </c>
      <c r="B706" s="4">
        <v>43123</v>
      </c>
      <c r="C706" s="162">
        <v>288522.56</v>
      </c>
      <c r="F706" s="162">
        <v>288522.56</v>
      </c>
    </row>
    <row r="707" spans="1:6" x14ac:dyDescent="0.25">
      <c r="A707" s="3" t="s">
        <v>7</v>
      </c>
      <c r="B707" s="4">
        <v>43123</v>
      </c>
      <c r="C707" s="162">
        <v>29331.46</v>
      </c>
      <c r="D707" s="162">
        <v>1343.34</v>
      </c>
      <c r="E707" s="162">
        <v>11.8</v>
      </c>
      <c r="F707" s="162">
        <v>27976.32</v>
      </c>
    </row>
    <row r="708" spans="1:6" x14ac:dyDescent="0.25">
      <c r="A708" s="3" t="s">
        <v>9</v>
      </c>
      <c r="B708" s="4">
        <v>43123</v>
      </c>
      <c r="C708" s="162">
        <v>24447.919999999998</v>
      </c>
      <c r="D708" s="162">
        <v>2389.3200000000002</v>
      </c>
      <c r="E708" s="162">
        <v>215.84</v>
      </c>
      <c r="F708" s="162">
        <v>21842.76</v>
      </c>
    </row>
    <row r="709" spans="1:6" x14ac:dyDescent="0.25">
      <c r="A709" s="3" t="s">
        <v>11</v>
      </c>
      <c r="B709" s="4">
        <v>43124</v>
      </c>
      <c r="C709" s="162">
        <v>157461.67000000001</v>
      </c>
      <c r="D709" s="162">
        <v>1471.66</v>
      </c>
      <c r="E709" s="162">
        <v>318.82</v>
      </c>
      <c r="F709" s="162">
        <v>155671.19</v>
      </c>
    </row>
    <row r="710" spans="1:6" x14ac:dyDescent="0.25">
      <c r="A710" s="3" t="s">
        <v>6</v>
      </c>
      <c r="B710" s="4">
        <v>43124</v>
      </c>
      <c r="C710" s="162">
        <v>220521.19</v>
      </c>
      <c r="F710" s="162">
        <v>220521.19</v>
      </c>
    </row>
    <row r="711" spans="1:6" x14ac:dyDescent="0.25">
      <c r="A711" s="3" t="s">
        <v>11</v>
      </c>
      <c r="B711" s="4">
        <v>43126</v>
      </c>
      <c r="C711" s="162">
        <v>177665.19</v>
      </c>
      <c r="D711" s="162">
        <v>2091.21</v>
      </c>
      <c r="E711" s="162">
        <v>6.93</v>
      </c>
      <c r="F711" s="162">
        <v>175567.05</v>
      </c>
    </row>
    <row r="712" spans="1:6" x14ac:dyDescent="0.25">
      <c r="A712" s="3" t="s">
        <v>6</v>
      </c>
      <c r="B712" s="4">
        <v>43126</v>
      </c>
      <c r="C712" s="162">
        <v>131395.74</v>
      </c>
      <c r="F712" s="162">
        <v>131395.74</v>
      </c>
    </row>
    <row r="713" spans="1:6" x14ac:dyDescent="0.25">
      <c r="A713" s="3" t="s">
        <v>8</v>
      </c>
      <c r="B713" s="4">
        <v>43126</v>
      </c>
      <c r="C713" s="162">
        <v>279800.26</v>
      </c>
      <c r="F713" s="162">
        <v>279800.26</v>
      </c>
    </row>
    <row r="714" spans="1:6" x14ac:dyDescent="0.25">
      <c r="A714" s="3" t="s">
        <v>7</v>
      </c>
      <c r="B714" s="4">
        <v>43126</v>
      </c>
      <c r="C714" s="162">
        <v>83784.77</v>
      </c>
      <c r="F714" s="162">
        <v>83784.77</v>
      </c>
    </row>
    <row r="715" spans="1:6" x14ac:dyDescent="0.25">
      <c r="A715" s="3" t="s">
        <v>9</v>
      </c>
      <c r="B715" s="4">
        <v>43126</v>
      </c>
      <c r="C715" s="162">
        <v>93433.36</v>
      </c>
      <c r="D715" s="162">
        <v>705.31</v>
      </c>
      <c r="E715" s="162">
        <v>207.98</v>
      </c>
      <c r="F715" s="162">
        <v>92520.07</v>
      </c>
    </row>
    <row r="716" spans="1:6" x14ac:dyDescent="0.25">
      <c r="A716" s="3" t="s">
        <v>12</v>
      </c>
      <c r="B716" s="4">
        <v>43126</v>
      </c>
      <c r="C716" s="162">
        <v>33765.919999999998</v>
      </c>
      <c r="F716" s="162">
        <v>33765.919999999998</v>
      </c>
    </row>
    <row r="717" spans="1:6" x14ac:dyDescent="0.25">
      <c r="A717" s="3" t="s">
        <v>14</v>
      </c>
      <c r="B717" s="4">
        <v>43126</v>
      </c>
      <c r="C717" s="162">
        <v>233538.64</v>
      </c>
      <c r="F717" s="162">
        <v>233538.64</v>
      </c>
    </row>
    <row r="718" spans="1:6" x14ac:dyDescent="0.25">
      <c r="A718" s="3" t="s">
        <v>13</v>
      </c>
      <c r="B718" s="4">
        <v>43126</v>
      </c>
      <c r="C718" s="162">
        <v>173878.07</v>
      </c>
      <c r="E718" s="162">
        <v>197.54</v>
      </c>
      <c r="F718" s="162">
        <v>173680.53</v>
      </c>
    </row>
    <row r="719" spans="1:6" x14ac:dyDescent="0.25">
      <c r="A719" s="3" t="s">
        <v>11</v>
      </c>
      <c r="B719" s="4">
        <v>43129</v>
      </c>
      <c r="C719" s="162">
        <v>84308.19</v>
      </c>
      <c r="F719" s="162">
        <v>84308.19</v>
      </c>
    </row>
    <row r="720" spans="1:6" x14ac:dyDescent="0.25">
      <c r="A720" s="3" t="s">
        <v>6</v>
      </c>
      <c r="B720" s="4">
        <v>43129</v>
      </c>
      <c r="C720" s="162">
        <v>104400.52</v>
      </c>
      <c r="E720" s="162">
        <v>3554.61</v>
      </c>
      <c r="F720" s="162">
        <v>100845.91</v>
      </c>
    </row>
    <row r="721" spans="1:6" x14ac:dyDescent="0.25">
      <c r="A721" s="3" t="s">
        <v>8</v>
      </c>
      <c r="B721" s="4">
        <v>43129</v>
      </c>
      <c r="C721" s="162">
        <v>496332.25</v>
      </c>
      <c r="D721" s="162">
        <v>8774.1299999999992</v>
      </c>
      <c r="E721" s="162">
        <v>6069.25</v>
      </c>
      <c r="F721" s="162">
        <v>481488.87</v>
      </c>
    </row>
    <row r="722" spans="1:6" x14ac:dyDescent="0.25">
      <c r="A722" s="3" t="s">
        <v>7</v>
      </c>
      <c r="B722" s="4">
        <v>43129</v>
      </c>
      <c r="C722" s="162">
        <v>188214.51</v>
      </c>
      <c r="F722" s="162">
        <v>188214.51</v>
      </c>
    </row>
    <row r="723" spans="1:6" x14ac:dyDescent="0.25">
      <c r="A723" s="3" t="s">
        <v>9</v>
      </c>
      <c r="B723" s="4">
        <v>43129</v>
      </c>
      <c r="C723" s="162">
        <v>134804.42000000001</v>
      </c>
      <c r="E723" s="162">
        <v>1542.96</v>
      </c>
      <c r="F723" s="162">
        <v>133261.46</v>
      </c>
    </row>
    <row r="724" spans="1:6" x14ac:dyDescent="0.25">
      <c r="A724" s="3" t="s">
        <v>12</v>
      </c>
      <c r="B724" s="4">
        <v>43129</v>
      </c>
      <c r="C724" s="162">
        <v>68021.03</v>
      </c>
      <c r="D724" s="162">
        <v>2813.04</v>
      </c>
      <c r="E724" s="162">
        <v>256.48</v>
      </c>
      <c r="F724" s="162">
        <v>64951.51</v>
      </c>
    </row>
    <row r="725" spans="1:6" x14ac:dyDescent="0.25">
      <c r="A725" s="3" t="s">
        <v>14</v>
      </c>
      <c r="B725" s="4">
        <v>43129</v>
      </c>
      <c r="C725" s="162">
        <v>121200.52</v>
      </c>
      <c r="F725" s="162">
        <v>121200.52</v>
      </c>
    </row>
    <row r="726" spans="1:6" x14ac:dyDescent="0.25">
      <c r="A726" s="3" t="s">
        <v>11</v>
      </c>
      <c r="B726" s="4">
        <v>43130</v>
      </c>
      <c r="C726" s="162">
        <v>128381.49</v>
      </c>
      <c r="D726" s="162">
        <v>809.42</v>
      </c>
      <c r="E726" s="162">
        <v>5.27</v>
      </c>
      <c r="F726" s="162">
        <v>127566.8</v>
      </c>
    </row>
    <row r="727" spans="1:6" x14ac:dyDescent="0.25">
      <c r="A727" s="3" t="s">
        <v>6</v>
      </c>
      <c r="B727" s="4">
        <v>43130</v>
      </c>
      <c r="C727" s="162">
        <v>167615.15</v>
      </c>
      <c r="E727" s="162">
        <v>112.89</v>
      </c>
      <c r="F727" s="162">
        <v>167502.26</v>
      </c>
    </row>
    <row r="728" spans="1:6" x14ac:dyDescent="0.25">
      <c r="A728" s="3" t="s">
        <v>8</v>
      </c>
      <c r="B728" s="4">
        <v>43130</v>
      </c>
      <c r="C728" s="162">
        <v>101787.77</v>
      </c>
      <c r="F728" s="162">
        <v>101787.77</v>
      </c>
    </row>
    <row r="729" spans="1:6" x14ac:dyDescent="0.25">
      <c r="A729" s="3" t="s">
        <v>9</v>
      </c>
      <c r="B729" s="4">
        <v>43130</v>
      </c>
      <c r="C729" s="162">
        <v>55336.78</v>
      </c>
      <c r="F729" s="162">
        <v>55336.78</v>
      </c>
    </row>
    <row r="730" spans="1:6" x14ac:dyDescent="0.25">
      <c r="A730" s="3" t="s">
        <v>7</v>
      </c>
      <c r="B730" s="4">
        <v>43130</v>
      </c>
      <c r="C730" s="162">
        <v>77068.41</v>
      </c>
      <c r="D730" s="162">
        <v>422.26</v>
      </c>
      <c r="E730" s="162">
        <v>5.9</v>
      </c>
      <c r="F730" s="162">
        <v>76640.25</v>
      </c>
    </row>
    <row r="731" spans="1:6" x14ac:dyDescent="0.25">
      <c r="A731" s="3" t="s">
        <v>10</v>
      </c>
      <c r="B731" s="4">
        <v>43130</v>
      </c>
      <c r="C731" s="162">
        <v>64376.36</v>
      </c>
      <c r="F731" s="162">
        <v>64376.36</v>
      </c>
    </row>
    <row r="732" spans="1:6" x14ac:dyDescent="0.25">
      <c r="A732" s="3" t="s">
        <v>11</v>
      </c>
      <c r="B732" s="4">
        <v>43131</v>
      </c>
      <c r="C732" s="162">
        <v>44548.79</v>
      </c>
      <c r="E732" s="162">
        <v>278.86</v>
      </c>
      <c r="F732" s="162">
        <v>44269.93</v>
      </c>
    </row>
    <row r="733" spans="1:6" x14ac:dyDescent="0.25">
      <c r="A733" s="3" t="s">
        <v>6</v>
      </c>
      <c r="B733" s="4">
        <v>43131</v>
      </c>
      <c r="C733" s="162">
        <v>81488.33</v>
      </c>
      <c r="D733" s="162">
        <v>611.99</v>
      </c>
      <c r="F733" s="162">
        <v>80876.34</v>
      </c>
    </row>
    <row r="734" spans="1:6" x14ac:dyDescent="0.25">
      <c r="A734" s="3" t="s">
        <v>7</v>
      </c>
      <c r="B734" s="4">
        <v>43131</v>
      </c>
      <c r="C734" s="162">
        <v>145709.01</v>
      </c>
      <c r="F734" s="162">
        <v>145709.01</v>
      </c>
    </row>
    <row r="735" spans="1:6" x14ac:dyDescent="0.25">
      <c r="A735" s="3" t="s">
        <v>8</v>
      </c>
      <c r="B735" s="4">
        <v>43131</v>
      </c>
      <c r="C735" s="162">
        <v>119676.73</v>
      </c>
      <c r="D735" s="162">
        <v>1453.63</v>
      </c>
      <c r="E735" s="162">
        <v>47.8</v>
      </c>
      <c r="F735" s="162">
        <v>118175.3</v>
      </c>
    </row>
    <row r="736" spans="1:6" x14ac:dyDescent="0.25">
      <c r="A736" s="3" t="s">
        <v>11</v>
      </c>
      <c r="B736" s="4">
        <v>43132</v>
      </c>
      <c r="C736" s="162">
        <v>119939.51</v>
      </c>
      <c r="E736" s="162">
        <v>18.05</v>
      </c>
      <c r="F736" s="162">
        <v>119921.46</v>
      </c>
    </row>
    <row r="737" spans="1:6" x14ac:dyDescent="0.25">
      <c r="A737" s="3" t="s">
        <v>6</v>
      </c>
      <c r="B737" s="4">
        <v>43132</v>
      </c>
      <c r="C737" s="162">
        <v>48811.47</v>
      </c>
      <c r="F737" s="162">
        <v>48811.47</v>
      </c>
    </row>
    <row r="738" spans="1:6" x14ac:dyDescent="0.25">
      <c r="A738" s="3" t="s">
        <v>9</v>
      </c>
      <c r="B738" s="4">
        <v>43132</v>
      </c>
      <c r="C738" s="162">
        <v>45514.78</v>
      </c>
      <c r="F738" s="162">
        <v>45514.78</v>
      </c>
    </row>
    <row r="739" spans="1:6" x14ac:dyDescent="0.25">
      <c r="A739" s="3" t="s">
        <v>7</v>
      </c>
      <c r="B739" s="4">
        <v>43132</v>
      </c>
      <c r="C739" s="162">
        <v>142429.6</v>
      </c>
      <c r="F739" s="162">
        <v>142429.6</v>
      </c>
    </row>
    <row r="740" spans="1:6" x14ac:dyDescent="0.25">
      <c r="A740" s="3" t="s">
        <v>8</v>
      </c>
      <c r="B740" s="4">
        <v>43132</v>
      </c>
      <c r="C740" s="162">
        <v>30722.31</v>
      </c>
      <c r="F740" s="162">
        <v>30722.31</v>
      </c>
    </row>
    <row r="741" spans="1:6" x14ac:dyDescent="0.25">
      <c r="A741" s="3" t="s">
        <v>12</v>
      </c>
      <c r="B741" s="4">
        <v>43132</v>
      </c>
      <c r="C741" s="162">
        <v>24185.66</v>
      </c>
      <c r="F741" s="162">
        <v>24185.66</v>
      </c>
    </row>
    <row r="742" spans="1:6" x14ac:dyDescent="0.25">
      <c r="A742" s="3" t="s">
        <v>10</v>
      </c>
      <c r="B742" s="4">
        <v>43132</v>
      </c>
      <c r="C742" s="162">
        <v>183433.12</v>
      </c>
      <c r="F742" s="162">
        <v>183433.12</v>
      </c>
    </row>
    <row r="743" spans="1:6" x14ac:dyDescent="0.25">
      <c r="A743" s="3" t="s">
        <v>13</v>
      </c>
      <c r="B743" s="4">
        <v>43132</v>
      </c>
      <c r="C743" s="162">
        <v>23515.73</v>
      </c>
      <c r="E743" s="162">
        <v>155.83000000000001</v>
      </c>
      <c r="F743" s="162">
        <v>23359.9</v>
      </c>
    </row>
    <row r="744" spans="1:6" x14ac:dyDescent="0.25">
      <c r="A744" s="3" t="s">
        <v>11</v>
      </c>
      <c r="B744" s="4">
        <v>43133</v>
      </c>
      <c r="C744" s="162">
        <v>53218.97</v>
      </c>
      <c r="E744" s="162">
        <v>6.62</v>
      </c>
      <c r="F744" s="162">
        <v>53212.35</v>
      </c>
    </row>
    <row r="745" spans="1:6" x14ac:dyDescent="0.25">
      <c r="A745" s="3" t="s">
        <v>7</v>
      </c>
      <c r="B745" s="4">
        <v>43133</v>
      </c>
      <c r="C745" s="162">
        <v>216805.34</v>
      </c>
      <c r="D745" s="162">
        <v>2973.02</v>
      </c>
      <c r="E745" s="162">
        <v>1619.25</v>
      </c>
      <c r="F745" s="162">
        <v>212213.07</v>
      </c>
    </row>
    <row r="746" spans="1:6" x14ac:dyDescent="0.25">
      <c r="A746" s="3" t="s">
        <v>8</v>
      </c>
      <c r="B746" s="4">
        <v>43133</v>
      </c>
      <c r="C746" s="162">
        <v>36339.279999999999</v>
      </c>
      <c r="D746" s="162">
        <v>762.19</v>
      </c>
      <c r="E746" s="162">
        <v>324.97000000000003</v>
      </c>
      <c r="F746" s="162">
        <v>35252.120000000003</v>
      </c>
    </row>
    <row r="747" spans="1:6" x14ac:dyDescent="0.25">
      <c r="A747" s="3" t="s">
        <v>9</v>
      </c>
      <c r="B747" s="4">
        <v>43133</v>
      </c>
      <c r="C747" s="162">
        <v>65111.43</v>
      </c>
      <c r="D747" s="162">
        <v>1094.0899999999999</v>
      </c>
      <c r="E747" s="162">
        <v>985.55</v>
      </c>
      <c r="F747" s="162">
        <v>63031.79</v>
      </c>
    </row>
    <row r="748" spans="1:6" x14ac:dyDescent="0.25">
      <c r="A748" s="3" t="s">
        <v>10</v>
      </c>
      <c r="B748" s="4">
        <v>43133</v>
      </c>
      <c r="C748" s="162">
        <v>5769</v>
      </c>
      <c r="D748" s="162">
        <v>5521.02</v>
      </c>
      <c r="E748" s="162">
        <v>186.12</v>
      </c>
      <c r="F748" s="162">
        <v>61.86</v>
      </c>
    </row>
    <row r="749" spans="1:6" x14ac:dyDescent="0.25">
      <c r="A749" s="3" t="s">
        <v>6</v>
      </c>
      <c r="B749" s="4">
        <v>43136</v>
      </c>
      <c r="C749" s="162">
        <v>107513.03</v>
      </c>
      <c r="D749" s="162">
        <v>1520.51</v>
      </c>
      <c r="E749" s="162">
        <v>1754.96</v>
      </c>
      <c r="F749" s="162">
        <v>104237.56</v>
      </c>
    </row>
    <row r="750" spans="1:6" x14ac:dyDescent="0.25">
      <c r="A750" s="3" t="s">
        <v>11</v>
      </c>
      <c r="B750" s="4">
        <v>43137</v>
      </c>
      <c r="C750" s="162">
        <v>96228.11</v>
      </c>
      <c r="F750" s="162">
        <v>96228.11</v>
      </c>
    </row>
    <row r="751" spans="1:6" x14ac:dyDescent="0.25">
      <c r="A751" s="3" t="s">
        <v>6</v>
      </c>
      <c r="B751" s="4">
        <v>43137</v>
      </c>
      <c r="C751" s="162">
        <v>36353.879999999997</v>
      </c>
      <c r="D751" s="162">
        <v>1520.74</v>
      </c>
      <c r="E751" s="162">
        <v>15.81</v>
      </c>
      <c r="F751" s="162">
        <v>34817.33</v>
      </c>
    </row>
    <row r="752" spans="1:6" x14ac:dyDescent="0.25">
      <c r="A752" s="3" t="s">
        <v>7</v>
      </c>
      <c r="B752" s="4">
        <v>43137</v>
      </c>
      <c r="C752" s="162">
        <v>122305.7</v>
      </c>
      <c r="D752" s="162">
        <v>5948.54</v>
      </c>
      <c r="E752" s="162">
        <v>15.81</v>
      </c>
      <c r="F752" s="162">
        <v>116341.35</v>
      </c>
    </row>
    <row r="753" spans="1:6" x14ac:dyDescent="0.25">
      <c r="A753" s="3" t="s">
        <v>8</v>
      </c>
      <c r="B753" s="4">
        <v>43137</v>
      </c>
      <c r="C753" s="162">
        <v>149868.93</v>
      </c>
      <c r="F753" s="162">
        <v>149868.93</v>
      </c>
    </row>
    <row r="754" spans="1:6" x14ac:dyDescent="0.25">
      <c r="A754" s="3" t="s">
        <v>9</v>
      </c>
      <c r="B754" s="4">
        <v>43137</v>
      </c>
      <c r="C754" s="162">
        <v>282550.11</v>
      </c>
      <c r="F754" s="162">
        <v>282550.11</v>
      </c>
    </row>
    <row r="755" spans="1:6" x14ac:dyDescent="0.25">
      <c r="A755" s="3" t="s">
        <v>12</v>
      </c>
      <c r="B755" s="4">
        <v>43137</v>
      </c>
      <c r="C755" s="162">
        <v>173679.33</v>
      </c>
      <c r="E755" s="162">
        <v>258.48</v>
      </c>
      <c r="F755" s="162">
        <v>173420.85</v>
      </c>
    </row>
    <row r="756" spans="1:6" x14ac:dyDescent="0.25">
      <c r="A756" s="3" t="s">
        <v>14</v>
      </c>
      <c r="B756" s="4">
        <v>43137</v>
      </c>
      <c r="C756" s="162">
        <v>57467.58</v>
      </c>
      <c r="F756" s="162">
        <v>57467.58</v>
      </c>
    </row>
    <row r="757" spans="1:6" x14ac:dyDescent="0.25">
      <c r="A757" s="3" t="s">
        <v>15</v>
      </c>
      <c r="B757" s="4">
        <v>43137</v>
      </c>
      <c r="C757" s="162">
        <v>83340.899999999994</v>
      </c>
      <c r="D757" s="162">
        <v>14447.38</v>
      </c>
      <c r="E757" s="162">
        <v>48.44</v>
      </c>
      <c r="F757" s="162">
        <v>68845.08</v>
      </c>
    </row>
    <row r="758" spans="1:6" x14ac:dyDescent="0.25">
      <c r="A758" s="3" t="s">
        <v>10</v>
      </c>
      <c r="B758" s="4">
        <v>43137</v>
      </c>
      <c r="C758" s="162">
        <v>79786.45</v>
      </c>
      <c r="D758" s="162">
        <v>1415.15</v>
      </c>
      <c r="E758" s="162">
        <v>6.31</v>
      </c>
      <c r="F758" s="162">
        <v>78364.990000000005</v>
      </c>
    </row>
    <row r="759" spans="1:6" x14ac:dyDescent="0.25">
      <c r="A759" s="3" t="s">
        <v>11</v>
      </c>
      <c r="B759" s="4">
        <v>43138</v>
      </c>
      <c r="C759" s="162">
        <v>36227.89</v>
      </c>
      <c r="F759" s="162">
        <v>36227.89</v>
      </c>
    </row>
    <row r="760" spans="1:6" x14ac:dyDescent="0.25">
      <c r="A760" s="3" t="s">
        <v>6</v>
      </c>
      <c r="B760" s="4">
        <v>43138</v>
      </c>
      <c r="C760" s="162">
        <v>81903.740000000005</v>
      </c>
      <c r="E760" s="162">
        <v>22.98</v>
      </c>
      <c r="F760" s="162">
        <v>81880.759999999995</v>
      </c>
    </row>
    <row r="761" spans="1:6" x14ac:dyDescent="0.25">
      <c r="A761" s="3" t="s">
        <v>7</v>
      </c>
      <c r="B761" s="4">
        <v>43138</v>
      </c>
      <c r="C761" s="162">
        <v>195531.33</v>
      </c>
      <c r="D761" s="162">
        <v>1533.2</v>
      </c>
      <c r="E761" s="162">
        <v>5.84</v>
      </c>
      <c r="F761" s="162">
        <v>193992.29</v>
      </c>
    </row>
    <row r="762" spans="1:6" x14ac:dyDescent="0.25">
      <c r="A762" s="3" t="s">
        <v>9</v>
      </c>
      <c r="B762" s="4">
        <v>43138</v>
      </c>
      <c r="C762" s="162">
        <v>74193.88</v>
      </c>
      <c r="F762" s="162">
        <v>74193.88</v>
      </c>
    </row>
    <row r="763" spans="1:6" x14ac:dyDescent="0.25">
      <c r="A763" s="3" t="s">
        <v>10</v>
      </c>
      <c r="B763" s="4">
        <v>43138</v>
      </c>
      <c r="C763" s="162">
        <v>62519.79</v>
      </c>
      <c r="D763" s="162">
        <v>719.34</v>
      </c>
      <c r="E763" s="162">
        <v>11.8</v>
      </c>
      <c r="F763" s="162">
        <v>61788.65</v>
      </c>
    </row>
    <row r="764" spans="1:6" x14ac:dyDescent="0.25">
      <c r="A764" s="3" t="s">
        <v>14</v>
      </c>
      <c r="B764" s="4">
        <v>43138</v>
      </c>
      <c r="C764" s="162">
        <v>62082.89</v>
      </c>
      <c r="D764" s="162">
        <v>1523.65</v>
      </c>
      <c r="E764" s="162">
        <v>6.89</v>
      </c>
      <c r="F764" s="162">
        <v>60552.35</v>
      </c>
    </row>
    <row r="765" spans="1:6" x14ac:dyDescent="0.25">
      <c r="A765" s="3" t="s">
        <v>8</v>
      </c>
      <c r="B765" s="4">
        <v>43138</v>
      </c>
      <c r="C765" s="162">
        <v>184426.5</v>
      </c>
      <c r="F765" s="162">
        <v>184426.5</v>
      </c>
    </row>
    <row r="766" spans="1:6" x14ac:dyDescent="0.25">
      <c r="A766" s="3" t="s">
        <v>11</v>
      </c>
      <c r="B766" s="4">
        <v>43139</v>
      </c>
      <c r="C766" s="162">
        <v>90034.93</v>
      </c>
      <c r="E766" s="162">
        <v>192.97</v>
      </c>
      <c r="F766" s="162">
        <v>89841.96</v>
      </c>
    </row>
    <row r="767" spans="1:6" x14ac:dyDescent="0.25">
      <c r="A767" s="3" t="s">
        <v>6</v>
      </c>
      <c r="B767" s="4">
        <v>43139</v>
      </c>
      <c r="C767" s="162">
        <v>196477.69</v>
      </c>
      <c r="F767" s="162">
        <v>196477.69</v>
      </c>
    </row>
    <row r="768" spans="1:6" x14ac:dyDescent="0.25">
      <c r="A768" s="3" t="s">
        <v>7</v>
      </c>
      <c r="B768" s="4">
        <v>43139</v>
      </c>
      <c r="C768" s="162">
        <v>274715.11</v>
      </c>
      <c r="F768" s="162">
        <v>274715.11</v>
      </c>
    </row>
    <row r="769" spans="1:6" x14ac:dyDescent="0.25">
      <c r="A769" s="3" t="s">
        <v>8</v>
      </c>
      <c r="B769" s="4">
        <v>43139</v>
      </c>
      <c r="C769" s="162">
        <v>43154.97</v>
      </c>
      <c r="F769" s="162">
        <v>43154.97</v>
      </c>
    </row>
    <row r="770" spans="1:6" x14ac:dyDescent="0.25">
      <c r="A770" s="3" t="s">
        <v>14</v>
      </c>
      <c r="B770" s="4">
        <v>43139</v>
      </c>
      <c r="C770" s="162">
        <v>35863.279999999999</v>
      </c>
      <c r="D770" s="162">
        <v>2489.46</v>
      </c>
      <c r="F770" s="162">
        <v>33373.82</v>
      </c>
    </row>
    <row r="771" spans="1:6" x14ac:dyDescent="0.25">
      <c r="A771" s="3" t="s">
        <v>10</v>
      </c>
      <c r="B771" s="4">
        <v>43139</v>
      </c>
      <c r="C771" s="162">
        <v>74491.42</v>
      </c>
      <c r="F771" s="162">
        <v>74491.42</v>
      </c>
    </row>
    <row r="772" spans="1:6" x14ac:dyDescent="0.25">
      <c r="A772" s="3" t="s">
        <v>12</v>
      </c>
      <c r="B772" s="4">
        <v>43139</v>
      </c>
      <c r="C772" s="162">
        <v>38447.5</v>
      </c>
      <c r="F772" s="162">
        <v>38447.5</v>
      </c>
    </row>
    <row r="773" spans="1:6" x14ac:dyDescent="0.25">
      <c r="A773" s="3" t="s">
        <v>11</v>
      </c>
      <c r="B773" s="4">
        <v>43140</v>
      </c>
      <c r="C773" s="162">
        <v>104741.48</v>
      </c>
      <c r="E773" s="162">
        <v>68.180000000000007</v>
      </c>
      <c r="F773" s="162">
        <v>104673.3</v>
      </c>
    </row>
    <row r="774" spans="1:6" x14ac:dyDescent="0.25">
      <c r="A774" s="3" t="s">
        <v>6</v>
      </c>
      <c r="B774" s="4">
        <v>43140</v>
      </c>
      <c r="C774" s="162">
        <v>73534.09</v>
      </c>
      <c r="E774" s="162">
        <v>118.39</v>
      </c>
      <c r="F774" s="162">
        <v>73415.7</v>
      </c>
    </row>
    <row r="775" spans="1:6" x14ac:dyDescent="0.25">
      <c r="A775" s="3" t="s">
        <v>7</v>
      </c>
      <c r="B775" s="4">
        <v>43140</v>
      </c>
      <c r="C775" s="162">
        <v>312920.88</v>
      </c>
      <c r="F775" s="162">
        <v>312920.88</v>
      </c>
    </row>
    <row r="776" spans="1:6" x14ac:dyDescent="0.25">
      <c r="A776" s="3" t="s">
        <v>8</v>
      </c>
      <c r="B776" s="4">
        <v>43140</v>
      </c>
      <c r="C776" s="162">
        <v>1302066.46</v>
      </c>
      <c r="D776" s="162">
        <v>5878.5</v>
      </c>
      <c r="F776" s="162">
        <v>1296187.96</v>
      </c>
    </row>
    <row r="777" spans="1:6" x14ac:dyDescent="0.25">
      <c r="A777" s="3" t="s">
        <v>9</v>
      </c>
      <c r="B777" s="4">
        <v>43140</v>
      </c>
      <c r="C777" s="162">
        <v>135540.95000000001</v>
      </c>
      <c r="D777" s="162">
        <v>5100</v>
      </c>
      <c r="E777" s="162">
        <v>59.93</v>
      </c>
      <c r="F777" s="162">
        <v>130381.02</v>
      </c>
    </row>
    <row r="778" spans="1:6" x14ac:dyDescent="0.25">
      <c r="A778" s="3" t="s">
        <v>12</v>
      </c>
      <c r="B778" s="4">
        <v>43140</v>
      </c>
      <c r="C778" s="162">
        <v>35859.01</v>
      </c>
      <c r="F778" s="162">
        <v>35859.01</v>
      </c>
    </row>
    <row r="779" spans="1:6" x14ac:dyDescent="0.25">
      <c r="A779" s="3" t="s">
        <v>10</v>
      </c>
      <c r="B779" s="4">
        <v>43140</v>
      </c>
      <c r="C779" s="162">
        <v>83302.350000000006</v>
      </c>
      <c r="D779" s="162">
        <v>1118.3</v>
      </c>
      <c r="E779" s="162">
        <v>5.27</v>
      </c>
      <c r="F779" s="162">
        <v>82178.78</v>
      </c>
    </row>
    <row r="780" spans="1:6" x14ac:dyDescent="0.25">
      <c r="A780" s="3" t="s">
        <v>11</v>
      </c>
      <c r="B780" s="4">
        <v>43145</v>
      </c>
      <c r="C780" s="162">
        <v>87048.65</v>
      </c>
      <c r="D780" s="162">
        <v>2568.6</v>
      </c>
      <c r="E780" s="162">
        <v>453.97</v>
      </c>
      <c r="F780" s="162">
        <v>84026.08</v>
      </c>
    </row>
    <row r="781" spans="1:6" x14ac:dyDescent="0.25">
      <c r="A781" s="3" t="s">
        <v>6</v>
      </c>
      <c r="B781" s="4">
        <v>43145</v>
      </c>
      <c r="C781" s="162">
        <v>169112.58</v>
      </c>
      <c r="F781" s="162">
        <v>169112.58</v>
      </c>
    </row>
    <row r="782" spans="1:6" x14ac:dyDescent="0.25">
      <c r="A782" s="3" t="s">
        <v>7</v>
      </c>
      <c r="B782" s="4">
        <v>43145</v>
      </c>
      <c r="C782" s="162">
        <v>101423.67999999999</v>
      </c>
      <c r="E782" s="162">
        <v>27.68</v>
      </c>
      <c r="F782" s="162">
        <v>101396</v>
      </c>
    </row>
    <row r="783" spans="1:6" x14ac:dyDescent="0.25">
      <c r="A783" s="3" t="s">
        <v>9</v>
      </c>
      <c r="B783" s="4">
        <v>43145</v>
      </c>
      <c r="C783" s="162">
        <v>205446.52</v>
      </c>
      <c r="E783" s="162">
        <v>99.77</v>
      </c>
      <c r="F783" s="162">
        <v>205346.75</v>
      </c>
    </row>
    <row r="784" spans="1:6" x14ac:dyDescent="0.25">
      <c r="A784" s="3" t="s">
        <v>8</v>
      </c>
      <c r="B784" s="4">
        <v>43145</v>
      </c>
      <c r="C784" s="162">
        <v>168568.29</v>
      </c>
      <c r="F784" s="162">
        <v>168568.29</v>
      </c>
    </row>
    <row r="785" spans="1:6" x14ac:dyDescent="0.25">
      <c r="A785" s="3" t="s">
        <v>10</v>
      </c>
      <c r="B785" s="4">
        <v>43145</v>
      </c>
      <c r="C785" s="162">
        <v>293343.69</v>
      </c>
      <c r="F785" s="162">
        <v>293343.69</v>
      </c>
    </row>
    <row r="786" spans="1:6" x14ac:dyDescent="0.25">
      <c r="A786" s="3" t="s">
        <v>11</v>
      </c>
      <c r="B786" s="4">
        <v>43146</v>
      </c>
      <c r="C786" s="162">
        <v>143718.78</v>
      </c>
      <c r="E786" s="162">
        <v>9.69</v>
      </c>
      <c r="F786" s="162">
        <v>143709.09</v>
      </c>
    </row>
    <row r="787" spans="1:6" x14ac:dyDescent="0.25">
      <c r="A787" s="3" t="s">
        <v>6</v>
      </c>
      <c r="B787" s="4">
        <v>43146</v>
      </c>
      <c r="C787" s="162">
        <v>103434.54</v>
      </c>
      <c r="F787" s="162">
        <v>103434.54</v>
      </c>
    </row>
    <row r="788" spans="1:6" x14ac:dyDescent="0.25">
      <c r="A788" s="3" t="s">
        <v>7</v>
      </c>
      <c r="B788" s="4">
        <v>43146</v>
      </c>
      <c r="C788" s="162">
        <v>81581.63</v>
      </c>
      <c r="E788" s="162">
        <v>281.39999999999998</v>
      </c>
      <c r="F788" s="162">
        <v>81300.23</v>
      </c>
    </row>
    <row r="789" spans="1:6" x14ac:dyDescent="0.25">
      <c r="A789" s="3" t="s">
        <v>8</v>
      </c>
      <c r="B789" s="4">
        <v>43146</v>
      </c>
      <c r="C789" s="162">
        <v>119258.69</v>
      </c>
      <c r="E789" s="162">
        <v>53.32</v>
      </c>
      <c r="F789" s="162">
        <v>119205.37</v>
      </c>
    </row>
    <row r="790" spans="1:6" x14ac:dyDescent="0.25">
      <c r="A790" s="3" t="s">
        <v>12</v>
      </c>
      <c r="B790" s="4">
        <v>43146</v>
      </c>
      <c r="C790" s="162">
        <v>47264.33</v>
      </c>
      <c r="E790" s="162">
        <v>996.04</v>
      </c>
      <c r="F790" s="162">
        <v>46268.29</v>
      </c>
    </row>
    <row r="791" spans="1:6" x14ac:dyDescent="0.25">
      <c r="A791" s="3" t="s">
        <v>11</v>
      </c>
      <c r="B791" s="4">
        <v>43147</v>
      </c>
      <c r="C791" s="162">
        <v>83379.58</v>
      </c>
      <c r="E791" s="162">
        <v>131.77000000000001</v>
      </c>
      <c r="F791" s="162">
        <v>83247.81</v>
      </c>
    </row>
    <row r="792" spans="1:6" x14ac:dyDescent="0.25">
      <c r="A792" s="3" t="s">
        <v>6</v>
      </c>
      <c r="B792" s="4">
        <v>43147</v>
      </c>
      <c r="C792" s="162">
        <v>30409.46</v>
      </c>
      <c r="D792" s="162">
        <v>833.31</v>
      </c>
      <c r="E792" s="162">
        <v>149.79</v>
      </c>
      <c r="F792" s="162">
        <v>29426.36</v>
      </c>
    </row>
    <row r="793" spans="1:6" x14ac:dyDescent="0.25">
      <c r="A793" s="3" t="s">
        <v>7</v>
      </c>
      <c r="B793" s="4">
        <v>43147</v>
      </c>
      <c r="C793" s="162">
        <v>306628.17</v>
      </c>
      <c r="F793" s="162">
        <v>306628.17</v>
      </c>
    </row>
    <row r="794" spans="1:6" x14ac:dyDescent="0.25">
      <c r="A794" s="3" t="s">
        <v>11</v>
      </c>
      <c r="B794" s="4">
        <v>43150</v>
      </c>
      <c r="C794" s="162">
        <v>117719.73</v>
      </c>
      <c r="E794" s="162">
        <v>2203.89</v>
      </c>
      <c r="F794" s="162">
        <v>115515.84</v>
      </c>
    </row>
    <row r="795" spans="1:6" x14ac:dyDescent="0.25">
      <c r="A795" s="3" t="s">
        <v>6</v>
      </c>
      <c r="B795" s="4">
        <v>43150</v>
      </c>
      <c r="C795" s="162">
        <v>79878.7</v>
      </c>
      <c r="E795" s="162">
        <v>102.56</v>
      </c>
      <c r="F795" s="162">
        <v>79776.14</v>
      </c>
    </row>
    <row r="796" spans="1:6" x14ac:dyDescent="0.25">
      <c r="A796" s="3" t="s">
        <v>7</v>
      </c>
      <c r="B796" s="4">
        <v>43150</v>
      </c>
      <c r="C796" s="162">
        <v>21085.5</v>
      </c>
      <c r="F796" s="162">
        <v>21085.5</v>
      </c>
    </row>
    <row r="797" spans="1:6" x14ac:dyDescent="0.25">
      <c r="A797" s="3" t="s">
        <v>8</v>
      </c>
      <c r="B797" s="4">
        <v>43150</v>
      </c>
      <c r="C797" s="162">
        <v>15582.21</v>
      </c>
      <c r="D797" s="162">
        <v>14910.14</v>
      </c>
      <c r="E797" s="162">
        <v>508.71</v>
      </c>
      <c r="F797" s="162">
        <v>163.36000000000001</v>
      </c>
    </row>
    <row r="798" spans="1:6" x14ac:dyDescent="0.25">
      <c r="A798" s="3" t="s">
        <v>9</v>
      </c>
      <c r="B798" s="4">
        <v>43150</v>
      </c>
      <c r="C798" s="162">
        <v>111750.24</v>
      </c>
      <c r="F798" s="162">
        <v>111750.24</v>
      </c>
    </row>
    <row r="799" spans="1:6" x14ac:dyDescent="0.25">
      <c r="A799" s="3" t="s">
        <v>12</v>
      </c>
      <c r="B799" s="4">
        <v>43150</v>
      </c>
      <c r="C799" s="162">
        <v>99613.19</v>
      </c>
      <c r="E799" s="162">
        <v>518.21</v>
      </c>
      <c r="F799" s="162">
        <v>99094.98</v>
      </c>
    </row>
    <row r="800" spans="1:6" x14ac:dyDescent="0.25">
      <c r="A800" s="3" t="s">
        <v>14</v>
      </c>
      <c r="B800" s="4">
        <v>43150</v>
      </c>
      <c r="C800" s="162">
        <v>200602.51</v>
      </c>
      <c r="F800" s="162">
        <v>200602.51</v>
      </c>
    </row>
    <row r="801" spans="1:6" x14ac:dyDescent="0.25">
      <c r="A801" s="3" t="s">
        <v>13</v>
      </c>
      <c r="B801" s="4">
        <v>43150</v>
      </c>
      <c r="C801" s="162">
        <v>105748.87</v>
      </c>
      <c r="D801" s="162">
        <v>9626.34</v>
      </c>
      <c r="E801" s="162">
        <v>1229.8699999999999</v>
      </c>
      <c r="F801" s="162">
        <v>94892.66</v>
      </c>
    </row>
    <row r="802" spans="1:6" x14ac:dyDescent="0.25">
      <c r="A802" s="3" t="s">
        <v>11</v>
      </c>
      <c r="B802" s="4">
        <v>43151</v>
      </c>
      <c r="C802" s="162">
        <v>42870.81</v>
      </c>
      <c r="F802" s="162">
        <v>42870.81</v>
      </c>
    </row>
    <row r="803" spans="1:6" x14ac:dyDescent="0.25">
      <c r="A803" s="3" t="s">
        <v>6</v>
      </c>
      <c r="B803" s="4">
        <v>43151</v>
      </c>
      <c r="C803" s="162">
        <v>75444.460000000006</v>
      </c>
      <c r="E803" s="162">
        <v>91.74</v>
      </c>
      <c r="F803" s="162">
        <v>75352.72</v>
      </c>
    </row>
    <row r="804" spans="1:6" x14ac:dyDescent="0.25">
      <c r="A804" s="3" t="s">
        <v>7</v>
      </c>
      <c r="B804" s="4">
        <v>43151</v>
      </c>
      <c r="C804" s="162">
        <v>821517.17</v>
      </c>
      <c r="D804" s="162">
        <v>22912.32</v>
      </c>
      <c r="E804" s="162">
        <v>69.16</v>
      </c>
      <c r="F804" s="162">
        <v>798535.69</v>
      </c>
    </row>
    <row r="805" spans="1:6" x14ac:dyDescent="0.25">
      <c r="A805" s="3" t="s">
        <v>8</v>
      </c>
      <c r="B805" s="4">
        <v>43151</v>
      </c>
      <c r="C805" s="162">
        <v>119195.22</v>
      </c>
      <c r="E805" s="162">
        <v>183.27</v>
      </c>
      <c r="F805" s="162">
        <v>119011.95</v>
      </c>
    </row>
    <row r="806" spans="1:6" x14ac:dyDescent="0.25">
      <c r="A806" s="3" t="s">
        <v>12</v>
      </c>
      <c r="B806" s="4">
        <v>43151</v>
      </c>
      <c r="C806" s="162">
        <v>97374.63</v>
      </c>
      <c r="F806" s="162">
        <v>97374.63</v>
      </c>
    </row>
    <row r="807" spans="1:6" x14ac:dyDescent="0.25">
      <c r="A807" s="3" t="s">
        <v>10</v>
      </c>
      <c r="B807" s="4">
        <v>43151</v>
      </c>
      <c r="C807" s="162">
        <v>406118</v>
      </c>
      <c r="F807" s="162">
        <v>406118</v>
      </c>
    </row>
    <row r="808" spans="1:6" x14ac:dyDescent="0.25">
      <c r="A808" s="3" t="s">
        <v>9</v>
      </c>
      <c r="B808" s="4">
        <v>43151</v>
      </c>
      <c r="C808" s="162">
        <v>240672.05</v>
      </c>
      <c r="E808" s="162">
        <v>139.18</v>
      </c>
      <c r="F808" s="162">
        <v>240532.87</v>
      </c>
    </row>
    <row r="809" spans="1:6" x14ac:dyDescent="0.25">
      <c r="A809" s="3" t="s">
        <v>14</v>
      </c>
      <c r="B809" s="4">
        <v>43151</v>
      </c>
      <c r="C809" s="162">
        <v>153229.60999999999</v>
      </c>
      <c r="D809" s="162">
        <v>8343.7099999999991</v>
      </c>
      <c r="E809" s="162">
        <v>11.8</v>
      </c>
      <c r="F809" s="162">
        <v>144874.1</v>
      </c>
    </row>
    <row r="810" spans="1:6" x14ac:dyDescent="0.25">
      <c r="A810" s="3" t="s">
        <v>13</v>
      </c>
      <c r="B810" s="4">
        <v>43151</v>
      </c>
      <c r="C810" s="162">
        <v>175122.11</v>
      </c>
      <c r="F810" s="162">
        <v>175122.11</v>
      </c>
    </row>
    <row r="811" spans="1:6" x14ac:dyDescent="0.25">
      <c r="A811" s="3" t="s">
        <v>15</v>
      </c>
      <c r="B811" s="4">
        <v>43151</v>
      </c>
      <c r="C811" s="162">
        <v>167383.54999999999</v>
      </c>
      <c r="E811" s="162">
        <v>378.66</v>
      </c>
      <c r="F811" s="162">
        <v>167004.89000000001</v>
      </c>
    </row>
    <row r="812" spans="1:6" x14ac:dyDescent="0.25">
      <c r="A812" s="3" t="s">
        <v>16</v>
      </c>
      <c r="B812" s="4">
        <v>43151</v>
      </c>
      <c r="C812" s="162">
        <v>59183.67</v>
      </c>
      <c r="F812" s="162">
        <v>59183.67</v>
      </c>
    </row>
    <row r="813" spans="1:6" x14ac:dyDescent="0.25">
      <c r="A813" s="3" t="s">
        <v>20</v>
      </c>
      <c r="B813" s="4">
        <v>43151</v>
      </c>
      <c r="C813" s="162">
        <v>75933.440000000002</v>
      </c>
      <c r="F813" s="162">
        <v>75933.440000000002</v>
      </c>
    </row>
    <row r="814" spans="1:6" x14ac:dyDescent="0.25">
      <c r="A814" s="3" t="s">
        <v>24</v>
      </c>
      <c r="B814" s="4">
        <v>43151</v>
      </c>
      <c r="C814" s="162">
        <v>110645.13</v>
      </c>
      <c r="F814" s="162">
        <v>110645.13</v>
      </c>
    </row>
    <row r="815" spans="1:6" x14ac:dyDescent="0.25">
      <c r="A815" s="3" t="s">
        <v>19</v>
      </c>
      <c r="B815" s="4">
        <v>43151</v>
      </c>
      <c r="C815" s="162">
        <v>106106.66</v>
      </c>
      <c r="D815" s="162">
        <v>915.74</v>
      </c>
      <c r="E815" s="162">
        <v>394.46</v>
      </c>
      <c r="F815" s="162">
        <v>104796.46</v>
      </c>
    </row>
    <row r="816" spans="1:6" x14ac:dyDescent="0.25">
      <c r="A816" s="3" t="s">
        <v>7</v>
      </c>
      <c r="B816" s="4">
        <v>43152</v>
      </c>
      <c r="C816" s="162">
        <v>25927.06</v>
      </c>
      <c r="D816" s="162">
        <v>1238.5899999999999</v>
      </c>
      <c r="E816" s="162">
        <v>5.27</v>
      </c>
      <c r="F816" s="162">
        <v>24683.200000000001</v>
      </c>
    </row>
    <row r="817" spans="1:6" x14ac:dyDescent="0.25">
      <c r="A817" s="3" t="s">
        <v>8</v>
      </c>
      <c r="B817" s="4">
        <v>43152</v>
      </c>
      <c r="C817" s="162">
        <v>130469.79</v>
      </c>
      <c r="F817" s="162">
        <v>130469.79</v>
      </c>
    </row>
    <row r="818" spans="1:6" x14ac:dyDescent="0.25">
      <c r="A818" s="3" t="s">
        <v>9</v>
      </c>
      <c r="B818" s="4">
        <v>43152</v>
      </c>
      <c r="C818" s="162">
        <v>13871.85</v>
      </c>
      <c r="D818" s="162">
        <v>13305.98</v>
      </c>
      <c r="E818" s="162">
        <v>36.89</v>
      </c>
      <c r="F818" s="162">
        <v>528.98</v>
      </c>
    </row>
    <row r="819" spans="1:6" x14ac:dyDescent="0.25">
      <c r="A819" s="3" t="s">
        <v>12</v>
      </c>
      <c r="B819" s="4">
        <v>43152</v>
      </c>
      <c r="C819" s="162">
        <v>115292.96</v>
      </c>
      <c r="E819" s="162">
        <v>1069.56</v>
      </c>
      <c r="F819" s="162">
        <v>114223.4</v>
      </c>
    </row>
    <row r="820" spans="1:6" x14ac:dyDescent="0.25">
      <c r="A820" s="3" t="s">
        <v>13</v>
      </c>
      <c r="B820" s="4">
        <v>43152</v>
      </c>
      <c r="C820" s="162">
        <v>68634.13</v>
      </c>
      <c r="F820" s="162">
        <v>68634.13</v>
      </c>
    </row>
    <row r="821" spans="1:6" x14ac:dyDescent="0.25">
      <c r="A821" s="3" t="s">
        <v>10</v>
      </c>
      <c r="B821" s="4">
        <v>43152</v>
      </c>
      <c r="C821" s="162">
        <v>76021.289999999994</v>
      </c>
      <c r="D821" s="162">
        <v>2636.86</v>
      </c>
      <c r="E821" s="162">
        <v>10.54</v>
      </c>
      <c r="F821" s="162">
        <v>73373.89</v>
      </c>
    </row>
    <row r="822" spans="1:6" x14ac:dyDescent="0.25">
      <c r="A822" s="3" t="s">
        <v>11</v>
      </c>
      <c r="B822" s="4">
        <v>43153</v>
      </c>
      <c r="C822" s="162">
        <v>138598.49</v>
      </c>
      <c r="F822" s="162">
        <v>138598.49</v>
      </c>
    </row>
    <row r="823" spans="1:6" x14ac:dyDescent="0.25">
      <c r="A823" s="3" t="s">
        <v>6</v>
      </c>
      <c r="B823" s="4">
        <v>43153</v>
      </c>
      <c r="C823" s="162">
        <v>95741.440000000002</v>
      </c>
      <c r="F823" s="162">
        <v>95741.440000000002</v>
      </c>
    </row>
    <row r="824" spans="1:6" x14ac:dyDescent="0.25">
      <c r="A824" s="3" t="s">
        <v>7</v>
      </c>
      <c r="B824" s="4">
        <v>43153</v>
      </c>
      <c r="C824" s="162">
        <v>89884.85</v>
      </c>
      <c r="E824" s="162">
        <v>133.24</v>
      </c>
      <c r="F824" s="162">
        <v>89751.61</v>
      </c>
    </row>
    <row r="825" spans="1:6" x14ac:dyDescent="0.25">
      <c r="A825" s="3" t="s">
        <v>8</v>
      </c>
      <c r="B825" s="4">
        <v>43153</v>
      </c>
      <c r="C825" s="162">
        <v>141812.22</v>
      </c>
      <c r="E825" s="162">
        <v>13.28</v>
      </c>
      <c r="F825" s="162">
        <v>141798.94</v>
      </c>
    </row>
    <row r="826" spans="1:6" x14ac:dyDescent="0.25">
      <c r="A826" s="3" t="s">
        <v>9</v>
      </c>
      <c r="B826" s="4">
        <v>43153</v>
      </c>
      <c r="C826" s="162">
        <v>146146.57</v>
      </c>
      <c r="E826" s="162">
        <v>50.35</v>
      </c>
      <c r="F826" s="162">
        <v>146096.22</v>
      </c>
    </row>
    <row r="827" spans="1:6" x14ac:dyDescent="0.25">
      <c r="A827" s="3" t="s">
        <v>12</v>
      </c>
      <c r="B827" s="4">
        <v>43153</v>
      </c>
      <c r="C827" s="162">
        <v>93651.04</v>
      </c>
      <c r="F827" s="162">
        <v>93651.04</v>
      </c>
    </row>
    <row r="828" spans="1:6" x14ac:dyDescent="0.25">
      <c r="A828" s="3" t="s">
        <v>14</v>
      </c>
      <c r="B828" s="4">
        <v>43153</v>
      </c>
      <c r="C828" s="162">
        <v>59153.1</v>
      </c>
      <c r="D828" s="162">
        <v>1482.35</v>
      </c>
      <c r="E828" s="162">
        <v>230.85</v>
      </c>
      <c r="F828" s="162">
        <v>57439.9</v>
      </c>
    </row>
    <row r="829" spans="1:6" x14ac:dyDescent="0.25">
      <c r="A829" s="3" t="s">
        <v>13</v>
      </c>
      <c r="B829" s="4">
        <v>43153</v>
      </c>
      <c r="C829" s="162">
        <v>102099.85</v>
      </c>
      <c r="F829" s="162">
        <v>102099.85</v>
      </c>
    </row>
    <row r="830" spans="1:6" x14ac:dyDescent="0.25">
      <c r="A830" s="3" t="s">
        <v>11</v>
      </c>
      <c r="B830" s="4">
        <v>43154</v>
      </c>
      <c r="C830" s="162">
        <v>19308.23</v>
      </c>
      <c r="D830" s="162">
        <v>1038.23</v>
      </c>
      <c r="E830" s="162">
        <v>241.41</v>
      </c>
      <c r="F830" s="162">
        <v>18028.59</v>
      </c>
    </row>
    <row r="831" spans="1:6" x14ac:dyDescent="0.25">
      <c r="A831" s="3" t="s">
        <v>6</v>
      </c>
      <c r="B831" s="4">
        <v>43154</v>
      </c>
      <c r="C831" s="162">
        <v>108493.08</v>
      </c>
      <c r="F831" s="162">
        <v>108493.08</v>
      </c>
    </row>
    <row r="832" spans="1:6" x14ac:dyDescent="0.25">
      <c r="A832" s="3" t="s">
        <v>7</v>
      </c>
      <c r="B832" s="4">
        <v>43154</v>
      </c>
      <c r="C832" s="162">
        <v>103627.47</v>
      </c>
      <c r="F832" s="162">
        <v>103627.47</v>
      </c>
    </row>
    <row r="833" spans="1:6" x14ac:dyDescent="0.25">
      <c r="A833" s="3" t="s">
        <v>8</v>
      </c>
      <c r="B833" s="4">
        <v>43154</v>
      </c>
      <c r="C833" s="162">
        <v>131460.88</v>
      </c>
      <c r="E833" s="162">
        <v>77.48</v>
      </c>
      <c r="F833" s="162">
        <v>131383.4</v>
      </c>
    </row>
    <row r="834" spans="1:6" x14ac:dyDescent="0.25">
      <c r="A834" s="3" t="s">
        <v>9</v>
      </c>
      <c r="B834" s="4">
        <v>43154</v>
      </c>
      <c r="C834" s="162">
        <v>272179.38</v>
      </c>
      <c r="F834" s="162">
        <v>272179.38</v>
      </c>
    </row>
    <row r="835" spans="1:6" x14ac:dyDescent="0.25">
      <c r="A835" s="3" t="s">
        <v>12</v>
      </c>
      <c r="B835" s="4">
        <v>43154</v>
      </c>
      <c r="C835" s="162">
        <v>154776.99</v>
      </c>
      <c r="D835" s="162">
        <v>337.11</v>
      </c>
      <c r="F835" s="162">
        <v>154439.88</v>
      </c>
    </row>
    <row r="836" spans="1:6" x14ac:dyDescent="0.25">
      <c r="A836" s="3" t="s">
        <v>11</v>
      </c>
      <c r="B836" s="4">
        <v>43157</v>
      </c>
      <c r="C836" s="162">
        <v>20898.509999999998</v>
      </c>
      <c r="E836" s="162">
        <v>110.07</v>
      </c>
      <c r="F836" s="162">
        <v>20788.439999999999</v>
      </c>
    </row>
    <row r="837" spans="1:6" x14ac:dyDescent="0.25">
      <c r="A837" s="3" t="s">
        <v>6</v>
      </c>
      <c r="B837" s="4">
        <v>43157</v>
      </c>
      <c r="C837" s="162">
        <v>185833.74</v>
      </c>
      <c r="F837" s="162">
        <v>185833.74</v>
      </c>
    </row>
    <row r="838" spans="1:6" x14ac:dyDescent="0.25">
      <c r="A838" s="3" t="s">
        <v>7</v>
      </c>
      <c r="B838" s="4">
        <v>43157</v>
      </c>
      <c r="C838" s="162">
        <v>212061.51</v>
      </c>
      <c r="D838" s="162">
        <v>5693.42</v>
      </c>
      <c r="E838" s="162">
        <v>9.17</v>
      </c>
      <c r="F838" s="162">
        <v>206358.92</v>
      </c>
    </row>
    <row r="839" spans="1:6" x14ac:dyDescent="0.25">
      <c r="A839" s="3" t="s">
        <v>8</v>
      </c>
      <c r="B839" s="4">
        <v>43157</v>
      </c>
      <c r="C839" s="162">
        <v>53785.71</v>
      </c>
      <c r="F839" s="162">
        <v>53785.71</v>
      </c>
    </row>
    <row r="840" spans="1:6" x14ac:dyDescent="0.25">
      <c r="A840" s="3" t="s">
        <v>6</v>
      </c>
      <c r="B840" s="4">
        <v>43158</v>
      </c>
      <c r="C840" s="162">
        <v>18961</v>
      </c>
      <c r="E840" s="162">
        <v>238.59</v>
      </c>
      <c r="F840" s="162">
        <v>18722.41</v>
      </c>
    </row>
    <row r="841" spans="1:6" x14ac:dyDescent="0.25">
      <c r="A841" s="3" t="s">
        <v>7</v>
      </c>
      <c r="B841" s="4">
        <v>43158</v>
      </c>
      <c r="C841" s="162">
        <v>31418.33</v>
      </c>
      <c r="D841" s="162">
        <v>1318.69</v>
      </c>
      <c r="E841" s="162">
        <v>7.9</v>
      </c>
      <c r="F841" s="162">
        <v>30091.74</v>
      </c>
    </row>
    <row r="842" spans="1:6" x14ac:dyDescent="0.25">
      <c r="A842" s="3" t="s">
        <v>11</v>
      </c>
      <c r="B842" s="4">
        <v>43158</v>
      </c>
      <c r="C842" s="162">
        <v>6481.59</v>
      </c>
      <c r="D842" s="162">
        <v>6476.32</v>
      </c>
      <c r="E842" s="162">
        <v>5.27</v>
      </c>
      <c r="F842" s="162">
        <v>0</v>
      </c>
    </row>
    <row r="843" spans="1:6" x14ac:dyDescent="0.25">
      <c r="A843" s="3" t="s">
        <v>12</v>
      </c>
      <c r="B843" s="4">
        <v>43158</v>
      </c>
      <c r="C843" s="162">
        <v>180310.15</v>
      </c>
      <c r="D843" s="162">
        <v>52785.3</v>
      </c>
      <c r="E843" s="162">
        <v>27369.81</v>
      </c>
      <c r="F843" s="162">
        <v>100155.04</v>
      </c>
    </row>
    <row r="844" spans="1:6" x14ac:dyDescent="0.25">
      <c r="A844" s="3" t="s">
        <v>14</v>
      </c>
      <c r="B844" s="4">
        <v>43158</v>
      </c>
      <c r="C844" s="162">
        <v>47820.3</v>
      </c>
      <c r="F844" s="162">
        <v>47820.3</v>
      </c>
    </row>
    <row r="845" spans="1:6" x14ac:dyDescent="0.25">
      <c r="A845" s="3" t="s">
        <v>13</v>
      </c>
      <c r="B845" s="4">
        <v>43158</v>
      </c>
      <c r="C845" s="162">
        <v>32125.13</v>
      </c>
      <c r="F845" s="162">
        <v>32125.13</v>
      </c>
    </row>
    <row r="846" spans="1:6" x14ac:dyDescent="0.25">
      <c r="A846" s="3" t="s">
        <v>9</v>
      </c>
      <c r="B846" s="4">
        <v>43158</v>
      </c>
      <c r="C846" s="162">
        <v>56265.279999999999</v>
      </c>
      <c r="F846" s="162">
        <v>56265.279999999999</v>
      </c>
    </row>
    <row r="847" spans="1:6" x14ac:dyDescent="0.25">
      <c r="A847" s="3" t="s">
        <v>6</v>
      </c>
      <c r="B847" s="4">
        <v>43159</v>
      </c>
      <c r="C847" s="162">
        <v>33739.599999999999</v>
      </c>
      <c r="E847" s="162">
        <v>51.88</v>
      </c>
      <c r="F847" s="162">
        <v>33687.72</v>
      </c>
    </row>
    <row r="848" spans="1:6" x14ac:dyDescent="0.25">
      <c r="A848" s="3" t="s">
        <v>11</v>
      </c>
      <c r="B848" s="4">
        <v>43159</v>
      </c>
      <c r="C848" s="162">
        <v>106299.39</v>
      </c>
      <c r="E848" s="162">
        <v>176.87</v>
      </c>
      <c r="F848" s="162">
        <v>106122.52</v>
      </c>
    </row>
    <row r="849" spans="1:6" x14ac:dyDescent="0.25">
      <c r="A849" s="3" t="s">
        <v>7</v>
      </c>
      <c r="B849" s="4">
        <v>43159</v>
      </c>
      <c r="C849" s="162">
        <v>57902.31</v>
      </c>
      <c r="F849" s="162">
        <v>57902.31</v>
      </c>
    </row>
    <row r="850" spans="1:6" x14ac:dyDescent="0.25">
      <c r="A850" s="3" t="s">
        <v>9</v>
      </c>
      <c r="B850" s="4">
        <v>43159</v>
      </c>
      <c r="C850" s="162">
        <v>105237.96</v>
      </c>
      <c r="F850" s="162">
        <v>105237.96</v>
      </c>
    </row>
    <row r="851" spans="1:6" x14ac:dyDescent="0.25">
      <c r="A851" s="3" t="s">
        <v>8</v>
      </c>
      <c r="B851" s="4">
        <v>43159</v>
      </c>
      <c r="C851" s="162">
        <v>42629.43</v>
      </c>
      <c r="F851" s="162">
        <v>42629.43</v>
      </c>
    </row>
    <row r="852" spans="1:6" x14ac:dyDescent="0.25">
      <c r="A852" s="3" t="s">
        <v>12</v>
      </c>
      <c r="B852" s="4">
        <v>43159</v>
      </c>
      <c r="C852" s="162">
        <v>59287.62</v>
      </c>
      <c r="F852" s="162">
        <v>59287.62</v>
      </c>
    </row>
    <row r="853" spans="1:6" x14ac:dyDescent="0.25">
      <c r="A853" s="3" t="s">
        <v>10</v>
      </c>
      <c r="B853" s="4">
        <v>43159</v>
      </c>
      <c r="C853" s="162">
        <v>12543</v>
      </c>
      <c r="F853" s="162">
        <v>12543</v>
      </c>
    </row>
    <row r="854" spans="1:6" x14ac:dyDescent="0.25">
      <c r="A854" s="3" t="s">
        <v>15</v>
      </c>
      <c r="B854" s="4">
        <v>43159</v>
      </c>
      <c r="C854" s="162">
        <v>71645.740000000005</v>
      </c>
      <c r="E854" s="162">
        <v>1586.12</v>
      </c>
      <c r="F854" s="162">
        <v>70059.62</v>
      </c>
    </row>
    <row r="855" spans="1:6" x14ac:dyDescent="0.25">
      <c r="A855" s="3" t="s">
        <v>13</v>
      </c>
      <c r="B855" s="4">
        <v>43159</v>
      </c>
      <c r="C855" s="162">
        <v>73116.320000000007</v>
      </c>
      <c r="E855" s="162">
        <v>35.01</v>
      </c>
      <c r="F855" s="162">
        <v>73081.31</v>
      </c>
    </row>
    <row r="856" spans="1:6" x14ac:dyDescent="0.25">
      <c r="A856" s="3" t="s">
        <v>16</v>
      </c>
      <c r="B856" s="4">
        <v>43159</v>
      </c>
      <c r="C856" s="162">
        <v>266033.43</v>
      </c>
      <c r="F856" s="162">
        <v>266033.43</v>
      </c>
    </row>
    <row r="857" spans="1:6" x14ac:dyDescent="0.25">
      <c r="A857" s="3" t="s">
        <v>11</v>
      </c>
      <c r="B857" s="4">
        <v>43160</v>
      </c>
      <c r="C857" s="162">
        <v>23706.59</v>
      </c>
      <c r="F857" s="162">
        <v>23706.59</v>
      </c>
    </row>
    <row r="858" spans="1:6" x14ac:dyDescent="0.25">
      <c r="A858" s="3" t="s">
        <v>6</v>
      </c>
      <c r="B858" s="4">
        <v>43160</v>
      </c>
      <c r="C858" s="162">
        <v>347561.23</v>
      </c>
      <c r="F858" s="162">
        <v>347561.23</v>
      </c>
    </row>
    <row r="859" spans="1:6" x14ac:dyDescent="0.25">
      <c r="A859" s="3" t="s">
        <v>7</v>
      </c>
      <c r="B859" s="4">
        <v>43160</v>
      </c>
      <c r="C859" s="162">
        <v>33656.379999999997</v>
      </c>
      <c r="D859" s="162">
        <v>906.98</v>
      </c>
      <c r="E859" s="162">
        <v>380.83</v>
      </c>
      <c r="F859" s="162">
        <v>32368.57</v>
      </c>
    </row>
    <row r="860" spans="1:6" x14ac:dyDescent="0.25">
      <c r="A860" s="3" t="s">
        <v>8</v>
      </c>
      <c r="B860" s="4">
        <v>43160</v>
      </c>
      <c r="C860" s="162">
        <v>37489.300000000003</v>
      </c>
      <c r="D860" s="162">
        <v>1784.04</v>
      </c>
      <c r="E860" s="162">
        <v>5382.26</v>
      </c>
      <c r="F860" s="162">
        <v>30323</v>
      </c>
    </row>
    <row r="861" spans="1:6" x14ac:dyDescent="0.25">
      <c r="A861" s="3" t="s">
        <v>9</v>
      </c>
      <c r="B861" s="4">
        <v>43160</v>
      </c>
      <c r="C861" s="162">
        <v>33723.9</v>
      </c>
      <c r="F861" s="162">
        <v>33723.9</v>
      </c>
    </row>
    <row r="862" spans="1:6" x14ac:dyDescent="0.25">
      <c r="A862" s="3" t="s">
        <v>12</v>
      </c>
      <c r="B862" s="4">
        <v>43160</v>
      </c>
      <c r="C862" s="162">
        <v>41998.71</v>
      </c>
      <c r="F862" s="162">
        <v>41998.71</v>
      </c>
    </row>
    <row r="863" spans="1:6" x14ac:dyDescent="0.25">
      <c r="A863" s="3" t="s">
        <v>10</v>
      </c>
      <c r="B863" s="4">
        <v>43160</v>
      </c>
      <c r="C863" s="162">
        <v>59589.51</v>
      </c>
      <c r="D863" s="162">
        <v>3085.25</v>
      </c>
      <c r="E863" s="162">
        <v>111.5</v>
      </c>
      <c r="F863" s="162">
        <v>56392.76</v>
      </c>
    </row>
    <row r="864" spans="1:6" x14ac:dyDescent="0.25">
      <c r="A864" s="3" t="s">
        <v>13</v>
      </c>
      <c r="B864" s="4">
        <v>43160</v>
      </c>
      <c r="C864" s="162">
        <v>142406.24</v>
      </c>
      <c r="F864" s="162">
        <v>142406.24</v>
      </c>
    </row>
    <row r="865" spans="1:6" x14ac:dyDescent="0.25">
      <c r="A865" s="3" t="s">
        <v>6</v>
      </c>
      <c r="B865" s="4">
        <v>43161</v>
      </c>
      <c r="C865" s="162">
        <v>130482.77</v>
      </c>
      <c r="F865" s="162">
        <v>130482.77</v>
      </c>
    </row>
    <row r="866" spans="1:6" x14ac:dyDescent="0.25">
      <c r="A866" s="3" t="s">
        <v>11</v>
      </c>
      <c r="B866" s="4">
        <v>43161</v>
      </c>
      <c r="C866" s="162">
        <v>138405.79</v>
      </c>
      <c r="F866" s="162">
        <v>138405.79</v>
      </c>
    </row>
    <row r="867" spans="1:6" x14ac:dyDescent="0.25">
      <c r="A867" s="3" t="s">
        <v>8</v>
      </c>
      <c r="B867" s="4">
        <v>43161</v>
      </c>
      <c r="C867" s="162">
        <v>236616.66</v>
      </c>
      <c r="D867" s="162">
        <v>10191</v>
      </c>
      <c r="F867" s="162">
        <v>226425.66</v>
      </c>
    </row>
    <row r="868" spans="1:6" x14ac:dyDescent="0.25">
      <c r="A868" s="3" t="s">
        <v>11</v>
      </c>
      <c r="B868" s="4">
        <v>43164</v>
      </c>
      <c r="C868" s="162">
        <v>8702.5400000000009</v>
      </c>
      <c r="D868" s="162">
        <v>6860.54</v>
      </c>
      <c r="F868" s="162">
        <v>1842</v>
      </c>
    </row>
    <row r="869" spans="1:6" x14ac:dyDescent="0.25">
      <c r="A869" s="3" t="s">
        <v>6</v>
      </c>
      <c r="B869" s="4">
        <v>43164</v>
      </c>
      <c r="C869" s="162">
        <v>70860.34</v>
      </c>
      <c r="E869" s="162">
        <v>39.56</v>
      </c>
      <c r="F869" s="162">
        <v>70820.78</v>
      </c>
    </row>
    <row r="870" spans="1:6" x14ac:dyDescent="0.25">
      <c r="A870" s="3" t="s">
        <v>7</v>
      </c>
      <c r="B870" s="4">
        <v>43164</v>
      </c>
      <c r="C870" s="162">
        <v>110074.84</v>
      </c>
      <c r="E870" s="162">
        <v>17.52</v>
      </c>
      <c r="F870" s="162">
        <v>110057.32</v>
      </c>
    </row>
    <row r="871" spans="1:6" x14ac:dyDescent="0.25">
      <c r="A871" s="3" t="s">
        <v>8</v>
      </c>
      <c r="B871" s="4">
        <v>43164</v>
      </c>
      <c r="C871" s="162">
        <v>62636.99</v>
      </c>
      <c r="F871" s="162">
        <v>62636.99</v>
      </c>
    </row>
    <row r="872" spans="1:6" x14ac:dyDescent="0.25">
      <c r="A872" s="3" t="s">
        <v>9</v>
      </c>
      <c r="B872" s="4">
        <v>43164</v>
      </c>
      <c r="C872" s="162">
        <v>129697.52</v>
      </c>
      <c r="F872" s="162">
        <v>129697.52</v>
      </c>
    </row>
    <row r="873" spans="1:6" x14ac:dyDescent="0.25">
      <c r="A873" s="3" t="s">
        <v>10</v>
      </c>
      <c r="B873" s="4">
        <v>43164</v>
      </c>
      <c r="C873" s="162">
        <v>93319.93</v>
      </c>
      <c r="E873" s="162">
        <v>902.3</v>
      </c>
      <c r="F873" s="162">
        <v>92417.63</v>
      </c>
    </row>
    <row r="874" spans="1:6" x14ac:dyDescent="0.25">
      <c r="A874" s="3" t="s">
        <v>12</v>
      </c>
      <c r="B874" s="4">
        <v>43164</v>
      </c>
      <c r="C874" s="162">
        <v>50637.23</v>
      </c>
      <c r="F874" s="162">
        <v>50637.23</v>
      </c>
    </row>
    <row r="875" spans="1:6" x14ac:dyDescent="0.25">
      <c r="A875" s="3" t="s">
        <v>13</v>
      </c>
      <c r="B875" s="4">
        <v>43164</v>
      </c>
      <c r="C875" s="162">
        <v>54757.89</v>
      </c>
      <c r="F875" s="162">
        <v>54757.89</v>
      </c>
    </row>
    <row r="876" spans="1:6" x14ac:dyDescent="0.25">
      <c r="A876" s="3" t="s">
        <v>6</v>
      </c>
      <c r="B876" s="4">
        <v>43165</v>
      </c>
      <c r="C876" s="162">
        <v>79342.19</v>
      </c>
      <c r="F876" s="162">
        <v>79342.19</v>
      </c>
    </row>
    <row r="877" spans="1:6" x14ac:dyDescent="0.25">
      <c r="A877" s="3" t="s">
        <v>7</v>
      </c>
      <c r="B877" s="4">
        <v>43165</v>
      </c>
      <c r="C877" s="162">
        <v>869118.37</v>
      </c>
      <c r="F877" s="162">
        <v>869118.37</v>
      </c>
    </row>
    <row r="878" spans="1:6" x14ac:dyDescent="0.25">
      <c r="A878" s="3" t="s">
        <v>11</v>
      </c>
      <c r="B878" s="4">
        <v>43165</v>
      </c>
      <c r="C878" s="162">
        <v>183875.32</v>
      </c>
      <c r="F878" s="162">
        <v>183875.32</v>
      </c>
    </row>
    <row r="879" spans="1:6" x14ac:dyDescent="0.25">
      <c r="A879" s="3" t="s">
        <v>8</v>
      </c>
      <c r="B879" s="4">
        <v>43165</v>
      </c>
      <c r="C879" s="162">
        <v>729365.1</v>
      </c>
      <c r="F879" s="162">
        <v>729365.1</v>
      </c>
    </row>
    <row r="880" spans="1:6" x14ac:dyDescent="0.25">
      <c r="A880" s="3" t="s">
        <v>9</v>
      </c>
      <c r="B880" s="4">
        <v>43165</v>
      </c>
      <c r="C880" s="162">
        <v>72501.52</v>
      </c>
      <c r="D880" s="162">
        <v>3417.77</v>
      </c>
      <c r="E880" s="162">
        <v>555.41999999999996</v>
      </c>
      <c r="F880" s="162">
        <v>68528.33</v>
      </c>
    </row>
    <row r="881" spans="1:6" x14ac:dyDescent="0.25">
      <c r="A881" s="3" t="s">
        <v>10</v>
      </c>
      <c r="B881" s="4">
        <v>43165</v>
      </c>
      <c r="C881" s="162">
        <v>109612.47</v>
      </c>
      <c r="F881" s="162">
        <v>109612.47</v>
      </c>
    </row>
    <row r="882" spans="1:6" x14ac:dyDescent="0.25">
      <c r="A882" s="3" t="s">
        <v>14</v>
      </c>
      <c r="B882" s="4">
        <v>43165</v>
      </c>
      <c r="C882" s="162">
        <v>165518.31</v>
      </c>
      <c r="F882" s="162">
        <v>165518.31</v>
      </c>
    </row>
    <row r="883" spans="1:6" x14ac:dyDescent="0.25">
      <c r="A883" s="3" t="s">
        <v>11</v>
      </c>
      <c r="B883" s="4">
        <v>43166</v>
      </c>
      <c r="C883" s="162">
        <v>127197.9</v>
      </c>
      <c r="F883" s="162">
        <v>127197.9</v>
      </c>
    </row>
    <row r="884" spans="1:6" x14ac:dyDescent="0.25">
      <c r="A884" s="3" t="s">
        <v>8</v>
      </c>
      <c r="B884" s="4">
        <v>43166</v>
      </c>
      <c r="C884" s="162">
        <v>34015.08</v>
      </c>
      <c r="D884" s="162">
        <v>1327.11</v>
      </c>
      <c r="E884" s="162">
        <v>429.35</v>
      </c>
      <c r="F884" s="162">
        <v>32258.62</v>
      </c>
    </row>
    <row r="885" spans="1:6" x14ac:dyDescent="0.25">
      <c r="A885" s="3" t="s">
        <v>7</v>
      </c>
      <c r="B885" s="4">
        <v>43166</v>
      </c>
      <c r="C885" s="162">
        <v>338543.23</v>
      </c>
      <c r="F885" s="162">
        <v>338543.23</v>
      </c>
    </row>
    <row r="886" spans="1:6" x14ac:dyDescent="0.25">
      <c r="A886" s="3" t="s">
        <v>9</v>
      </c>
      <c r="B886" s="4">
        <v>43166</v>
      </c>
      <c r="C886" s="162">
        <v>59319.360000000001</v>
      </c>
      <c r="D886" s="162">
        <v>4910.3900000000003</v>
      </c>
      <c r="E886" s="162">
        <v>47.2</v>
      </c>
      <c r="F886" s="162">
        <v>54361.77</v>
      </c>
    </row>
    <row r="887" spans="1:6" x14ac:dyDescent="0.25">
      <c r="A887" s="3" t="s">
        <v>10</v>
      </c>
      <c r="B887" s="4">
        <v>43166</v>
      </c>
      <c r="C887" s="162">
        <v>45253.11</v>
      </c>
      <c r="F887" s="162">
        <v>45253.11</v>
      </c>
    </row>
    <row r="888" spans="1:6" x14ac:dyDescent="0.25">
      <c r="A888" s="3" t="s">
        <v>14</v>
      </c>
      <c r="B888" s="4">
        <v>43166</v>
      </c>
      <c r="C888" s="162">
        <v>54184.22</v>
      </c>
      <c r="E888" s="162">
        <v>1527.87</v>
      </c>
      <c r="F888" s="162">
        <v>52656.35</v>
      </c>
    </row>
    <row r="889" spans="1:6" x14ac:dyDescent="0.25">
      <c r="A889" s="3" t="s">
        <v>12</v>
      </c>
      <c r="B889" s="4">
        <v>43166</v>
      </c>
      <c r="C889" s="162">
        <v>172527.88</v>
      </c>
      <c r="E889" s="162">
        <v>872.41</v>
      </c>
      <c r="F889" s="162">
        <v>171655.47</v>
      </c>
    </row>
    <row r="890" spans="1:6" x14ac:dyDescent="0.25">
      <c r="A890" s="3" t="s">
        <v>13</v>
      </c>
      <c r="B890" s="4">
        <v>43166</v>
      </c>
      <c r="C890" s="162">
        <v>227536.32</v>
      </c>
      <c r="F890" s="162">
        <v>227536.32</v>
      </c>
    </row>
    <row r="891" spans="1:6" x14ac:dyDescent="0.25">
      <c r="A891" s="3" t="s">
        <v>8</v>
      </c>
      <c r="B891" s="4">
        <v>43167</v>
      </c>
      <c r="C891" s="162">
        <v>306336.5</v>
      </c>
      <c r="F891" s="162">
        <v>306336.5</v>
      </c>
    </row>
    <row r="892" spans="1:6" x14ac:dyDescent="0.25">
      <c r="A892" s="3" t="s">
        <v>11</v>
      </c>
      <c r="B892" s="4">
        <v>43167</v>
      </c>
      <c r="C892" s="162">
        <v>72261.06</v>
      </c>
      <c r="F892" s="162">
        <v>72261.06</v>
      </c>
    </row>
    <row r="893" spans="1:6" x14ac:dyDescent="0.25">
      <c r="A893" s="3" t="s">
        <v>7</v>
      </c>
      <c r="B893" s="4">
        <v>43167</v>
      </c>
      <c r="C893" s="162">
        <v>34995.96</v>
      </c>
      <c r="F893" s="162">
        <v>34995.96</v>
      </c>
    </row>
    <row r="894" spans="1:6" x14ac:dyDescent="0.25">
      <c r="A894" s="3" t="s">
        <v>9</v>
      </c>
      <c r="B894" s="4">
        <v>43167</v>
      </c>
      <c r="C894" s="162">
        <v>108824.33</v>
      </c>
      <c r="F894" s="162">
        <v>108824.33</v>
      </c>
    </row>
    <row r="895" spans="1:6" x14ac:dyDescent="0.25">
      <c r="A895" s="3" t="s">
        <v>6</v>
      </c>
      <c r="B895" s="4">
        <v>43167</v>
      </c>
      <c r="C895" s="162">
        <v>63746.45</v>
      </c>
      <c r="D895" s="162">
        <v>7139.95</v>
      </c>
      <c r="E895" s="162">
        <v>36.89</v>
      </c>
      <c r="F895" s="162">
        <v>56569.61</v>
      </c>
    </row>
    <row r="896" spans="1:6" x14ac:dyDescent="0.25">
      <c r="A896" s="3" t="s">
        <v>8</v>
      </c>
      <c r="B896" s="4">
        <v>43168</v>
      </c>
      <c r="C896" s="162">
        <v>697969.95</v>
      </c>
      <c r="F896" s="162">
        <v>697969.95</v>
      </c>
    </row>
    <row r="897" spans="1:6" x14ac:dyDescent="0.25">
      <c r="A897" s="3" t="s">
        <v>7</v>
      </c>
      <c r="B897" s="4">
        <v>43168</v>
      </c>
      <c r="C897" s="162">
        <v>16385.04</v>
      </c>
      <c r="F897" s="162">
        <v>16385.04</v>
      </c>
    </row>
    <row r="898" spans="1:6" x14ac:dyDescent="0.25">
      <c r="A898" s="3" t="s">
        <v>6</v>
      </c>
      <c r="B898" s="4">
        <v>43168</v>
      </c>
      <c r="C898" s="162">
        <v>92517.22</v>
      </c>
      <c r="D898" s="162">
        <v>4372.21</v>
      </c>
      <c r="F898" s="162">
        <v>88145.01</v>
      </c>
    </row>
    <row r="899" spans="1:6" x14ac:dyDescent="0.25">
      <c r="A899" s="3" t="s">
        <v>9</v>
      </c>
      <c r="B899" s="4">
        <v>43168</v>
      </c>
      <c r="C899" s="162">
        <v>73809.41</v>
      </c>
      <c r="F899" s="162">
        <v>73809.41</v>
      </c>
    </row>
    <row r="900" spans="1:6" x14ac:dyDescent="0.25">
      <c r="A900" s="3" t="s">
        <v>11</v>
      </c>
      <c r="B900" s="4">
        <v>43168</v>
      </c>
      <c r="C900" s="162">
        <v>68523.73</v>
      </c>
      <c r="E900" s="162">
        <v>1543.19</v>
      </c>
      <c r="F900" s="162">
        <v>66980.539999999994</v>
      </c>
    </row>
    <row r="901" spans="1:6" x14ac:dyDescent="0.25">
      <c r="A901" s="3" t="s">
        <v>14</v>
      </c>
      <c r="B901" s="4">
        <v>43168</v>
      </c>
      <c r="C901" s="162">
        <v>20226.14</v>
      </c>
      <c r="F901" s="162">
        <v>20226.14</v>
      </c>
    </row>
    <row r="902" spans="1:6" x14ac:dyDescent="0.25">
      <c r="A902" s="3" t="s">
        <v>11</v>
      </c>
      <c r="B902" s="4">
        <v>43171</v>
      </c>
      <c r="C902" s="162">
        <v>134655.5</v>
      </c>
      <c r="F902" s="162">
        <v>134655.5</v>
      </c>
    </row>
    <row r="903" spans="1:6" x14ac:dyDescent="0.25">
      <c r="A903" s="3" t="s">
        <v>6</v>
      </c>
      <c r="B903" s="4">
        <v>43171</v>
      </c>
      <c r="C903" s="162">
        <v>30585.57</v>
      </c>
      <c r="F903" s="162">
        <v>30585.57</v>
      </c>
    </row>
    <row r="904" spans="1:6" x14ac:dyDescent="0.25">
      <c r="A904" s="3" t="s">
        <v>7</v>
      </c>
      <c r="B904" s="4">
        <v>43171</v>
      </c>
      <c r="C904" s="162">
        <v>5835.99</v>
      </c>
      <c r="F904" s="162">
        <v>5835.99</v>
      </c>
    </row>
    <row r="905" spans="1:6" x14ac:dyDescent="0.25">
      <c r="A905" s="3" t="s">
        <v>8</v>
      </c>
      <c r="B905" s="4">
        <v>43171</v>
      </c>
      <c r="C905" s="162">
        <v>66081.759999999995</v>
      </c>
      <c r="F905" s="162">
        <v>66081.759999999995</v>
      </c>
    </row>
    <row r="906" spans="1:6" x14ac:dyDescent="0.25">
      <c r="A906" s="3" t="s">
        <v>9</v>
      </c>
      <c r="B906" s="4">
        <v>43171</v>
      </c>
      <c r="C906" s="162">
        <v>95195.74</v>
      </c>
      <c r="E906" s="162">
        <v>57.08</v>
      </c>
      <c r="F906" s="162">
        <v>95138.66</v>
      </c>
    </row>
    <row r="907" spans="1:6" x14ac:dyDescent="0.25">
      <c r="A907" s="3" t="s">
        <v>12</v>
      </c>
      <c r="B907" s="4">
        <v>43171</v>
      </c>
      <c r="C907" s="162">
        <v>51191.54</v>
      </c>
      <c r="F907" s="162">
        <v>51191.54</v>
      </c>
    </row>
    <row r="908" spans="1:6" x14ac:dyDescent="0.25">
      <c r="A908" s="3" t="s">
        <v>10</v>
      </c>
      <c r="B908" s="4">
        <v>43171</v>
      </c>
      <c r="C908" s="162">
        <v>26437.57</v>
      </c>
      <c r="F908" s="162">
        <v>26437.57</v>
      </c>
    </row>
    <row r="909" spans="1:6" x14ac:dyDescent="0.25">
      <c r="A909" s="3" t="s">
        <v>14</v>
      </c>
      <c r="B909" s="4">
        <v>43171</v>
      </c>
      <c r="C909" s="162">
        <v>125542.87</v>
      </c>
      <c r="E909" s="162">
        <v>13.04</v>
      </c>
      <c r="F909" s="162">
        <v>125529.83</v>
      </c>
    </row>
    <row r="910" spans="1:6" x14ac:dyDescent="0.25">
      <c r="A910" s="3" t="s">
        <v>13</v>
      </c>
      <c r="B910" s="4">
        <v>43171</v>
      </c>
      <c r="C910" s="162">
        <v>45258.07</v>
      </c>
      <c r="F910" s="162">
        <v>45258.07</v>
      </c>
    </row>
    <row r="911" spans="1:6" x14ac:dyDescent="0.25">
      <c r="A911" s="3" t="s">
        <v>8</v>
      </c>
      <c r="B911" s="4">
        <v>43172</v>
      </c>
      <c r="C911" s="162">
        <v>30584.98</v>
      </c>
      <c r="D911" s="162">
        <v>6091.9</v>
      </c>
      <c r="E911" s="162">
        <v>115.09</v>
      </c>
      <c r="F911" s="162">
        <v>24377.99</v>
      </c>
    </row>
    <row r="912" spans="1:6" x14ac:dyDescent="0.25">
      <c r="A912" s="3" t="s">
        <v>11</v>
      </c>
      <c r="B912" s="4">
        <v>43172</v>
      </c>
      <c r="C912" s="162">
        <v>28152.560000000001</v>
      </c>
      <c r="F912" s="162">
        <v>28152.560000000001</v>
      </c>
    </row>
    <row r="913" spans="1:6" x14ac:dyDescent="0.25">
      <c r="A913" s="3" t="s">
        <v>6</v>
      </c>
      <c r="B913" s="4">
        <v>43172</v>
      </c>
      <c r="C913" s="162">
        <v>41320.339999999997</v>
      </c>
      <c r="F913" s="162">
        <v>41320.339999999997</v>
      </c>
    </row>
    <row r="914" spans="1:6" x14ac:dyDescent="0.25">
      <c r="A914" s="3" t="s">
        <v>9</v>
      </c>
      <c r="B914" s="4">
        <v>43172</v>
      </c>
      <c r="C914" s="162">
        <v>22451.57</v>
      </c>
      <c r="F914" s="162">
        <v>22451.57</v>
      </c>
    </row>
    <row r="915" spans="1:6" x14ac:dyDescent="0.25">
      <c r="A915" s="3" t="s">
        <v>14</v>
      </c>
      <c r="B915" s="4">
        <v>43172</v>
      </c>
      <c r="C915" s="162">
        <v>93695.05</v>
      </c>
      <c r="E915" s="162">
        <v>1148.51</v>
      </c>
      <c r="F915" s="162">
        <v>92546.54</v>
      </c>
    </row>
    <row r="916" spans="1:6" x14ac:dyDescent="0.25">
      <c r="A916" s="3" t="s">
        <v>12</v>
      </c>
      <c r="B916" s="4">
        <v>43172</v>
      </c>
      <c r="C916" s="162">
        <v>40439.07</v>
      </c>
      <c r="E916" s="162">
        <v>40.47</v>
      </c>
      <c r="F916" s="162">
        <v>40398.6</v>
      </c>
    </row>
    <row r="917" spans="1:6" x14ac:dyDescent="0.25">
      <c r="A917" s="3" t="s">
        <v>11</v>
      </c>
      <c r="B917" s="4">
        <v>43173</v>
      </c>
      <c r="C917" s="162">
        <v>77061.77</v>
      </c>
      <c r="E917" s="162">
        <v>251.64</v>
      </c>
      <c r="F917" s="162">
        <v>76810.13</v>
      </c>
    </row>
    <row r="918" spans="1:6" x14ac:dyDescent="0.25">
      <c r="A918" s="3" t="s">
        <v>6</v>
      </c>
      <c r="B918" s="4">
        <v>43173</v>
      </c>
      <c r="C918" s="162">
        <v>74606.42</v>
      </c>
      <c r="F918" s="162">
        <v>74606.42</v>
      </c>
    </row>
    <row r="919" spans="1:6" x14ac:dyDescent="0.25">
      <c r="A919" s="3" t="s">
        <v>7</v>
      </c>
      <c r="B919" s="4">
        <v>43173</v>
      </c>
      <c r="C919" s="162">
        <v>193244.37</v>
      </c>
      <c r="F919" s="162">
        <v>193244.37</v>
      </c>
    </row>
    <row r="920" spans="1:6" x14ac:dyDescent="0.25">
      <c r="A920" s="3" t="s">
        <v>8</v>
      </c>
      <c r="B920" s="4">
        <v>43173</v>
      </c>
      <c r="C920" s="162">
        <v>33963.480000000003</v>
      </c>
      <c r="F920" s="162">
        <v>33963.480000000003</v>
      </c>
    </row>
    <row r="921" spans="1:6" x14ac:dyDescent="0.25">
      <c r="A921" s="3" t="s">
        <v>9</v>
      </c>
      <c r="B921" s="4">
        <v>43173</v>
      </c>
      <c r="C921" s="162">
        <v>91433.59</v>
      </c>
      <c r="F921" s="162">
        <v>91433.59</v>
      </c>
    </row>
    <row r="922" spans="1:6" x14ac:dyDescent="0.25">
      <c r="A922" s="3" t="s">
        <v>12</v>
      </c>
      <c r="B922" s="4">
        <v>43173</v>
      </c>
      <c r="C922" s="162">
        <v>34147.71</v>
      </c>
      <c r="F922" s="162">
        <v>34147.71</v>
      </c>
    </row>
    <row r="923" spans="1:6" x14ac:dyDescent="0.25">
      <c r="A923" s="3" t="s">
        <v>10</v>
      </c>
      <c r="B923" s="4">
        <v>43173</v>
      </c>
      <c r="C923" s="162">
        <v>43746.96</v>
      </c>
      <c r="F923" s="162">
        <v>43746.96</v>
      </c>
    </row>
    <row r="924" spans="1:6" x14ac:dyDescent="0.25">
      <c r="A924" s="3" t="s">
        <v>13</v>
      </c>
      <c r="B924" s="4">
        <v>43173</v>
      </c>
      <c r="C924" s="162">
        <v>19945.490000000002</v>
      </c>
      <c r="D924" s="162">
        <v>14723.04</v>
      </c>
      <c r="E924" s="162">
        <v>417.38</v>
      </c>
      <c r="F924" s="162">
        <v>4805.07</v>
      </c>
    </row>
    <row r="925" spans="1:6" x14ac:dyDescent="0.25">
      <c r="A925" s="3" t="s">
        <v>15</v>
      </c>
      <c r="B925" s="4">
        <v>43173</v>
      </c>
      <c r="C925" s="162">
        <v>141404.72</v>
      </c>
      <c r="F925" s="162">
        <v>141404.72</v>
      </c>
    </row>
    <row r="926" spans="1:6" x14ac:dyDescent="0.25">
      <c r="A926" s="3" t="s">
        <v>11</v>
      </c>
      <c r="B926" s="4">
        <v>43174</v>
      </c>
      <c r="C926" s="162">
        <v>48584.39</v>
      </c>
      <c r="D926" s="162">
        <v>48289.2</v>
      </c>
      <c r="E926" s="162">
        <v>210.8</v>
      </c>
      <c r="F926" s="162">
        <v>84.39</v>
      </c>
    </row>
    <row r="927" spans="1:6" x14ac:dyDescent="0.25">
      <c r="A927" s="3" t="s">
        <v>6</v>
      </c>
      <c r="B927" s="4">
        <v>43174</v>
      </c>
      <c r="C927" s="162">
        <v>23845.360000000001</v>
      </c>
      <c r="F927" s="162">
        <v>23845.360000000001</v>
      </c>
    </row>
    <row r="928" spans="1:6" x14ac:dyDescent="0.25">
      <c r="A928" s="3" t="s">
        <v>7</v>
      </c>
      <c r="B928" s="4">
        <v>43174</v>
      </c>
      <c r="C928" s="162">
        <v>135139.31</v>
      </c>
      <c r="F928" s="162">
        <v>135139.31</v>
      </c>
    </row>
    <row r="929" spans="1:6" x14ac:dyDescent="0.25">
      <c r="A929" s="3" t="s">
        <v>8</v>
      </c>
      <c r="B929" s="4">
        <v>43174</v>
      </c>
      <c r="C929" s="162">
        <v>45037.61</v>
      </c>
      <c r="F929" s="162">
        <v>45037.61</v>
      </c>
    </row>
    <row r="930" spans="1:6" x14ac:dyDescent="0.25">
      <c r="A930" s="3" t="s">
        <v>9</v>
      </c>
      <c r="B930" s="4">
        <v>43174</v>
      </c>
      <c r="C930" s="162">
        <v>64289.58</v>
      </c>
      <c r="E930" s="162">
        <v>716.34</v>
      </c>
      <c r="F930" s="162">
        <v>63573.24</v>
      </c>
    </row>
    <row r="931" spans="1:6" x14ac:dyDescent="0.25">
      <c r="A931" s="3" t="s">
        <v>11</v>
      </c>
      <c r="B931" s="4">
        <v>43175</v>
      </c>
      <c r="C931" s="162">
        <v>23715.74</v>
      </c>
      <c r="E931" s="162">
        <v>12.3</v>
      </c>
      <c r="F931" s="162">
        <v>23703.439999999999</v>
      </c>
    </row>
    <row r="932" spans="1:6" x14ac:dyDescent="0.25">
      <c r="A932" s="3" t="s">
        <v>7</v>
      </c>
      <c r="B932" s="4">
        <v>43175</v>
      </c>
      <c r="C932" s="162">
        <v>20285.95</v>
      </c>
      <c r="F932" s="162">
        <v>20285.95</v>
      </c>
    </row>
    <row r="933" spans="1:6" x14ac:dyDescent="0.25">
      <c r="A933" s="3" t="s">
        <v>6</v>
      </c>
      <c r="B933" s="4">
        <v>43175</v>
      </c>
      <c r="C933" s="162">
        <v>49084.69</v>
      </c>
      <c r="E933" s="162">
        <v>7.76</v>
      </c>
      <c r="F933" s="162">
        <v>49076.93</v>
      </c>
    </row>
    <row r="934" spans="1:6" x14ac:dyDescent="0.25">
      <c r="A934" s="3" t="s">
        <v>8</v>
      </c>
      <c r="B934" s="4">
        <v>43175</v>
      </c>
      <c r="C934" s="162">
        <v>129836.37</v>
      </c>
      <c r="F934" s="162">
        <v>129836.37</v>
      </c>
    </row>
    <row r="935" spans="1:6" x14ac:dyDescent="0.25">
      <c r="A935" s="3" t="s">
        <v>12</v>
      </c>
      <c r="B935" s="4">
        <v>43175</v>
      </c>
      <c r="C935" s="162">
        <v>29351.119999999999</v>
      </c>
      <c r="E935" s="162">
        <v>17.8</v>
      </c>
      <c r="F935" s="162">
        <v>29333.32</v>
      </c>
    </row>
    <row r="936" spans="1:6" x14ac:dyDescent="0.25">
      <c r="A936" s="3" t="s">
        <v>10</v>
      </c>
      <c r="B936" s="4">
        <v>43175</v>
      </c>
      <c r="C936" s="162">
        <v>102254.1</v>
      </c>
      <c r="F936" s="162">
        <v>102254.1</v>
      </c>
    </row>
    <row r="937" spans="1:6" x14ac:dyDescent="0.25">
      <c r="A937" s="3" t="s">
        <v>9</v>
      </c>
      <c r="B937" s="4">
        <v>43175</v>
      </c>
      <c r="C937" s="162">
        <v>521698.49</v>
      </c>
      <c r="F937" s="162">
        <v>521698.49</v>
      </c>
    </row>
    <row r="938" spans="1:6" x14ac:dyDescent="0.25">
      <c r="A938" s="3" t="s">
        <v>14</v>
      </c>
      <c r="B938" s="4">
        <v>43175</v>
      </c>
      <c r="C938" s="162">
        <v>1021045.36</v>
      </c>
      <c r="D938" s="162">
        <v>24780.52</v>
      </c>
      <c r="F938" s="162">
        <v>996264.84</v>
      </c>
    </row>
    <row r="939" spans="1:6" x14ac:dyDescent="0.25">
      <c r="A939" s="3" t="s">
        <v>13</v>
      </c>
      <c r="B939" s="4">
        <v>43175</v>
      </c>
      <c r="C939" s="162">
        <v>79575.06</v>
      </c>
      <c r="D939" s="162">
        <v>1388.48</v>
      </c>
      <c r="E939" s="162">
        <v>5.9</v>
      </c>
      <c r="F939" s="162">
        <v>78180.679999999993</v>
      </c>
    </row>
    <row r="940" spans="1:6" x14ac:dyDescent="0.25">
      <c r="A940" s="3" t="s">
        <v>16</v>
      </c>
      <c r="B940" s="4">
        <v>43175</v>
      </c>
      <c r="C940" s="162">
        <v>97665.66</v>
      </c>
      <c r="F940" s="162">
        <v>97665.66</v>
      </c>
    </row>
    <row r="941" spans="1:6" x14ac:dyDescent="0.25">
      <c r="A941" s="3" t="s">
        <v>22</v>
      </c>
      <c r="B941" s="4">
        <v>43175</v>
      </c>
      <c r="C941" s="162">
        <v>64928.02</v>
      </c>
      <c r="D941" s="162">
        <v>1650.32</v>
      </c>
      <c r="E941" s="162">
        <v>27.43</v>
      </c>
      <c r="F941" s="162">
        <v>63250.27</v>
      </c>
    </row>
    <row r="942" spans="1:6" x14ac:dyDescent="0.25">
      <c r="A942" s="3" t="s">
        <v>6</v>
      </c>
      <c r="B942" s="4">
        <v>43178</v>
      </c>
      <c r="C942" s="162">
        <v>90515.63</v>
      </c>
      <c r="E942" s="162">
        <v>35.020000000000003</v>
      </c>
      <c r="F942" s="162">
        <v>90480.61</v>
      </c>
    </row>
    <row r="943" spans="1:6" x14ac:dyDescent="0.25">
      <c r="A943" s="3" t="s">
        <v>7</v>
      </c>
      <c r="B943" s="4">
        <v>43178</v>
      </c>
      <c r="C943" s="162">
        <v>24554.63</v>
      </c>
      <c r="E943" s="162">
        <v>81.06</v>
      </c>
      <c r="F943" s="162">
        <v>24473.57</v>
      </c>
    </row>
    <row r="944" spans="1:6" x14ac:dyDescent="0.25">
      <c r="A944" s="3" t="s">
        <v>8</v>
      </c>
      <c r="B944" s="4">
        <v>43178</v>
      </c>
      <c r="C944" s="162">
        <v>55236.9</v>
      </c>
      <c r="F944" s="162">
        <v>55236.9</v>
      </c>
    </row>
    <row r="945" spans="1:6" x14ac:dyDescent="0.25">
      <c r="A945" s="3" t="s">
        <v>26</v>
      </c>
      <c r="B945" s="4">
        <v>43178</v>
      </c>
      <c r="C945" s="162">
        <v>131184.79999999999</v>
      </c>
      <c r="E945" s="162">
        <v>408.32</v>
      </c>
      <c r="F945" s="162">
        <v>130776.48</v>
      </c>
    </row>
    <row r="946" spans="1:6" x14ac:dyDescent="0.25">
      <c r="A946" s="3" t="s">
        <v>11</v>
      </c>
      <c r="B946" s="4">
        <v>43179</v>
      </c>
      <c r="C946" s="162">
        <v>53030.48</v>
      </c>
      <c r="F946" s="162">
        <v>53030.48</v>
      </c>
    </row>
    <row r="947" spans="1:6" x14ac:dyDescent="0.25">
      <c r="A947" s="3" t="s">
        <v>9</v>
      </c>
      <c r="B947" s="4">
        <v>43179</v>
      </c>
      <c r="C947" s="162">
        <v>150584.25</v>
      </c>
      <c r="F947" s="162">
        <v>150584.25</v>
      </c>
    </row>
    <row r="948" spans="1:6" x14ac:dyDescent="0.25">
      <c r="A948" s="3" t="s">
        <v>12</v>
      </c>
      <c r="B948" s="4">
        <v>43179</v>
      </c>
      <c r="C948" s="162">
        <v>31676.93</v>
      </c>
      <c r="F948" s="162">
        <v>31676.93</v>
      </c>
    </row>
    <row r="949" spans="1:6" x14ac:dyDescent="0.25">
      <c r="A949" s="3" t="s">
        <v>6</v>
      </c>
      <c r="B949" s="4">
        <v>43179</v>
      </c>
      <c r="C949" s="162">
        <v>28092.41</v>
      </c>
      <c r="F949" s="162">
        <v>28092.41</v>
      </c>
    </row>
    <row r="950" spans="1:6" x14ac:dyDescent="0.25">
      <c r="A950" s="3" t="s">
        <v>7</v>
      </c>
      <c r="B950" s="4">
        <v>43179</v>
      </c>
      <c r="C950" s="162">
        <v>212975.09</v>
      </c>
      <c r="F950" s="162">
        <v>212975.09</v>
      </c>
    </row>
    <row r="951" spans="1:6" x14ac:dyDescent="0.25">
      <c r="A951" s="3" t="s">
        <v>8</v>
      </c>
      <c r="B951" s="4">
        <v>43179</v>
      </c>
      <c r="C951" s="162">
        <v>39762.26</v>
      </c>
      <c r="D951" s="162">
        <v>1560.24</v>
      </c>
      <c r="E951" s="162">
        <v>181.4</v>
      </c>
      <c r="F951" s="162">
        <v>38020.620000000003</v>
      </c>
    </row>
    <row r="952" spans="1:6" x14ac:dyDescent="0.25">
      <c r="A952" s="3" t="s">
        <v>13</v>
      </c>
      <c r="B952" s="4">
        <v>43179</v>
      </c>
      <c r="C952" s="162">
        <v>131063.77</v>
      </c>
      <c r="F952" s="162">
        <v>131063.77</v>
      </c>
    </row>
    <row r="953" spans="1:6" x14ac:dyDescent="0.25">
      <c r="A953" s="3" t="s">
        <v>14</v>
      </c>
      <c r="B953" s="4">
        <v>43179</v>
      </c>
      <c r="C953" s="162">
        <v>139791.88</v>
      </c>
      <c r="D953" s="162">
        <v>3286.62</v>
      </c>
      <c r="E953" s="162">
        <v>1153.51</v>
      </c>
      <c r="F953" s="162">
        <v>135351.75</v>
      </c>
    </row>
    <row r="954" spans="1:6" x14ac:dyDescent="0.25">
      <c r="A954" s="3" t="s">
        <v>6</v>
      </c>
      <c r="B954" s="4">
        <v>43180</v>
      </c>
      <c r="C954" s="162">
        <v>106603.06</v>
      </c>
      <c r="F954" s="162">
        <v>106603.06</v>
      </c>
    </row>
    <row r="955" spans="1:6" x14ac:dyDescent="0.25">
      <c r="A955" s="3" t="s">
        <v>11</v>
      </c>
      <c r="B955" s="4">
        <v>43180</v>
      </c>
      <c r="C955" s="162">
        <v>46857.26</v>
      </c>
      <c r="F955" s="162">
        <v>46857.26</v>
      </c>
    </row>
    <row r="956" spans="1:6" x14ac:dyDescent="0.25">
      <c r="A956" s="3" t="s">
        <v>9</v>
      </c>
      <c r="B956" s="4">
        <v>43180</v>
      </c>
      <c r="C956" s="162">
        <v>37895.65</v>
      </c>
      <c r="F956" s="162">
        <v>37895.65</v>
      </c>
    </row>
    <row r="957" spans="1:6" x14ac:dyDescent="0.25">
      <c r="A957" s="3" t="s">
        <v>7</v>
      </c>
      <c r="B957" s="4">
        <v>43180</v>
      </c>
      <c r="C957" s="162">
        <v>39504.07</v>
      </c>
      <c r="E957" s="162">
        <v>250</v>
      </c>
      <c r="F957" s="162">
        <v>39254.07</v>
      </c>
    </row>
    <row r="958" spans="1:6" x14ac:dyDescent="0.25">
      <c r="A958" s="3" t="s">
        <v>6</v>
      </c>
      <c r="B958" s="4">
        <v>43181</v>
      </c>
      <c r="C958" s="162">
        <v>21717.29</v>
      </c>
      <c r="F958" s="162">
        <v>21717.29</v>
      </c>
    </row>
    <row r="959" spans="1:6" x14ac:dyDescent="0.25">
      <c r="A959" s="3" t="s">
        <v>7</v>
      </c>
      <c r="B959" s="4">
        <v>43181</v>
      </c>
      <c r="C959" s="162">
        <v>117191.62</v>
      </c>
      <c r="F959" s="162">
        <v>117191.62</v>
      </c>
    </row>
    <row r="960" spans="1:6" x14ac:dyDescent="0.25">
      <c r="A960" s="3" t="s">
        <v>11</v>
      </c>
      <c r="B960" s="4">
        <v>43181</v>
      </c>
      <c r="C960" s="162">
        <v>46463.99</v>
      </c>
      <c r="E960" s="162">
        <v>1096.53</v>
      </c>
      <c r="F960" s="162">
        <v>45367.46</v>
      </c>
    </row>
    <row r="961" spans="1:6" x14ac:dyDescent="0.25">
      <c r="A961" s="3" t="s">
        <v>8</v>
      </c>
      <c r="B961" s="4">
        <v>43181</v>
      </c>
      <c r="C961" s="162">
        <v>89077.71</v>
      </c>
      <c r="F961" s="162">
        <v>89077.71</v>
      </c>
    </row>
    <row r="962" spans="1:6" x14ac:dyDescent="0.25">
      <c r="A962" s="3" t="s">
        <v>9</v>
      </c>
      <c r="B962" s="4">
        <v>43181</v>
      </c>
      <c r="C962" s="162">
        <v>98287.34</v>
      </c>
      <c r="F962" s="162">
        <v>98287.34</v>
      </c>
    </row>
    <row r="963" spans="1:6" x14ac:dyDescent="0.25">
      <c r="A963" s="3" t="s">
        <v>10</v>
      </c>
      <c r="B963" s="4">
        <v>43181</v>
      </c>
      <c r="C963" s="162">
        <v>78468.850000000006</v>
      </c>
      <c r="F963" s="162">
        <v>78468.850000000006</v>
      </c>
    </row>
    <row r="964" spans="1:6" x14ac:dyDescent="0.25">
      <c r="A964" s="3" t="s">
        <v>11</v>
      </c>
      <c r="B964" s="4">
        <v>43182</v>
      </c>
      <c r="C964" s="162">
        <v>86071.44</v>
      </c>
      <c r="F964" s="162">
        <v>86071.44</v>
      </c>
    </row>
    <row r="965" spans="1:6" x14ac:dyDescent="0.25">
      <c r="A965" s="3" t="s">
        <v>6</v>
      </c>
      <c r="B965" s="4">
        <v>43182</v>
      </c>
      <c r="C965" s="162">
        <v>73098.990000000005</v>
      </c>
      <c r="F965" s="162">
        <v>73098.990000000005</v>
      </c>
    </row>
    <row r="966" spans="1:6" x14ac:dyDescent="0.25">
      <c r="A966" s="3" t="s">
        <v>8</v>
      </c>
      <c r="B966" s="4">
        <v>43182</v>
      </c>
      <c r="C966" s="162">
        <v>154453.01</v>
      </c>
      <c r="F966" s="162">
        <v>154453.01</v>
      </c>
    </row>
    <row r="967" spans="1:6" x14ac:dyDescent="0.25">
      <c r="A967" s="3" t="s">
        <v>9</v>
      </c>
      <c r="B967" s="4">
        <v>43182</v>
      </c>
      <c r="C967" s="162">
        <v>146189.41</v>
      </c>
      <c r="F967" s="162">
        <v>146189.41</v>
      </c>
    </row>
    <row r="968" spans="1:6" x14ac:dyDescent="0.25">
      <c r="A968" s="3" t="s">
        <v>12</v>
      </c>
      <c r="B968" s="4">
        <v>43182</v>
      </c>
      <c r="C968" s="162">
        <v>225265.05</v>
      </c>
      <c r="E968" s="162">
        <v>716.97</v>
      </c>
      <c r="F968" s="162">
        <v>224548.08</v>
      </c>
    </row>
    <row r="969" spans="1:6" x14ac:dyDescent="0.25">
      <c r="A969" s="3" t="s">
        <v>11</v>
      </c>
      <c r="B969" s="4">
        <v>43185</v>
      </c>
      <c r="C969" s="162">
        <v>960030.94</v>
      </c>
      <c r="F969" s="162">
        <v>960030.94</v>
      </c>
    </row>
    <row r="970" spans="1:6" x14ac:dyDescent="0.25">
      <c r="A970" s="3" t="s">
        <v>6</v>
      </c>
      <c r="B970" s="4">
        <v>43185</v>
      </c>
      <c r="C970" s="162">
        <v>34406.68</v>
      </c>
      <c r="F970" s="162">
        <v>34406.68</v>
      </c>
    </row>
    <row r="971" spans="1:6" x14ac:dyDescent="0.25">
      <c r="A971" s="3" t="s">
        <v>7</v>
      </c>
      <c r="B971" s="4">
        <v>43185</v>
      </c>
      <c r="C971" s="162">
        <v>233688.21</v>
      </c>
      <c r="D971" s="162">
        <v>19641.23</v>
      </c>
      <c r="E971" s="162">
        <v>11.94</v>
      </c>
      <c r="F971" s="162">
        <v>214035.04</v>
      </c>
    </row>
    <row r="972" spans="1:6" x14ac:dyDescent="0.25">
      <c r="A972" s="3" t="s">
        <v>9</v>
      </c>
      <c r="B972" s="4">
        <v>43185</v>
      </c>
      <c r="C972" s="162">
        <v>160059.72</v>
      </c>
      <c r="F972" s="162">
        <v>160059.72</v>
      </c>
    </row>
    <row r="973" spans="1:6" x14ac:dyDescent="0.25">
      <c r="A973" s="3" t="s">
        <v>12</v>
      </c>
      <c r="B973" s="4">
        <v>43185</v>
      </c>
      <c r="C973" s="162">
        <v>62478.720000000001</v>
      </c>
      <c r="E973" s="162">
        <v>354.75</v>
      </c>
      <c r="F973" s="162">
        <v>62123.97</v>
      </c>
    </row>
    <row r="974" spans="1:6" x14ac:dyDescent="0.25">
      <c r="A974" s="3" t="s">
        <v>6</v>
      </c>
      <c r="B974" s="4">
        <v>43186</v>
      </c>
      <c r="C974" s="162">
        <v>40102.49</v>
      </c>
      <c r="D974" s="162">
        <v>1418.4</v>
      </c>
      <c r="E974" s="162">
        <v>252.83</v>
      </c>
      <c r="F974" s="162">
        <v>38431.26</v>
      </c>
    </row>
    <row r="975" spans="1:6" x14ac:dyDescent="0.25">
      <c r="A975" s="3" t="s">
        <v>7</v>
      </c>
      <c r="B975" s="4">
        <v>43186</v>
      </c>
      <c r="C975" s="162">
        <v>51868.66</v>
      </c>
      <c r="D975" s="162">
        <v>1759.39</v>
      </c>
      <c r="E975" s="162">
        <v>19.239999999999998</v>
      </c>
      <c r="F975" s="162">
        <v>50090.03</v>
      </c>
    </row>
    <row r="976" spans="1:6" x14ac:dyDescent="0.25">
      <c r="A976" s="3" t="s">
        <v>11</v>
      </c>
      <c r="B976" s="4">
        <v>43186</v>
      </c>
      <c r="C976" s="162">
        <v>82251.77</v>
      </c>
      <c r="E976" s="162">
        <v>85.74</v>
      </c>
      <c r="F976" s="162">
        <v>82166.03</v>
      </c>
    </row>
    <row r="977" spans="1:6" x14ac:dyDescent="0.25">
      <c r="A977" s="3" t="s">
        <v>11</v>
      </c>
      <c r="B977" s="4">
        <v>43187</v>
      </c>
      <c r="C977" s="162">
        <v>26496.7</v>
      </c>
      <c r="F977" s="162">
        <v>26496.7</v>
      </c>
    </row>
    <row r="978" spans="1:6" x14ac:dyDescent="0.25">
      <c r="A978" s="3" t="s">
        <v>6</v>
      </c>
      <c r="B978" s="4">
        <v>43187</v>
      </c>
      <c r="C978" s="162">
        <v>57326.78</v>
      </c>
      <c r="F978" s="162">
        <v>57326.78</v>
      </c>
    </row>
    <row r="979" spans="1:6" x14ac:dyDescent="0.25">
      <c r="A979" s="3" t="s">
        <v>7</v>
      </c>
      <c r="B979" s="4">
        <v>43187</v>
      </c>
      <c r="C979" s="162">
        <v>427498.75</v>
      </c>
      <c r="F979" s="162">
        <v>427498.75</v>
      </c>
    </row>
    <row r="980" spans="1:6" x14ac:dyDescent="0.25">
      <c r="A980" s="3" t="s">
        <v>8</v>
      </c>
      <c r="B980" s="4">
        <v>43187</v>
      </c>
      <c r="C980" s="162">
        <v>75486.87</v>
      </c>
      <c r="E980" s="162">
        <v>368.38</v>
      </c>
      <c r="F980" s="162">
        <v>75118.490000000005</v>
      </c>
    </row>
    <row r="981" spans="1:6" x14ac:dyDescent="0.25">
      <c r="A981" s="3" t="s">
        <v>11</v>
      </c>
      <c r="B981" s="4">
        <v>43188</v>
      </c>
      <c r="C981" s="162">
        <v>22002.35</v>
      </c>
      <c r="F981" s="162">
        <v>22002.35</v>
      </c>
    </row>
    <row r="982" spans="1:6" x14ac:dyDescent="0.25">
      <c r="A982" s="3" t="s">
        <v>6</v>
      </c>
      <c r="B982" s="4">
        <v>43188</v>
      </c>
      <c r="C982" s="162">
        <v>193364.66</v>
      </c>
      <c r="F982" s="162">
        <v>193364.66</v>
      </c>
    </row>
    <row r="983" spans="1:6" x14ac:dyDescent="0.25">
      <c r="A983" s="3" t="s">
        <v>7</v>
      </c>
      <c r="B983" s="4">
        <v>43188</v>
      </c>
      <c r="C983" s="162">
        <v>51936.37</v>
      </c>
      <c r="F983" s="162">
        <v>51936.37</v>
      </c>
    </row>
    <row r="984" spans="1:6" x14ac:dyDescent="0.25">
      <c r="A984" s="3" t="s">
        <v>8</v>
      </c>
      <c r="B984" s="4">
        <v>43188</v>
      </c>
      <c r="C984" s="162">
        <v>750724.62</v>
      </c>
      <c r="D984" s="162">
        <v>15080.79</v>
      </c>
      <c r="E984" s="162">
        <v>103.07</v>
      </c>
      <c r="F984" s="162">
        <v>735540.76</v>
      </c>
    </row>
    <row r="985" spans="1:6" x14ac:dyDescent="0.25">
      <c r="A985" s="3" t="s">
        <v>9</v>
      </c>
      <c r="B985" s="4">
        <v>43188</v>
      </c>
      <c r="C985" s="162">
        <v>540398.69999999995</v>
      </c>
      <c r="D985" s="162">
        <v>29173.26</v>
      </c>
      <c r="F985" s="162">
        <v>511225.44</v>
      </c>
    </row>
    <row r="986" spans="1:6" x14ac:dyDescent="0.25">
      <c r="A986" s="3" t="s">
        <v>12</v>
      </c>
      <c r="B986" s="4">
        <v>43188</v>
      </c>
      <c r="C986" s="162">
        <v>44072.27</v>
      </c>
      <c r="D986" s="162">
        <v>309.68</v>
      </c>
      <c r="E986" s="162">
        <v>11.94</v>
      </c>
      <c r="F986" s="162">
        <v>43750.65</v>
      </c>
    </row>
    <row r="987" spans="1:6" x14ac:dyDescent="0.25">
      <c r="A987" s="3" t="s">
        <v>10</v>
      </c>
      <c r="B987" s="4">
        <v>43188</v>
      </c>
      <c r="C987" s="162">
        <v>86075.28</v>
      </c>
      <c r="F987" s="162">
        <v>86075.28</v>
      </c>
    </row>
    <row r="988" spans="1:6" x14ac:dyDescent="0.25">
      <c r="A988" s="3" t="s">
        <v>14</v>
      </c>
      <c r="B988" s="4">
        <v>43188</v>
      </c>
      <c r="C988" s="162">
        <v>52959.6</v>
      </c>
      <c r="D988" s="162">
        <v>3882.73</v>
      </c>
      <c r="E988" s="162">
        <v>5.27</v>
      </c>
      <c r="F988" s="162">
        <v>49071.6</v>
      </c>
    </row>
    <row r="989" spans="1:6" x14ac:dyDescent="0.25">
      <c r="A989" s="3" t="s">
        <v>15</v>
      </c>
      <c r="B989" s="4">
        <v>43188</v>
      </c>
      <c r="C989" s="162">
        <v>156838.01999999999</v>
      </c>
      <c r="D989" s="162">
        <v>846.79</v>
      </c>
      <c r="E989" s="162">
        <v>1523.79</v>
      </c>
      <c r="F989" s="162">
        <v>154467.44</v>
      </c>
    </row>
    <row r="990" spans="1:6" x14ac:dyDescent="0.25">
      <c r="A990" s="3" t="s">
        <v>16</v>
      </c>
      <c r="B990" s="4">
        <v>43188</v>
      </c>
      <c r="C990" s="162">
        <v>34791.99</v>
      </c>
      <c r="E990" s="162">
        <v>80.680000000000007</v>
      </c>
      <c r="F990" s="162">
        <v>34711.31</v>
      </c>
    </row>
    <row r="991" spans="1:6" x14ac:dyDescent="0.25">
      <c r="A991" s="3" t="s">
        <v>6</v>
      </c>
      <c r="B991" s="4">
        <v>43194</v>
      </c>
      <c r="C991" s="162">
        <v>59581.09</v>
      </c>
      <c r="F991" s="162">
        <v>59581.09</v>
      </c>
    </row>
    <row r="992" spans="1:6" x14ac:dyDescent="0.25">
      <c r="A992" s="3" t="s">
        <v>7</v>
      </c>
      <c r="B992" s="4">
        <v>43194</v>
      </c>
      <c r="C992" s="162">
        <v>143332.76</v>
      </c>
      <c r="F992" s="162">
        <v>143332.76</v>
      </c>
    </row>
    <row r="993" spans="1:6" x14ac:dyDescent="0.25">
      <c r="A993" s="3" t="s">
        <v>12</v>
      </c>
      <c r="B993" s="4">
        <v>43194</v>
      </c>
      <c r="C993" s="162">
        <v>113137.4</v>
      </c>
      <c r="F993" s="162">
        <v>113137.4</v>
      </c>
    </row>
    <row r="994" spans="1:6" x14ac:dyDescent="0.25">
      <c r="A994" s="3" t="s">
        <v>11</v>
      </c>
      <c r="B994" s="4">
        <v>43194</v>
      </c>
      <c r="C994" s="162">
        <v>10967.66</v>
      </c>
      <c r="D994" s="162">
        <v>9883</v>
      </c>
      <c r="E994" s="162">
        <v>806.4</v>
      </c>
      <c r="F994" s="162">
        <v>278.26</v>
      </c>
    </row>
    <row r="995" spans="1:6" x14ac:dyDescent="0.25">
      <c r="A995" s="3" t="s">
        <v>9</v>
      </c>
      <c r="B995" s="4">
        <v>43194</v>
      </c>
      <c r="C995" s="162">
        <v>69504.66</v>
      </c>
      <c r="F995" s="162">
        <v>69504.66</v>
      </c>
    </row>
    <row r="996" spans="1:6" x14ac:dyDescent="0.25">
      <c r="A996" s="3" t="s">
        <v>8</v>
      </c>
      <c r="B996" s="4">
        <v>43194</v>
      </c>
      <c r="C996" s="162">
        <v>74930.36</v>
      </c>
      <c r="E996" s="162">
        <v>3.91</v>
      </c>
      <c r="F996" s="162">
        <v>74926.45</v>
      </c>
    </row>
    <row r="997" spans="1:6" x14ac:dyDescent="0.25">
      <c r="A997" s="3" t="s">
        <v>9</v>
      </c>
      <c r="B997" s="4">
        <v>43195</v>
      </c>
      <c r="C997" s="162">
        <v>160649.59</v>
      </c>
      <c r="D997" s="162">
        <v>14977.97</v>
      </c>
      <c r="E997" s="162">
        <v>40.299999999999997</v>
      </c>
      <c r="F997" s="162">
        <v>145631.32</v>
      </c>
    </row>
    <row r="998" spans="1:6" x14ac:dyDescent="0.25">
      <c r="A998" s="3" t="s">
        <v>11</v>
      </c>
      <c r="B998" s="4">
        <v>43195</v>
      </c>
      <c r="C998" s="162">
        <v>84445.72</v>
      </c>
      <c r="D998" s="162">
        <v>3840.77</v>
      </c>
      <c r="E998" s="162">
        <v>23.6</v>
      </c>
      <c r="F998" s="162">
        <v>80581.350000000006</v>
      </c>
    </row>
    <row r="999" spans="1:6" x14ac:dyDescent="0.25">
      <c r="A999" s="3" t="s">
        <v>7</v>
      </c>
      <c r="B999" s="4">
        <v>43195</v>
      </c>
      <c r="C999" s="162">
        <v>91878.26</v>
      </c>
      <c r="F999" s="162">
        <v>91878.26</v>
      </c>
    </row>
    <row r="1000" spans="1:6" x14ac:dyDescent="0.25">
      <c r="A1000" s="3" t="s">
        <v>8</v>
      </c>
      <c r="B1000" s="4">
        <v>43195</v>
      </c>
      <c r="C1000" s="162">
        <v>33997.17</v>
      </c>
      <c r="F1000" s="162">
        <v>33997.17</v>
      </c>
    </row>
    <row r="1001" spans="1:6" x14ac:dyDescent="0.25">
      <c r="A1001" s="3" t="s">
        <v>11</v>
      </c>
      <c r="B1001" s="4">
        <v>43196</v>
      </c>
      <c r="C1001" s="162">
        <v>39458.199999999997</v>
      </c>
      <c r="D1001" s="162">
        <v>2098.4299999999998</v>
      </c>
      <c r="E1001" s="162">
        <v>36.49</v>
      </c>
      <c r="F1001" s="162">
        <v>37323.279999999999</v>
      </c>
    </row>
    <row r="1002" spans="1:6" x14ac:dyDescent="0.25">
      <c r="A1002" s="3" t="s">
        <v>6</v>
      </c>
      <c r="B1002" s="4">
        <v>43196</v>
      </c>
      <c r="C1002" s="162">
        <v>27235.88</v>
      </c>
      <c r="F1002" s="162">
        <v>27235.88</v>
      </c>
    </row>
    <row r="1003" spans="1:6" x14ac:dyDescent="0.25">
      <c r="A1003" s="3" t="s">
        <v>7</v>
      </c>
      <c r="B1003" s="4">
        <v>43196</v>
      </c>
      <c r="C1003" s="162">
        <v>653628.23</v>
      </c>
      <c r="D1003" s="162">
        <v>20501.759999999998</v>
      </c>
      <c r="F1003" s="162">
        <v>633126.47</v>
      </c>
    </row>
    <row r="1004" spans="1:6" x14ac:dyDescent="0.25">
      <c r="A1004" s="3" t="s">
        <v>15</v>
      </c>
      <c r="B1004" s="4">
        <v>43196</v>
      </c>
      <c r="C1004" s="162">
        <v>11598.12</v>
      </c>
      <c r="F1004" s="162">
        <v>11598.12</v>
      </c>
    </row>
    <row r="1005" spans="1:6" x14ac:dyDescent="0.25">
      <c r="A1005" s="3" t="s">
        <v>14</v>
      </c>
      <c r="B1005" s="4">
        <v>43196</v>
      </c>
      <c r="C1005" s="162">
        <v>165765.46</v>
      </c>
      <c r="E1005" s="162">
        <v>336.39</v>
      </c>
      <c r="F1005" s="162">
        <v>165429.07</v>
      </c>
    </row>
    <row r="1006" spans="1:6" x14ac:dyDescent="0.25">
      <c r="A1006" s="3" t="s">
        <v>10</v>
      </c>
      <c r="B1006" s="4">
        <v>43196</v>
      </c>
      <c r="C1006" s="162">
        <v>60402.16</v>
      </c>
      <c r="D1006" s="162">
        <v>1966.01</v>
      </c>
      <c r="E1006" s="162">
        <v>92.02</v>
      </c>
      <c r="F1006" s="162">
        <v>58344.13</v>
      </c>
    </row>
    <row r="1007" spans="1:6" x14ac:dyDescent="0.25">
      <c r="A1007" s="3" t="s">
        <v>12</v>
      </c>
      <c r="B1007" s="4">
        <v>43196</v>
      </c>
      <c r="C1007" s="162">
        <v>138173.19</v>
      </c>
      <c r="E1007" s="162">
        <v>655.75</v>
      </c>
      <c r="F1007" s="162">
        <v>137517.44</v>
      </c>
    </row>
    <row r="1008" spans="1:6" x14ac:dyDescent="0.25">
      <c r="A1008" s="3" t="s">
        <v>8</v>
      </c>
      <c r="B1008" s="4">
        <v>43196</v>
      </c>
      <c r="C1008" s="162">
        <v>811033.12</v>
      </c>
      <c r="D1008" s="162">
        <v>1156.28</v>
      </c>
      <c r="F1008" s="162">
        <v>809876.84</v>
      </c>
    </row>
    <row r="1009" spans="1:6" x14ac:dyDescent="0.25">
      <c r="A1009" s="3" t="s">
        <v>9</v>
      </c>
      <c r="B1009" s="4">
        <v>43196</v>
      </c>
      <c r="C1009" s="162">
        <v>58074.81</v>
      </c>
      <c r="D1009" s="162">
        <v>346.57</v>
      </c>
      <c r="E1009" s="162">
        <v>226.69</v>
      </c>
      <c r="F1009" s="162">
        <v>57501.55</v>
      </c>
    </row>
    <row r="1010" spans="1:6" x14ac:dyDescent="0.25">
      <c r="A1010" s="3" t="s">
        <v>6</v>
      </c>
      <c r="B1010" s="4">
        <v>43199</v>
      </c>
      <c r="C1010" s="162">
        <v>148086.32</v>
      </c>
      <c r="E1010" s="162">
        <v>358.59</v>
      </c>
      <c r="F1010" s="162">
        <v>147727.73000000001</v>
      </c>
    </row>
    <row r="1011" spans="1:6" x14ac:dyDescent="0.25">
      <c r="A1011" s="3" t="s">
        <v>9</v>
      </c>
      <c r="B1011" s="4">
        <v>43199</v>
      </c>
      <c r="C1011" s="162">
        <v>57850.53</v>
      </c>
      <c r="F1011" s="162">
        <v>57850.53</v>
      </c>
    </row>
    <row r="1012" spans="1:6" x14ac:dyDescent="0.25">
      <c r="A1012" s="3" t="s">
        <v>12</v>
      </c>
      <c r="B1012" s="4">
        <v>43199</v>
      </c>
      <c r="C1012" s="162">
        <v>52724.6</v>
      </c>
      <c r="F1012" s="162">
        <v>52724.6</v>
      </c>
    </row>
    <row r="1013" spans="1:6" x14ac:dyDescent="0.25">
      <c r="A1013" s="3" t="s">
        <v>7</v>
      </c>
      <c r="B1013" s="4">
        <v>43199</v>
      </c>
      <c r="C1013" s="162">
        <v>130294.02</v>
      </c>
      <c r="F1013" s="162">
        <v>130294.02</v>
      </c>
    </row>
    <row r="1014" spans="1:6" x14ac:dyDescent="0.25">
      <c r="A1014" s="3" t="s">
        <v>8</v>
      </c>
      <c r="B1014" s="4">
        <v>43199</v>
      </c>
      <c r="C1014" s="162">
        <v>46160.32</v>
      </c>
      <c r="D1014" s="162">
        <v>1899.05</v>
      </c>
      <c r="E1014" s="162">
        <v>804.32</v>
      </c>
      <c r="F1014" s="162">
        <v>43456.95</v>
      </c>
    </row>
    <row r="1015" spans="1:6" x14ac:dyDescent="0.25">
      <c r="A1015" s="3" t="s">
        <v>11</v>
      </c>
      <c r="B1015" s="4">
        <v>43199</v>
      </c>
      <c r="C1015" s="162">
        <v>62880.74</v>
      </c>
      <c r="F1015" s="162">
        <v>62880.74</v>
      </c>
    </row>
    <row r="1016" spans="1:6" x14ac:dyDescent="0.25">
      <c r="A1016" s="3" t="s">
        <v>10</v>
      </c>
      <c r="B1016" s="4">
        <v>43199</v>
      </c>
      <c r="C1016" s="162">
        <v>157704.70000000001</v>
      </c>
      <c r="D1016" s="162">
        <v>967.83</v>
      </c>
      <c r="E1016" s="162">
        <v>2607.44</v>
      </c>
      <c r="F1016" s="162">
        <v>154129.43</v>
      </c>
    </row>
    <row r="1017" spans="1:6" x14ac:dyDescent="0.25">
      <c r="A1017" s="3" t="s">
        <v>6</v>
      </c>
      <c r="B1017" s="4">
        <v>43200</v>
      </c>
      <c r="C1017" s="162">
        <v>48366.19</v>
      </c>
      <c r="F1017" s="162">
        <v>48366.19</v>
      </c>
    </row>
    <row r="1018" spans="1:6" x14ac:dyDescent="0.25">
      <c r="A1018" s="3" t="s">
        <v>8</v>
      </c>
      <c r="B1018" s="4">
        <v>43200</v>
      </c>
      <c r="C1018" s="162">
        <v>164223.25</v>
      </c>
      <c r="F1018" s="162">
        <v>164223.25</v>
      </c>
    </row>
    <row r="1019" spans="1:6" x14ac:dyDescent="0.25">
      <c r="A1019" s="3" t="s">
        <v>7</v>
      </c>
      <c r="B1019" s="4">
        <v>43200</v>
      </c>
      <c r="C1019" s="162">
        <v>61236.78</v>
      </c>
      <c r="E1019" s="162">
        <v>565.35</v>
      </c>
      <c r="F1019" s="162">
        <v>60671.43</v>
      </c>
    </row>
    <row r="1020" spans="1:6" x14ac:dyDescent="0.25">
      <c r="A1020" s="3" t="s">
        <v>9</v>
      </c>
      <c r="B1020" s="4">
        <v>43200</v>
      </c>
      <c r="C1020" s="162">
        <v>76985</v>
      </c>
      <c r="D1020" s="162">
        <v>1501.46</v>
      </c>
      <c r="E1020" s="162">
        <v>15.81</v>
      </c>
      <c r="F1020" s="162">
        <v>75467.73</v>
      </c>
    </row>
    <row r="1021" spans="1:6" x14ac:dyDescent="0.25">
      <c r="A1021" s="3" t="s">
        <v>12</v>
      </c>
      <c r="B1021" s="4">
        <v>43200</v>
      </c>
      <c r="C1021" s="162">
        <v>61153.4</v>
      </c>
      <c r="F1021" s="162">
        <v>61153.4</v>
      </c>
    </row>
    <row r="1022" spans="1:6" x14ac:dyDescent="0.25">
      <c r="A1022" s="3" t="s">
        <v>10</v>
      </c>
      <c r="B1022" s="4">
        <v>43200</v>
      </c>
      <c r="C1022" s="162">
        <v>45661.17</v>
      </c>
      <c r="F1022" s="162">
        <v>45661.17</v>
      </c>
    </row>
    <row r="1023" spans="1:6" x14ac:dyDescent="0.25">
      <c r="A1023" s="3" t="s">
        <v>13</v>
      </c>
      <c r="B1023" s="4">
        <v>43200</v>
      </c>
      <c r="C1023" s="162">
        <v>160279.69</v>
      </c>
      <c r="D1023" s="162">
        <v>6709.3</v>
      </c>
      <c r="E1023" s="162">
        <v>290.47000000000003</v>
      </c>
      <c r="F1023" s="162">
        <v>153279.92000000001</v>
      </c>
    </row>
    <row r="1024" spans="1:6" x14ac:dyDescent="0.25">
      <c r="A1024" s="3" t="s">
        <v>7</v>
      </c>
      <c r="B1024" s="4">
        <v>43201</v>
      </c>
      <c r="C1024" s="162">
        <v>29900.78</v>
      </c>
      <c r="F1024" s="162">
        <v>29900.78</v>
      </c>
    </row>
    <row r="1025" spans="1:6" x14ac:dyDescent="0.25">
      <c r="A1025" s="3" t="s">
        <v>8</v>
      </c>
      <c r="B1025" s="4">
        <v>43201</v>
      </c>
      <c r="C1025" s="162">
        <v>40946</v>
      </c>
      <c r="E1025" s="162">
        <v>65.39</v>
      </c>
      <c r="F1025" s="162">
        <v>40880.61</v>
      </c>
    </row>
    <row r="1026" spans="1:6" x14ac:dyDescent="0.25">
      <c r="A1026" s="3" t="s">
        <v>14</v>
      </c>
      <c r="B1026" s="4">
        <v>43201</v>
      </c>
      <c r="C1026" s="162">
        <v>119203.75</v>
      </c>
      <c r="F1026" s="162">
        <v>119203.75</v>
      </c>
    </row>
    <row r="1027" spans="1:6" x14ac:dyDescent="0.25">
      <c r="A1027" s="3" t="s">
        <v>9</v>
      </c>
      <c r="B1027" s="4">
        <v>43201</v>
      </c>
      <c r="C1027" s="162">
        <v>61846.71</v>
      </c>
      <c r="F1027" s="162">
        <v>61846.71</v>
      </c>
    </row>
    <row r="1028" spans="1:6" x14ac:dyDescent="0.25">
      <c r="A1028" s="3" t="s">
        <v>12</v>
      </c>
      <c r="B1028" s="4">
        <v>43201</v>
      </c>
      <c r="C1028" s="162">
        <v>45748.57</v>
      </c>
      <c r="F1028" s="162">
        <v>45748.57</v>
      </c>
    </row>
    <row r="1029" spans="1:6" x14ac:dyDescent="0.25">
      <c r="A1029" s="3" t="s">
        <v>6</v>
      </c>
      <c r="B1029" s="4">
        <v>43202</v>
      </c>
      <c r="C1029" s="162">
        <v>34132.46</v>
      </c>
      <c r="F1029" s="162">
        <v>34132.46</v>
      </c>
    </row>
    <row r="1030" spans="1:6" x14ac:dyDescent="0.25">
      <c r="A1030" s="3" t="s">
        <v>11</v>
      </c>
      <c r="B1030" s="4">
        <v>43202</v>
      </c>
      <c r="C1030" s="162">
        <v>42902.9</v>
      </c>
      <c r="F1030" s="162">
        <v>42902.9</v>
      </c>
    </row>
    <row r="1031" spans="1:6" x14ac:dyDescent="0.25">
      <c r="A1031" s="3" t="s">
        <v>8</v>
      </c>
      <c r="B1031" s="4">
        <v>43202</v>
      </c>
      <c r="C1031" s="162">
        <v>83099.17</v>
      </c>
      <c r="E1031" s="162">
        <v>372.7</v>
      </c>
      <c r="F1031" s="162">
        <v>82726.47</v>
      </c>
    </row>
    <row r="1032" spans="1:6" x14ac:dyDescent="0.25">
      <c r="A1032" s="3" t="s">
        <v>7</v>
      </c>
      <c r="B1032" s="4">
        <v>43202</v>
      </c>
      <c r="C1032" s="162">
        <v>50298.47</v>
      </c>
      <c r="D1032" s="162">
        <v>5743.14</v>
      </c>
      <c r="E1032" s="162">
        <v>64.900000000000006</v>
      </c>
      <c r="F1032" s="162">
        <v>44490.43</v>
      </c>
    </row>
    <row r="1033" spans="1:6" x14ac:dyDescent="0.25">
      <c r="A1033" s="3" t="s">
        <v>11</v>
      </c>
      <c r="B1033" s="4">
        <v>43203</v>
      </c>
      <c r="C1033" s="162">
        <v>107860.82</v>
      </c>
      <c r="F1033" s="162">
        <v>107860.82</v>
      </c>
    </row>
    <row r="1034" spans="1:6" x14ac:dyDescent="0.25">
      <c r="A1034" s="3" t="s">
        <v>6</v>
      </c>
      <c r="B1034" s="4">
        <v>43203</v>
      </c>
      <c r="C1034" s="162">
        <v>75565.460000000006</v>
      </c>
      <c r="F1034" s="162">
        <v>75565.460000000006</v>
      </c>
    </row>
    <row r="1035" spans="1:6" x14ac:dyDescent="0.25">
      <c r="A1035" s="3" t="s">
        <v>7</v>
      </c>
      <c r="B1035" s="4">
        <v>43203</v>
      </c>
      <c r="C1035" s="162">
        <v>85645.64</v>
      </c>
      <c r="D1035" s="162">
        <v>1379.1</v>
      </c>
      <c r="E1035" s="162">
        <v>177.79</v>
      </c>
      <c r="F1035" s="162">
        <v>84088.75</v>
      </c>
    </row>
    <row r="1036" spans="1:6" x14ac:dyDescent="0.25">
      <c r="A1036" s="3" t="s">
        <v>8</v>
      </c>
      <c r="B1036" s="4">
        <v>43203</v>
      </c>
      <c r="C1036" s="162">
        <v>718871.92</v>
      </c>
      <c r="D1036" s="162">
        <v>1911.41</v>
      </c>
      <c r="E1036" s="162" t="s">
        <v>17</v>
      </c>
      <c r="F1036" s="162">
        <v>716960.51</v>
      </c>
    </row>
    <row r="1037" spans="1:6" x14ac:dyDescent="0.25">
      <c r="A1037" s="3" t="s">
        <v>9</v>
      </c>
      <c r="B1037" s="4">
        <v>43203</v>
      </c>
      <c r="C1037" s="162">
        <v>1141371.1299999999</v>
      </c>
      <c r="D1037" s="162">
        <v>11914.06</v>
      </c>
      <c r="F1037" s="162">
        <v>1129457.07</v>
      </c>
    </row>
    <row r="1038" spans="1:6" x14ac:dyDescent="0.25">
      <c r="A1038" s="3" t="s">
        <v>12</v>
      </c>
      <c r="B1038" s="4">
        <v>43203</v>
      </c>
      <c r="C1038" s="162">
        <v>156292.39000000001</v>
      </c>
      <c r="F1038" s="162">
        <v>156292.39000000001</v>
      </c>
    </row>
    <row r="1039" spans="1:6" x14ac:dyDescent="0.25">
      <c r="A1039" s="3" t="s">
        <v>10</v>
      </c>
      <c r="B1039" s="4">
        <v>43203</v>
      </c>
      <c r="C1039" s="162">
        <v>45354.75</v>
      </c>
      <c r="E1039" s="162">
        <v>301.95999999999998</v>
      </c>
      <c r="F1039" s="162">
        <v>45052.79</v>
      </c>
    </row>
    <row r="1040" spans="1:6" x14ac:dyDescent="0.25">
      <c r="A1040" s="3" t="s">
        <v>13</v>
      </c>
      <c r="B1040" s="4">
        <v>43203</v>
      </c>
      <c r="C1040" s="162">
        <v>251723.61</v>
      </c>
      <c r="F1040" s="162">
        <v>251723.61</v>
      </c>
    </row>
    <row r="1041" spans="1:6" x14ac:dyDescent="0.25">
      <c r="A1041" s="3" t="s">
        <v>6</v>
      </c>
      <c r="B1041" s="4">
        <v>43206</v>
      </c>
      <c r="C1041" s="162">
        <v>82235.66</v>
      </c>
      <c r="D1041" s="162">
        <v>2885.75</v>
      </c>
      <c r="E1041" s="162">
        <v>15.81</v>
      </c>
      <c r="F1041" s="162">
        <v>79334.100000000006</v>
      </c>
    </row>
    <row r="1042" spans="1:6" x14ac:dyDescent="0.25">
      <c r="A1042" s="3" t="s">
        <v>6</v>
      </c>
      <c r="B1042" s="4">
        <v>43206</v>
      </c>
      <c r="C1042" s="162">
        <v>307674.83</v>
      </c>
      <c r="D1042" s="162">
        <v>35464.1</v>
      </c>
      <c r="F1042" s="162">
        <v>272210.73</v>
      </c>
    </row>
    <row r="1043" spans="1:6" x14ac:dyDescent="0.25">
      <c r="A1043" s="3" t="s">
        <v>7</v>
      </c>
      <c r="B1043" s="4">
        <v>43206</v>
      </c>
      <c r="C1043" s="162">
        <v>168970.3</v>
      </c>
      <c r="E1043" s="162">
        <v>22.32</v>
      </c>
      <c r="F1043" s="162">
        <v>168947.98</v>
      </c>
    </row>
    <row r="1044" spans="1:6" x14ac:dyDescent="0.25">
      <c r="A1044" s="3" t="s">
        <v>9</v>
      </c>
      <c r="B1044" s="4">
        <v>43206</v>
      </c>
      <c r="C1044" s="162">
        <v>194888.26</v>
      </c>
      <c r="D1044" s="162">
        <v>5127.59</v>
      </c>
      <c r="E1044" s="162">
        <v>728.57</v>
      </c>
      <c r="F1044" s="162">
        <v>189032.1</v>
      </c>
    </row>
    <row r="1045" spans="1:6" x14ac:dyDescent="0.25">
      <c r="A1045" s="3" t="s">
        <v>8</v>
      </c>
      <c r="B1045" s="4">
        <v>43206</v>
      </c>
      <c r="C1045" s="162">
        <v>36491.43</v>
      </c>
      <c r="E1045" s="162">
        <v>15.69</v>
      </c>
      <c r="F1045" s="162">
        <v>36475.74</v>
      </c>
    </row>
    <row r="1046" spans="1:6" x14ac:dyDescent="0.25">
      <c r="A1046" s="3" t="s">
        <v>12</v>
      </c>
      <c r="B1046" s="4">
        <v>43206</v>
      </c>
      <c r="C1046" s="162">
        <v>7190.68</v>
      </c>
      <c r="D1046" s="162">
        <v>7174.87</v>
      </c>
      <c r="E1046" s="162">
        <v>15.81</v>
      </c>
      <c r="F1046" s="162">
        <v>0</v>
      </c>
    </row>
    <row r="1047" spans="1:6" x14ac:dyDescent="0.25">
      <c r="A1047" s="3" t="s">
        <v>13</v>
      </c>
      <c r="B1047" s="4">
        <v>43206</v>
      </c>
      <c r="C1047" s="162">
        <v>33562.870000000003</v>
      </c>
      <c r="F1047" s="162">
        <v>33562.870000000003</v>
      </c>
    </row>
    <row r="1048" spans="1:6" x14ac:dyDescent="0.25">
      <c r="A1048" s="3" t="s">
        <v>10</v>
      </c>
      <c r="B1048" s="4">
        <v>43206</v>
      </c>
      <c r="C1048" s="162">
        <v>67993.98</v>
      </c>
      <c r="F1048" s="162">
        <v>67993.98</v>
      </c>
    </row>
    <row r="1049" spans="1:6" x14ac:dyDescent="0.25">
      <c r="A1049" s="3" t="s">
        <v>11</v>
      </c>
      <c r="B1049" s="4">
        <v>43207</v>
      </c>
      <c r="C1049" s="162">
        <v>30924.28</v>
      </c>
      <c r="F1049" s="162">
        <v>30924.28</v>
      </c>
    </row>
    <row r="1050" spans="1:6" x14ac:dyDescent="0.25">
      <c r="A1050" s="3" t="s">
        <v>6</v>
      </c>
      <c r="B1050" s="4">
        <v>43207</v>
      </c>
      <c r="C1050" s="162">
        <v>25189.91</v>
      </c>
      <c r="F1050" s="162">
        <v>25189.91</v>
      </c>
    </row>
    <row r="1051" spans="1:6" x14ac:dyDescent="0.25">
      <c r="A1051" s="3" t="s">
        <v>7</v>
      </c>
      <c r="B1051" s="4">
        <v>43207</v>
      </c>
      <c r="C1051" s="162">
        <v>149475.29999999999</v>
      </c>
      <c r="F1051" s="162">
        <v>149475.29999999999</v>
      </c>
    </row>
    <row r="1052" spans="1:6" x14ac:dyDescent="0.25">
      <c r="A1052" s="3" t="s">
        <v>8</v>
      </c>
      <c r="B1052" s="4">
        <v>43207</v>
      </c>
      <c r="C1052" s="162">
        <v>58196.97</v>
      </c>
      <c r="F1052" s="162">
        <v>58196.97</v>
      </c>
    </row>
    <row r="1053" spans="1:6" x14ac:dyDescent="0.25">
      <c r="A1053" s="3" t="s">
        <v>10</v>
      </c>
      <c r="B1053" s="4">
        <v>43207</v>
      </c>
      <c r="C1053" s="162">
        <v>101761.13</v>
      </c>
      <c r="F1053" s="162">
        <v>101761.13</v>
      </c>
    </row>
    <row r="1054" spans="1:6" x14ac:dyDescent="0.25">
      <c r="A1054" s="3" t="s">
        <v>12</v>
      </c>
      <c r="B1054" s="4">
        <v>43207</v>
      </c>
      <c r="C1054" s="162">
        <v>39996.28</v>
      </c>
      <c r="F1054" s="162">
        <v>39996.28</v>
      </c>
    </row>
    <row r="1055" spans="1:6" x14ac:dyDescent="0.25">
      <c r="A1055" s="3" t="s">
        <v>6</v>
      </c>
      <c r="B1055" s="4">
        <v>43208</v>
      </c>
      <c r="C1055" s="162">
        <v>21305.61</v>
      </c>
      <c r="F1055" s="162">
        <v>21305.61</v>
      </c>
    </row>
    <row r="1056" spans="1:6" x14ac:dyDescent="0.25">
      <c r="A1056" s="3" t="s">
        <v>7</v>
      </c>
      <c r="B1056" s="4">
        <v>43208</v>
      </c>
      <c r="C1056" s="162">
        <v>14702.6</v>
      </c>
      <c r="D1056" s="162">
        <v>7513.49</v>
      </c>
      <c r="E1056" s="162">
        <v>6.62</v>
      </c>
      <c r="F1056" s="162">
        <v>7182.49</v>
      </c>
    </row>
    <row r="1057" spans="1:6" x14ac:dyDescent="0.25">
      <c r="A1057" s="3" t="s">
        <v>11</v>
      </c>
      <c r="B1057" s="4">
        <v>43208</v>
      </c>
      <c r="C1057" s="162">
        <v>66242.58</v>
      </c>
      <c r="E1057" s="162">
        <v>119.1</v>
      </c>
      <c r="F1057" s="162">
        <v>66123.48</v>
      </c>
    </row>
    <row r="1058" spans="1:6" x14ac:dyDescent="0.25">
      <c r="A1058" s="3" t="s">
        <v>9</v>
      </c>
      <c r="B1058" s="4">
        <v>43208</v>
      </c>
      <c r="C1058" s="162">
        <v>191337.78</v>
      </c>
      <c r="D1058" s="162">
        <v>36264.339999999997</v>
      </c>
      <c r="E1058" s="162">
        <v>485.15</v>
      </c>
      <c r="F1058" s="162">
        <v>154588.29</v>
      </c>
    </row>
    <row r="1059" spans="1:6" x14ac:dyDescent="0.25">
      <c r="A1059" s="3" t="s">
        <v>8</v>
      </c>
      <c r="B1059" s="4">
        <v>43209</v>
      </c>
      <c r="C1059" s="162">
        <v>202605.26</v>
      </c>
      <c r="F1059" s="162">
        <v>202605.26</v>
      </c>
    </row>
    <row r="1060" spans="1:6" x14ac:dyDescent="0.25">
      <c r="A1060" s="3" t="s">
        <v>9</v>
      </c>
      <c r="B1060" s="4">
        <v>43209</v>
      </c>
      <c r="C1060" s="162">
        <v>42046.47</v>
      </c>
      <c r="F1060" s="162">
        <v>42046.47</v>
      </c>
    </row>
    <row r="1061" spans="1:6" x14ac:dyDescent="0.25">
      <c r="A1061" s="3" t="s">
        <v>7</v>
      </c>
      <c r="B1061" s="4">
        <v>43209</v>
      </c>
      <c r="C1061" s="162">
        <v>46701.7</v>
      </c>
      <c r="F1061" s="162">
        <v>46701.7</v>
      </c>
    </row>
    <row r="1062" spans="1:6" x14ac:dyDescent="0.25">
      <c r="A1062" s="3" t="s">
        <v>6</v>
      </c>
      <c r="B1062" s="4">
        <v>43209</v>
      </c>
      <c r="C1062" s="162">
        <v>67317.66</v>
      </c>
      <c r="E1062" s="162">
        <v>28.19</v>
      </c>
      <c r="F1062" s="162">
        <v>67289.47</v>
      </c>
    </row>
    <row r="1063" spans="1:6" x14ac:dyDescent="0.25">
      <c r="A1063" s="3" t="s">
        <v>12</v>
      </c>
      <c r="B1063" s="4">
        <v>43209</v>
      </c>
      <c r="C1063" s="162">
        <v>438645.25</v>
      </c>
      <c r="D1063" s="162">
        <v>18072.939999999999</v>
      </c>
      <c r="F1063" s="162">
        <v>420572.31</v>
      </c>
    </row>
    <row r="1064" spans="1:6" x14ac:dyDescent="0.25">
      <c r="A1064" s="3" t="s">
        <v>11</v>
      </c>
      <c r="B1064" s="4">
        <v>43209</v>
      </c>
      <c r="C1064" s="162">
        <v>82642.720000000001</v>
      </c>
      <c r="F1064" s="162">
        <v>82642.720000000001</v>
      </c>
    </row>
    <row r="1065" spans="1:6" x14ac:dyDescent="0.25">
      <c r="A1065" s="3" t="s">
        <v>10</v>
      </c>
      <c r="B1065" s="4">
        <v>43209</v>
      </c>
      <c r="C1065" s="162">
        <v>146118.62</v>
      </c>
      <c r="F1065" s="162">
        <v>146118.62</v>
      </c>
    </row>
    <row r="1066" spans="1:6" x14ac:dyDescent="0.25">
      <c r="A1066" s="3" t="s">
        <v>14</v>
      </c>
      <c r="B1066" s="4">
        <v>43209</v>
      </c>
      <c r="C1066" s="162">
        <v>826247.63</v>
      </c>
      <c r="D1066" s="162">
        <v>21904.36</v>
      </c>
      <c r="F1066" s="162">
        <v>804343.27</v>
      </c>
    </row>
    <row r="1067" spans="1:6" x14ac:dyDescent="0.25">
      <c r="A1067" s="3" t="s">
        <v>16</v>
      </c>
      <c r="B1067" s="4">
        <v>43209</v>
      </c>
      <c r="C1067" s="162">
        <v>87133.5</v>
      </c>
      <c r="E1067" s="162">
        <v>1013.07</v>
      </c>
      <c r="F1067" s="162">
        <v>86120.43</v>
      </c>
    </row>
    <row r="1068" spans="1:6" x14ac:dyDescent="0.25">
      <c r="A1068" s="3" t="s">
        <v>11</v>
      </c>
      <c r="B1068" s="4">
        <v>43210</v>
      </c>
      <c r="C1068" s="162">
        <v>114279.15</v>
      </c>
      <c r="F1068" s="162">
        <v>114279.15</v>
      </c>
    </row>
    <row r="1069" spans="1:6" x14ac:dyDescent="0.25">
      <c r="A1069" s="3" t="s">
        <v>8</v>
      </c>
      <c r="B1069" s="4">
        <v>43210</v>
      </c>
      <c r="C1069" s="162">
        <v>27921.040000000001</v>
      </c>
      <c r="F1069" s="162">
        <v>27921.040000000001</v>
      </c>
    </row>
    <row r="1070" spans="1:6" x14ac:dyDescent="0.25">
      <c r="A1070" s="3" t="s">
        <v>7</v>
      </c>
      <c r="B1070" s="4">
        <v>43210</v>
      </c>
      <c r="C1070" s="162">
        <v>41090.43</v>
      </c>
      <c r="F1070" s="162">
        <v>41090.43</v>
      </c>
    </row>
    <row r="1071" spans="1:6" x14ac:dyDescent="0.25">
      <c r="A1071" s="3" t="s">
        <v>6</v>
      </c>
      <c r="B1071" s="4">
        <v>43210</v>
      </c>
      <c r="C1071" s="162">
        <v>321298.65000000002</v>
      </c>
      <c r="E1071" s="162">
        <v>482.13</v>
      </c>
      <c r="F1071" s="162">
        <v>320816.52</v>
      </c>
    </row>
    <row r="1072" spans="1:6" x14ac:dyDescent="0.25">
      <c r="A1072" s="3" t="s">
        <v>9</v>
      </c>
      <c r="B1072" s="4">
        <v>43210</v>
      </c>
      <c r="C1072" s="162">
        <v>84170.47</v>
      </c>
      <c r="E1072" s="162">
        <v>289.31</v>
      </c>
      <c r="F1072" s="162">
        <v>83881.16</v>
      </c>
    </row>
    <row r="1073" spans="1:6" x14ac:dyDescent="0.25">
      <c r="A1073" s="3" t="s">
        <v>12</v>
      </c>
      <c r="B1073" s="4">
        <v>43210</v>
      </c>
      <c r="C1073" s="162">
        <v>1015994.72</v>
      </c>
      <c r="F1073" s="162">
        <v>1015994.72</v>
      </c>
    </row>
    <row r="1074" spans="1:6" x14ac:dyDescent="0.25">
      <c r="A1074" s="3" t="s">
        <v>14</v>
      </c>
      <c r="B1074" s="4">
        <v>43210</v>
      </c>
      <c r="C1074" s="162">
        <v>75059.990000000005</v>
      </c>
      <c r="D1074" s="162">
        <v>1157.8699999999999</v>
      </c>
      <c r="F1074" s="162">
        <v>73902.12</v>
      </c>
    </row>
    <row r="1075" spans="1:6" x14ac:dyDescent="0.25">
      <c r="A1075" s="3" t="s">
        <v>10</v>
      </c>
      <c r="B1075" s="4">
        <v>43210</v>
      </c>
      <c r="C1075" s="162">
        <v>44304.59</v>
      </c>
      <c r="F1075" s="162">
        <v>44304.59</v>
      </c>
    </row>
    <row r="1076" spans="1:6" x14ac:dyDescent="0.25">
      <c r="A1076" s="3" t="s">
        <v>13</v>
      </c>
      <c r="B1076" s="4">
        <v>43210</v>
      </c>
      <c r="C1076" s="162">
        <v>194485.78</v>
      </c>
      <c r="F1076" s="162">
        <v>194485.78</v>
      </c>
    </row>
    <row r="1077" spans="1:6" x14ac:dyDescent="0.25">
      <c r="A1077" s="3" t="s">
        <v>6</v>
      </c>
      <c r="B1077" s="4">
        <v>43213</v>
      </c>
      <c r="C1077" s="162">
        <v>69816.53</v>
      </c>
      <c r="F1077" s="162">
        <v>69816.53</v>
      </c>
    </row>
    <row r="1078" spans="1:6" x14ac:dyDescent="0.25">
      <c r="A1078" s="3" t="s">
        <v>7</v>
      </c>
      <c r="B1078" s="4">
        <v>43213</v>
      </c>
      <c r="C1078" s="162">
        <v>28699.41</v>
      </c>
      <c r="F1078" s="162">
        <v>28699.41</v>
      </c>
    </row>
    <row r="1079" spans="1:6" x14ac:dyDescent="0.25">
      <c r="A1079" s="3" t="s">
        <v>11</v>
      </c>
      <c r="B1079" s="4">
        <v>43213</v>
      </c>
      <c r="C1079" s="162">
        <v>22175.71</v>
      </c>
      <c r="F1079" s="162">
        <v>22175.71</v>
      </c>
    </row>
    <row r="1080" spans="1:6" x14ac:dyDescent="0.25">
      <c r="A1080" s="3" t="s">
        <v>8</v>
      </c>
      <c r="B1080" s="4">
        <v>43213</v>
      </c>
      <c r="C1080" s="162">
        <v>166107.39000000001</v>
      </c>
      <c r="F1080" s="162">
        <v>166107.39000000001</v>
      </c>
    </row>
    <row r="1081" spans="1:6" x14ac:dyDescent="0.25">
      <c r="A1081" s="3" t="s">
        <v>9</v>
      </c>
      <c r="B1081" s="4">
        <v>43213</v>
      </c>
      <c r="C1081" s="162">
        <v>15394.73</v>
      </c>
      <c r="D1081" s="162">
        <v>15394.73</v>
      </c>
      <c r="F1081" s="162" t="s">
        <v>17</v>
      </c>
    </row>
    <row r="1082" spans="1:6" x14ac:dyDescent="0.25">
      <c r="A1082" s="3" t="s">
        <v>14</v>
      </c>
      <c r="B1082" s="4">
        <v>43213</v>
      </c>
      <c r="C1082" s="162">
        <v>46897.75</v>
      </c>
      <c r="F1082" s="162">
        <v>46897.75</v>
      </c>
    </row>
    <row r="1083" spans="1:6" x14ac:dyDescent="0.25">
      <c r="A1083" s="3" t="s">
        <v>16</v>
      </c>
      <c r="B1083" s="4">
        <v>43213</v>
      </c>
      <c r="C1083" s="162">
        <v>64179.87</v>
      </c>
      <c r="E1083" s="162">
        <v>30</v>
      </c>
      <c r="F1083" s="162">
        <v>64149.87</v>
      </c>
    </row>
    <row r="1084" spans="1:6" x14ac:dyDescent="0.25">
      <c r="A1084" s="3" t="s">
        <v>12</v>
      </c>
      <c r="B1084" s="4">
        <v>43213</v>
      </c>
      <c r="C1084" s="162">
        <v>8061.2</v>
      </c>
      <c r="F1084" s="162">
        <v>8061.2</v>
      </c>
    </row>
    <row r="1085" spans="1:6" x14ac:dyDescent="0.25">
      <c r="A1085" s="3" t="s">
        <v>10</v>
      </c>
      <c r="B1085" s="4">
        <v>43213</v>
      </c>
      <c r="C1085" s="162">
        <v>42043.48</v>
      </c>
      <c r="F1085" s="162">
        <v>42043.48</v>
      </c>
    </row>
    <row r="1086" spans="1:6" x14ac:dyDescent="0.25">
      <c r="A1086" s="3" t="s">
        <v>13</v>
      </c>
      <c r="B1086" s="4">
        <v>43213</v>
      </c>
      <c r="C1086" s="162">
        <v>98856.59</v>
      </c>
      <c r="D1086" s="162">
        <v>7771.23</v>
      </c>
      <c r="E1086" s="162">
        <v>36.89</v>
      </c>
      <c r="F1086" s="162">
        <v>91048.47</v>
      </c>
    </row>
    <row r="1087" spans="1:6" x14ac:dyDescent="0.25">
      <c r="A1087" s="3" t="s">
        <v>14</v>
      </c>
      <c r="B1087" s="4">
        <v>43214</v>
      </c>
      <c r="C1087" s="162">
        <v>124730.81</v>
      </c>
      <c r="F1087" s="162">
        <v>124730.81</v>
      </c>
    </row>
    <row r="1088" spans="1:6" x14ac:dyDescent="0.25">
      <c r="A1088" s="3" t="s">
        <v>6</v>
      </c>
      <c r="B1088" s="4">
        <v>43214</v>
      </c>
      <c r="C1088" s="162">
        <v>21537.87</v>
      </c>
      <c r="F1088" s="162">
        <v>21537.87</v>
      </c>
    </row>
    <row r="1089" spans="1:6" x14ac:dyDescent="0.25">
      <c r="A1089" s="3" t="s">
        <v>9</v>
      </c>
      <c r="B1089" s="4">
        <v>43214</v>
      </c>
      <c r="C1089" s="162">
        <v>175862.65</v>
      </c>
      <c r="F1089" s="162">
        <v>175862.65</v>
      </c>
    </row>
    <row r="1090" spans="1:6" x14ac:dyDescent="0.25">
      <c r="A1090" s="3" t="s">
        <v>10</v>
      </c>
      <c r="B1090" s="4">
        <v>43214</v>
      </c>
      <c r="C1090" s="162">
        <v>101492.01</v>
      </c>
      <c r="F1090" s="162">
        <v>101492.01</v>
      </c>
    </row>
    <row r="1091" spans="1:6" x14ac:dyDescent="0.25">
      <c r="A1091" s="3" t="s">
        <v>8</v>
      </c>
      <c r="B1091" s="4">
        <v>43214</v>
      </c>
      <c r="C1091" s="162">
        <v>151718.68</v>
      </c>
      <c r="F1091" s="162">
        <v>151718.68</v>
      </c>
    </row>
    <row r="1092" spans="1:6" x14ac:dyDescent="0.25">
      <c r="A1092" s="3" t="s">
        <v>11</v>
      </c>
      <c r="B1092" s="4">
        <v>43214</v>
      </c>
      <c r="C1092" s="162">
        <v>75230.95</v>
      </c>
      <c r="F1092" s="162">
        <v>75230.95</v>
      </c>
    </row>
    <row r="1093" spans="1:6" x14ac:dyDescent="0.25">
      <c r="A1093" s="3" t="s">
        <v>7</v>
      </c>
      <c r="B1093" s="4">
        <v>43214</v>
      </c>
      <c r="C1093" s="162">
        <v>49898.82</v>
      </c>
      <c r="F1093" s="162">
        <v>49898.82</v>
      </c>
    </row>
    <row r="1094" spans="1:6" x14ac:dyDescent="0.25">
      <c r="A1094" s="3" t="s">
        <v>11</v>
      </c>
      <c r="B1094" s="4">
        <v>43215</v>
      </c>
      <c r="C1094" s="162">
        <v>160184.75</v>
      </c>
      <c r="D1094" s="162">
        <v>432.86</v>
      </c>
      <c r="E1094" s="162">
        <v>1462.53</v>
      </c>
      <c r="F1094" s="162">
        <v>158289.35999999999</v>
      </c>
    </row>
    <row r="1095" spans="1:6" x14ac:dyDescent="0.25">
      <c r="A1095" s="3" t="s">
        <v>6</v>
      </c>
      <c r="B1095" s="4">
        <v>43215</v>
      </c>
      <c r="C1095" s="162">
        <v>107220.28</v>
      </c>
      <c r="E1095" s="162">
        <v>597.51</v>
      </c>
      <c r="F1095" s="162">
        <v>106622.77</v>
      </c>
    </row>
    <row r="1096" spans="1:6" x14ac:dyDescent="0.25">
      <c r="A1096" s="3" t="s">
        <v>7</v>
      </c>
      <c r="B1096" s="4">
        <v>43215</v>
      </c>
      <c r="C1096" s="162">
        <v>24817.82</v>
      </c>
      <c r="D1096" s="162">
        <v>967.3</v>
      </c>
      <c r="E1096" s="162">
        <v>5.27</v>
      </c>
      <c r="F1096" s="162">
        <v>23845.25</v>
      </c>
    </row>
    <row r="1097" spans="1:6" x14ac:dyDescent="0.25">
      <c r="A1097" s="3" t="s">
        <v>8</v>
      </c>
      <c r="B1097" s="4">
        <v>43215</v>
      </c>
      <c r="C1097" s="162">
        <v>44005.2</v>
      </c>
      <c r="D1097" s="162">
        <v>3944.72</v>
      </c>
      <c r="E1097" s="162">
        <v>41.19</v>
      </c>
      <c r="F1097" s="162">
        <v>40019.29</v>
      </c>
    </row>
    <row r="1098" spans="1:6" x14ac:dyDescent="0.25">
      <c r="A1098" s="3" t="s">
        <v>9</v>
      </c>
      <c r="B1098" s="4">
        <v>43215</v>
      </c>
      <c r="C1098" s="162">
        <v>81580.509999999995</v>
      </c>
      <c r="E1098" s="162">
        <v>193.63</v>
      </c>
      <c r="F1098" s="162">
        <v>81386.880000000005</v>
      </c>
    </row>
    <row r="1099" spans="1:6" x14ac:dyDescent="0.25">
      <c r="A1099" s="3" t="s">
        <v>10</v>
      </c>
      <c r="B1099" s="4">
        <v>43215</v>
      </c>
      <c r="C1099" s="162">
        <v>43460.62</v>
      </c>
      <c r="F1099" s="162">
        <v>43460.62</v>
      </c>
    </row>
    <row r="1100" spans="1:6" x14ac:dyDescent="0.25">
      <c r="A1100" s="3" t="s">
        <v>11</v>
      </c>
      <c r="B1100" s="4">
        <v>43216</v>
      </c>
      <c r="C1100" s="162">
        <v>66373.2</v>
      </c>
      <c r="D1100" s="162">
        <v>15712.56</v>
      </c>
      <c r="E1100" s="162">
        <v>89.65</v>
      </c>
      <c r="F1100" s="162">
        <v>50570.99</v>
      </c>
    </row>
    <row r="1101" spans="1:6" x14ac:dyDescent="0.25">
      <c r="A1101" s="3" t="s">
        <v>6</v>
      </c>
      <c r="B1101" s="4">
        <v>43216</v>
      </c>
      <c r="C1101" s="162">
        <v>68362.539999999994</v>
      </c>
      <c r="F1101" s="162">
        <v>68362.539999999994</v>
      </c>
    </row>
    <row r="1102" spans="1:6" x14ac:dyDescent="0.25">
      <c r="A1102" s="3" t="s">
        <v>7</v>
      </c>
      <c r="B1102" s="4">
        <v>43216</v>
      </c>
      <c r="C1102" s="162">
        <v>106332.32</v>
      </c>
      <c r="F1102" s="162">
        <v>106332.32</v>
      </c>
    </row>
    <row r="1103" spans="1:6" x14ac:dyDescent="0.25">
      <c r="A1103" s="3" t="s">
        <v>12</v>
      </c>
      <c r="B1103" s="4">
        <v>43216</v>
      </c>
      <c r="C1103" s="162">
        <v>36408.54</v>
      </c>
      <c r="D1103" s="162">
        <v>7293.4</v>
      </c>
      <c r="E1103" s="162">
        <v>11.8</v>
      </c>
      <c r="F1103" s="162">
        <v>29103.34</v>
      </c>
    </row>
    <row r="1104" spans="1:6" x14ac:dyDescent="0.25">
      <c r="A1104" s="3" t="s">
        <v>14</v>
      </c>
      <c r="B1104" s="4">
        <v>43216</v>
      </c>
      <c r="C1104" s="162">
        <v>99285.28</v>
      </c>
      <c r="F1104" s="162">
        <v>99285.28</v>
      </c>
    </row>
    <row r="1105" spans="1:6" x14ac:dyDescent="0.25">
      <c r="A1105" s="3" t="s">
        <v>13</v>
      </c>
      <c r="B1105" s="4">
        <v>43216</v>
      </c>
      <c r="C1105" s="162">
        <v>96377.38</v>
      </c>
      <c r="F1105" s="162">
        <v>96377.38</v>
      </c>
    </row>
    <row r="1106" spans="1:6" x14ac:dyDescent="0.25">
      <c r="A1106" s="3" t="s">
        <v>8</v>
      </c>
      <c r="B1106" s="4">
        <v>43216</v>
      </c>
      <c r="C1106" s="162">
        <v>47178.04</v>
      </c>
      <c r="F1106" s="162">
        <v>47178.04</v>
      </c>
    </row>
    <row r="1107" spans="1:6" x14ac:dyDescent="0.25">
      <c r="A1107" s="3" t="s">
        <v>9</v>
      </c>
      <c r="B1107" s="4">
        <v>43216</v>
      </c>
      <c r="C1107" s="162">
        <v>77075.28</v>
      </c>
      <c r="F1107" s="162">
        <v>77075.28</v>
      </c>
    </row>
    <row r="1108" spans="1:6" x14ac:dyDescent="0.25">
      <c r="A1108" s="3" t="s">
        <v>12</v>
      </c>
      <c r="B1108" s="4">
        <v>43217</v>
      </c>
      <c r="C1108" s="162">
        <v>208203.11</v>
      </c>
      <c r="F1108" s="162">
        <v>208203.11</v>
      </c>
    </row>
    <row r="1109" spans="1:6" x14ac:dyDescent="0.25">
      <c r="A1109" s="3" t="s">
        <v>6</v>
      </c>
      <c r="B1109" s="4">
        <v>43217</v>
      </c>
      <c r="C1109" s="162">
        <v>100793.23</v>
      </c>
      <c r="F1109" s="162">
        <v>100793.23</v>
      </c>
    </row>
    <row r="1110" spans="1:6" x14ac:dyDescent="0.25">
      <c r="A1110" s="3" t="s">
        <v>10</v>
      </c>
      <c r="B1110" s="4">
        <v>43217</v>
      </c>
      <c r="C1110" s="162">
        <v>69102.080000000002</v>
      </c>
      <c r="F1110" s="162">
        <v>69102.080000000002</v>
      </c>
    </row>
    <row r="1111" spans="1:6" x14ac:dyDescent="0.25">
      <c r="A1111" s="3" t="s">
        <v>13</v>
      </c>
      <c r="B1111" s="4">
        <v>43217</v>
      </c>
      <c r="C1111" s="162">
        <v>137074.23999999999</v>
      </c>
      <c r="F1111" s="162">
        <v>137074.23999999999</v>
      </c>
    </row>
    <row r="1112" spans="1:6" x14ac:dyDescent="0.25">
      <c r="A1112" s="3" t="s">
        <v>14</v>
      </c>
      <c r="B1112" s="4">
        <v>43217</v>
      </c>
      <c r="C1112" s="162">
        <v>126523.21</v>
      </c>
      <c r="F1112" s="162">
        <v>126523.21</v>
      </c>
    </row>
    <row r="1113" spans="1:6" x14ac:dyDescent="0.25">
      <c r="A1113" s="3" t="s">
        <v>7</v>
      </c>
      <c r="B1113" s="4">
        <v>43217</v>
      </c>
      <c r="C1113" s="162">
        <v>101076.3</v>
      </c>
      <c r="F1113" s="162">
        <v>101076.3</v>
      </c>
    </row>
    <row r="1114" spans="1:6" x14ac:dyDescent="0.25">
      <c r="A1114" s="3" t="s">
        <v>9</v>
      </c>
      <c r="B1114" s="4">
        <v>43217</v>
      </c>
      <c r="C1114" s="162">
        <v>22575.4</v>
      </c>
      <c r="F1114" s="162">
        <v>22575.4</v>
      </c>
    </row>
    <row r="1115" spans="1:6" x14ac:dyDescent="0.25">
      <c r="A1115" s="3" t="s">
        <v>8</v>
      </c>
      <c r="B1115" s="4">
        <v>43217</v>
      </c>
      <c r="C1115" s="162">
        <v>473483.81</v>
      </c>
      <c r="F1115" s="162">
        <v>473483.81</v>
      </c>
    </row>
    <row r="1116" spans="1:6" x14ac:dyDescent="0.25">
      <c r="A1116" s="3" t="s">
        <v>6</v>
      </c>
      <c r="B1116" s="4">
        <v>43220</v>
      </c>
      <c r="C1116" s="162">
        <v>140545.23000000001</v>
      </c>
      <c r="F1116" s="162">
        <v>140545.23000000001</v>
      </c>
    </row>
    <row r="1117" spans="1:6" x14ac:dyDescent="0.25">
      <c r="A1117" s="3" t="s">
        <v>11</v>
      </c>
      <c r="B1117" s="4">
        <v>43222</v>
      </c>
      <c r="C1117" s="162">
        <v>64479</v>
      </c>
      <c r="F1117" s="162">
        <v>64479</v>
      </c>
    </row>
    <row r="1118" spans="1:6" x14ac:dyDescent="0.25">
      <c r="A1118" s="3" t="s">
        <v>6</v>
      </c>
      <c r="B1118" s="4">
        <v>43222</v>
      </c>
      <c r="C1118" s="162">
        <v>69198.740000000005</v>
      </c>
      <c r="E1118" s="162">
        <v>180</v>
      </c>
      <c r="F1118" s="162">
        <v>69018.740000000005</v>
      </c>
    </row>
    <row r="1119" spans="1:6" x14ac:dyDescent="0.25">
      <c r="A1119" s="3" t="s">
        <v>7</v>
      </c>
      <c r="B1119" s="4">
        <v>43222</v>
      </c>
      <c r="C1119" s="162">
        <v>112206.14</v>
      </c>
      <c r="F1119" s="162">
        <v>112206.14</v>
      </c>
    </row>
    <row r="1120" spans="1:6" x14ac:dyDescent="0.25">
      <c r="A1120" s="3" t="s">
        <v>8</v>
      </c>
      <c r="B1120" s="4">
        <v>43222</v>
      </c>
      <c r="C1120" s="162">
        <v>308144.03000000003</v>
      </c>
      <c r="F1120" s="162">
        <v>308144.03000000003</v>
      </c>
    </row>
    <row r="1121" spans="1:6" x14ac:dyDescent="0.25">
      <c r="A1121" s="3" t="s">
        <v>9</v>
      </c>
      <c r="B1121" s="4">
        <v>43222</v>
      </c>
      <c r="C1121" s="162">
        <v>42651.99</v>
      </c>
      <c r="F1121" s="162">
        <v>42651.99</v>
      </c>
    </row>
    <row r="1122" spans="1:6" x14ac:dyDescent="0.25">
      <c r="A1122" s="3" t="s">
        <v>10</v>
      </c>
      <c r="B1122" s="4">
        <v>43222</v>
      </c>
      <c r="C1122" s="162">
        <v>137302.25</v>
      </c>
      <c r="F1122" s="162">
        <v>137302.25</v>
      </c>
    </row>
    <row r="1123" spans="1:6" x14ac:dyDescent="0.25">
      <c r="A1123" s="3" t="s">
        <v>14</v>
      </c>
      <c r="B1123" s="4">
        <v>43222</v>
      </c>
      <c r="C1123" s="162">
        <v>51330.17</v>
      </c>
      <c r="E1123" s="162">
        <v>5.82</v>
      </c>
      <c r="F1123" s="162">
        <v>51324.35</v>
      </c>
    </row>
    <row r="1124" spans="1:6" x14ac:dyDescent="0.25">
      <c r="A1124" s="3" t="s">
        <v>11</v>
      </c>
      <c r="B1124" s="4">
        <v>43223</v>
      </c>
      <c r="C1124" s="162">
        <v>58562.43</v>
      </c>
      <c r="F1124" s="162">
        <v>58562.43</v>
      </c>
    </row>
    <row r="1125" spans="1:6" x14ac:dyDescent="0.25">
      <c r="A1125" s="3" t="s">
        <v>6</v>
      </c>
      <c r="B1125" s="4">
        <v>43223</v>
      </c>
      <c r="C1125" s="162">
        <v>77454.509999999995</v>
      </c>
      <c r="D1125" s="162">
        <v>1340.81</v>
      </c>
      <c r="E1125" s="162">
        <v>10.54</v>
      </c>
      <c r="F1125" s="162">
        <v>76103.16</v>
      </c>
    </row>
    <row r="1126" spans="1:6" x14ac:dyDescent="0.25">
      <c r="A1126" s="3" t="s">
        <v>7</v>
      </c>
      <c r="B1126" s="4">
        <v>43223</v>
      </c>
      <c r="C1126" s="162">
        <v>44250.45</v>
      </c>
      <c r="F1126" s="162">
        <v>44250.45</v>
      </c>
    </row>
    <row r="1127" spans="1:6" x14ac:dyDescent="0.25">
      <c r="A1127" s="3" t="s">
        <v>12</v>
      </c>
      <c r="B1127" s="4">
        <v>43223</v>
      </c>
      <c r="C1127" s="162">
        <v>35786.5</v>
      </c>
      <c r="F1127" s="162">
        <v>35786.5</v>
      </c>
    </row>
    <row r="1128" spans="1:6" x14ac:dyDescent="0.25">
      <c r="A1128" s="3" t="s">
        <v>14</v>
      </c>
      <c r="B1128" s="4">
        <v>43223</v>
      </c>
      <c r="C1128" s="162">
        <v>41809.599999999999</v>
      </c>
      <c r="F1128" s="162">
        <v>41809.599999999999</v>
      </c>
    </row>
    <row r="1129" spans="1:6" x14ac:dyDescent="0.25">
      <c r="A1129" s="3" t="s">
        <v>6</v>
      </c>
      <c r="B1129" s="4">
        <v>43224</v>
      </c>
      <c r="C1129" s="162">
        <v>983467.29</v>
      </c>
      <c r="D1129" s="162">
        <v>16656.3</v>
      </c>
      <c r="E1129" s="162">
        <v>4.28</v>
      </c>
      <c r="F1129" s="162">
        <v>966806.71</v>
      </c>
    </row>
    <row r="1130" spans="1:6" x14ac:dyDescent="0.25">
      <c r="A1130" s="3" t="s">
        <v>11</v>
      </c>
      <c r="B1130" s="4">
        <v>43224</v>
      </c>
      <c r="C1130" s="162">
        <v>813153.14</v>
      </c>
      <c r="D1130" s="162">
        <v>51690.82</v>
      </c>
      <c r="F1130" s="162">
        <v>761462.32</v>
      </c>
    </row>
    <row r="1131" spans="1:6" x14ac:dyDescent="0.25">
      <c r="A1131" s="3" t="s">
        <v>7</v>
      </c>
      <c r="B1131" s="4">
        <v>43224</v>
      </c>
      <c r="C1131" s="162">
        <v>26250.74</v>
      </c>
      <c r="D1131" s="162">
        <v>1049.1400000000001</v>
      </c>
      <c r="E1131" s="162">
        <v>528.32000000000005</v>
      </c>
      <c r="F1131" s="162">
        <v>24673.279999999999</v>
      </c>
    </row>
    <row r="1132" spans="1:6" x14ac:dyDescent="0.25">
      <c r="A1132" s="3" t="s">
        <v>9</v>
      </c>
      <c r="B1132" s="4">
        <v>43224</v>
      </c>
      <c r="C1132" s="162">
        <v>90402.85</v>
      </c>
      <c r="D1132" s="162">
        <v>17595.61</v>
      </c>
      <c r="E1132" s="162">
        <v>842.48</v>
      </c>
      <c r="F1132" s="162">
        <v>71964.759999999995</v>
      </c>
    </row>
    <row r="1133" spans="1:6" x14ac:dyDescent="0.25">
      <c r="A1133" s="3" t="s">
        <v>11</v>
      </c>
      <c r="B1133" s="4">
        <v>43227</v>
      </c>
      <c r="C1133" s="162">
        <v>155268.76</v>
      </c>
      <c r="F1133" s="162">
        <v>155268.76</v>
      </c>
    </row>
    <row r="1134" spans="1:6" x14ac:dyDescent="0.25">
      <c r="A1134" s="3" t="s">
        <v>8</v>
      </c>
      <c r="B1134" s="4">
        <v>43227</v>
      </c>
      <c r="C1134" s="162">
        <v>46758.89</v>
      </c>
      <c r="F1134" s="162">
        <v>46758.89</v>
      </c>
    </row>
    <row r="1135" spans="1:6" x14ac:dyDescent="0.25">
      <c r="A1135" s="3" t="s">
        <v>7</v>
      </c>
      <c r="B1135" s="4">
        <v>43227</v>
      </c>
      <c r="C1135" s="162">
        <v>94262.97</v>
      </c>
      <c r="F1135" s="162">
        <v>94262.97</v>
      </c>
    </row>
    <row r="1136" spans="1:6" x14ac:dyDescent="0.25">
      <c r="A1136" s="3" t="s">
        <v>6</v>
      </c>
      <c r="B1136" s="4">
        <v>43227</v>
      </c>
      <c r="C1136" s="162">
        <v>133646.28</v>
      </c>
      <c r="E1136" s="162">
        <v>258.2</v>
      </c>
      <c r="F1136" s="162">
        <v>133388.07999999999</v>
      </c>
    </row>
    <row r="1137" spans="1:6" x14ac:dyDescent="0.25">
      <c r="A1137" s="3" t="s">
        <v>9</v>
      </c>
      <c r="B1137" s="4">
        <v>43227</v>
      </c>
      <c r="C1137" s="162">
        <v>67077.5</v>
      </c>
      <c r="E1137" s="162">
        <v>258</v>
      </c>
      <c r="F1137" s="162">
        <v>66819.5</v>
      </c>
    </row>
    <row r="1138" spans="1:6" x14ac:dyDescent="0.25">
      <c r="A1138" s="3" t="s">
        <v>12</v>
      </c>
      <c r="B1138" s="4">
        <v>43227</v>
      </c>
      <c r="C1138" s="162">
        <v>88400.7</v>
      </c>
      <c r="E1138" s="162">
        <v>3533.87</v>
      </c>
      <c r="F1138" s="162">
        <v>84866.83</v>
      </c>
    </row>
    <row r="1139" spans="1:6" x14ac:dyDescent="0.25">
      <c r="A1139" s="3" t="s">
        <v>13</v>
      </c>
      <c r="B1139" s="4">
        <v>43227</v>
      </c>
      <c r="C1139" s="162">
        <v>78330.09</v>
      </c>
      <c r="F1139" s="162">
        <v>78330.09</v>
      </c>
    </row>
    <row r="1140" spans="1:6" x14ac:dyDescent="0.25">
      <c r="A1140" s="3" t="s">
        <v>14</v>
      </c>
      <c r="B1140" s="4">
        <v>43227</v>
      </c>
      <c r="C1140" s="162">
        <v>531402.05000000005</v>
      </c>
      <c r="F1140" s="162">
        <v>531402.05000000005</v>
      </c>
    </row>
    <row r="1141" spans="1:6" x14ac:dyDescent="0.25">
      <c r="A1141" s="3" t="s">
        <v>11</v>
      </c>
      <c r="B1141" s="4">
        <v>43228</v>
      </c>
      <c r="C1141" s="162">
        <v>32264.97</v>
      </c>
      <c r="F1141" s="162">
        <v>32264.97</v>
      </c>
    </row>
    <row r="1142" spans="1:6" x14ac:dyDescent="0.25">
      <c r="A1142" s="3" t="s">
        <v>6</v>
      </c>
      <c r="B1142" s="4">
        <v>43228</v>
      </c>
      <c r="C1142" s="162">
        <v>93229.24</v>
      </c>
      <c r="D1142" s="162">
        <v>9184.9599999999991</v>
      </c>
      <c r="E1142" s="162">
        <v>903.6</v>
      </c>
      <c r="F1142" s="162">
        <v>83140.679999999993</v>
      </c>
    </row>
    <row r="1143" spans="1:6" x14ac:dyDescent="0.25">
      <c r="A1143" s="3" t="s">
        <v>7</v>
      </c>
      <c r="B1143" s="4">
        <v>43228</v>
      </c>
      <c r="C1143" s="162">
        <v>100080.1</v>
      </c>
      <c r="F1143" s="162">
        <v>100080.1</v>
      </c>
    </row>
    <row r="1144" spans="1:6" x14ac:dyDescent="0.25">
      <c r="A1144" s="3" t="s">
        <v>8</v>
      </c>
      <c r="B1144" s="4">
        <v>43228</v>
      </c>
      <c r="C1144" s="162">
        <v>145527.37</v>
      </c>
      <c r="F1144" s="162">
        <v>145527.37</v>
      </c>
    </row>
    <row r="1145" spans="1:6" x14ac:dyDescent="0.25">
      <c r="A1145" s="3" t="s">
        <v>12</v>
      </c>
      <c r="B1145" s="4">
        <v>43228</v>
      </c>
      <c r="C1145" s="162">
        <v>77241.83</v>
      </c>
      <c r="F1145" s="162">
        <v>77241.83</v>
      </c>
    </row>
    <row r="1146" spans="1:6" x14ac:dyDescent="0.25">
      <c r="A1146" s="3" t="s">
        <v>11</v>
      </c>
      <c r="B1146" s="4">
        <v>43229</v>
      </c>
      <c r="C1146" s="162">
        <v>61991.35</v>
      </c>
      <c r="F1146" s="162">
        <v>61991.35</v>
      </c>
    </row>
    <row r="1147" spans="1:6" x14ac:dyDescent="0.25">
      <c r="A1147" s="3" t="s">
        <v>6</v>
      </c>
      <c r="B1147" s="4">
        <v>43229</v>
      </c>
      <c r="C1147" s="162">
        <v>242572.13</v>
      </c>
      <c r="D1147" s="162">
        <v>3101.27</v>
      </c>
      <c r="E1147" s="162">
        <v>9.14</v>
      </c>
      <c r="F1147" s="162">
        <v>239461.72</v>
      </c>
    </row>
    <row r="1148" spans="1:6" x14ac:dyDescent="0.25">
      <c r="A1148" s="3" t="s">
        <v>12</v>
      </c>
      <c r="B1148" s="4">
        <v>43229</v>
      </c>
      <c r="C1148" s="162">
        <v>37317.620000000003</v>
      </c>
      <c r="E1148" s="162">
        <v>867.08</v>
      </c>
      <c r="F1148" s="162">
        <v>36450.54</v>
      </c>
    </row>
    <row r="1149" spans="1:6" x14ac:dyDescent="0.25">
      <c r="A1149" s="3" t="s">
        <v>10</v>
      </c>
      <c r="B1149" s="4">
        <v>43229</v>
      </c>
      <c r="C1149" s="162">
        <v>40523.67</v>
      </c>
      <c r="F1149" s="162">
        <v>40523.67</v>
      </c>
    </row>
    <row r="1150" spans="1:6" x14ac:dyDescent="0.25">
      <c r="A1150" s="3" t="s">
        <v>7</v>
      </c>
      <c r="B1150" s="4">
        <v>43229</v>
      </c>
      <c r="C1150" s="162">
        <v>24434.44</v>
      </c>
      <c r="F1150" s="162">
        <v>24434.44</v>
      </c>
    </row>
    <row r="1151" spans="1:6" x14ac:dyDescent="0.25">
      <c r="A1151" s="3" t="s">
        <v>8</v>
      </c>
      <c r="B1151" s="4">
        <v>43229</v>
      </c>
      <c r="C1151" s="162">
        <v>173510.34</v>
      </c>
      <c r="F1151" s="162">
        <v>173510.34</v>
      </c>
    </row>
    <row r="1152" spans="1:6" x14ac:dyDescent="0.25">
      <c r="A1152" s="3" t="s">
        <v>11</v>
      </c>
      <c r="B1152" s="4">
        <v>43230</v>
      </c>
      <c r="C1152" s="162">
        <v>34252.19</v>
      </c>
      <c r="F1152" s="162">
        <v>34252.19</v>
      </c>
    </row>
    <row r="1153" spans="1:6" x14ac:dyDescent="0.25">
      <c r="A1153" s="3" t="s">
        <v>6</v>
      </c>
      <c r="B1153" s="4">
        <v>43230</v>
      </c>
      <c r="C1153" s="162">
        <v>132397.29</v>
      </c>
      <c r="F1153" s="162">
        <v>132397.29</v>
      </c>
    </row>
    <row r="1154" spans="1:6" x14ac:dyDescent="0.25">
      <c r="A1154" s="3" t="s">
        <v>7</v>
      </c>
      <c r="B1154" s="4">
        <v>43230</v>
      </c>
      <c r="C1154" s="162">
        <v>74052.84</v>
      </c>
      <c r="F1154" s="162">
        <v>74052.84</v>
      </c>
    </row>
    <row r="1155" spans="1:6" x14ac:dyDescent="0.25">
      <c r="A1155" s="3" t="s">
        <v>8</v>
      </c>
      <c r="B1155" s="4">
        <v>43230</v>
      </c>
      <c r="C1155" s="162">
        <v>114233.24</v>
      </c>
      <c r="E1155" s="162">
        <v>110.71</v>
      </c>
      <c r="F1155" s="162">
        <v>114122.53</v>
      </c>
    </row>
    <row r="1156" spans="1:6" x14ac:dyDescent="0.25">
      <c r="A1156" s="3" t="s">
        <v>11</v>
      </c>
      <c r="B1156" s="4">
        <v>43231</v>
      </c>
      <c r="C1156" s="162">
        <v>59884.32</v>
      </c>
      <c r="D1156" s="162">
        <v>773</v>
      </c>
      <c r="E1156" s="162">
        <v>9.23</v>
      </c>
      <c r="F1156" s="162">
        <v>59102.09</v>
      </c>
    </row>
    <row r="1157" spans="1:6" x14ac:dyDescent="0.25">
      <c r="A1157" s="3" t="s">
        <v>8</v>
      </c>
      <c r="B1157" s="4">
        <v>43231</v>
      </c>
      <c r="C1157" s="162">
        <v>25047.02</v>
      </c>
      <c r="F1157" s="162">
        <v>25047.02</v>
      </c>
    </row>
    <row r="1158" spans="1:6" x14ac:dyDescent="0.25">
      <c r="A1158" s="3" t="s">
        <v>9</v>
      </c>
      <c r="B1158" s="4">
        <v>43231</v>
      </c>
      <c r="C1158" s="162">
        <v>938362.98</v>
      </c>
      <c r="D1158" s="162">
        <v>31529.56</v>
      </c>
      <c r="F1158" s="162">
        <v>906833.42</v>
      </c>
    </row>
    <row r="1159" spans="1:6" x14ac:dyDescent="0.25">
      <c r="A1159" s="3" t="s">
        <v>6</v>
      </c>
      <c r="B1159" s="4">
        <v>43231</v>
      </c>
      <c r="C1159" s="162">
        <v>851135.78</v>
      </c>
      <c r="D1159" s="162">
        <v>112194.04</v>
      </c>
      <c r="F1159" s="162">
        <v>738941.74</v>
      </c>
    </row>
    <row r="1160" spans="1:6" x14ac:dyDescent="0.25">
      <c r="A1160" s="3" t="s">
        <v>10</v>
      </c>
      <c r="B1160" s="4">
        <v>43231</v>
      </c>
      <c r="C1160" s="162">
        <v>20645.05</v>
      </c>
      <c r="F1160" s="162">
        <v>20645.05</v>
      </c>
    </row>
    <row r="1161" spans="1:6" x14ac:dyDescent="0.25">
      <c r="A1161" s="3" t="s">
        <v>12</v>
      </c>
      <c r="B1161" s="4">
        <v>43231</v>
      </c>
      <c r="C1161" s="162">
        <v>227916.56</v>
      </c>
      <c r="E1161" s="162">
        <v>596.97</v>
      </c>
      <c r="F1161" s="162">
        <v>227319.59</v>
      </c>
    </row>
    <row r="1162" spans="1:6" x14ac:dyDescent="0.25">
      <c r="A1162" s="3" t="s">
        <v>14</v>
      </c>
      <c r="B1162" s="4">
        <v>43231</v>
      </c>
      <c r="C1162" s="162">
        <v>133085.79999999999</v>
      </c>
      <c r="F1162" s="162">
        <v>133085.79999999999</v>
      </c>
    </row>
    <row r="1163" spans="1:6" x14ac:dyDescent="0.25">
      <c r="A1163" s="3" t="s">
        <v>13</v>
      </c>
      <c r="B1163" s="4">
        <v>43231</v>
      </c>
      <c r="C1163" s="162">
        <v>97092.79</v>
      </c>
      <c r="F1163" s="162">
        <v>97092.79</v>
      </c>
    </row>
    <row r="1164" spans="1:6" x14ac:dyDescent="0.25">
      <c r="A1164" s="3" t="s">
        <v>16</v>
      </c>
      <c r="B1164" s="4">
        <v>43231</v>
      </c>
      <c r="C1164" s="162">
        <v>95794.71</v>
      </c>
      <c r="D1164" s="162">
        <v>872.37</v>
      </c>
      <c r="E1164" s="162">
        <v>1161.75</v>
      </c>
      <c r="F1164" s="162">
        <v>93760.59</v>
      </c>
    </row>
    <row r="1165" spans="1:6" x14ac:dyDescent="0.25">
      <c r="A1165" s="3" t="s">
        <v>22</v>
      </c>
      <c r="B1165" s="4">
        <v>43231</v>
      </c>
      <c r="C1165" s="162">
        <v>29737.19</v>
      </c>
      <c r="F1165" s="162">
        <v>29737.19</v>
      </c>
    </row>
    <row r="1166" spans="1:6" x14ac:dyDescent="0.25">
      <c r="A1166" s="3" t="s">
        <v>11</v>
      </c>
      <c r="B1166" s="4">
        <v>43234</v>
      </c>
      <c r="C1166" s="162">
        <v>35196.959999999999</v>
      </c>
      <c r="F1166" s="162">
        <v>35196.959999999999</v>
      </c>
    </row>
    <row r="1167" spans="1:6" x14ac:dyDescent="0.25">
      <c r="A1167" s="3" t="s">
        <v>6</v>
      </c>
      <c r="B1167" s="4">
        <v>43234</v>
      </c>
      <c r="C1167" s="162">
        <v>145501.04</v>
      </c>
      <c r="E1167" s="162">
        <v>144.16999999999999</v>
      </c>
      <c r="F1167" s="162">
        <v>145356.87</v>
      </c>
    </row>
    <row r="1168" spans="1:6" x14ac:dyDescent="0.25">
      <c r="A1168" s="3" t="s">
        <v>7</v>
      </c>
      <c r="B1168" s="4">
        <v>43234</v>
      </c>
      <c r="C1168" s="162">
        <v>150220.63</v>
      </c>
      <c r="F1168" s="162">
        <v>150220.63</v>
      </c>
    </row>
    <row r="1169" spans="1:6" x14ac:dyDescent="0.25">
      <c r="A1169" s="3" t="s">
        <v>8</v>
      </c>
      <c r="B1169" s="4">
        <v>43234</v>
      </c>
      <c r="C1169" s="162">
        <v>104478.98</v>
      </c>
      <c r="F1169" s="162">
        <v>104478.98</v>
      </c>
    </row>
    <row r="1170" spans="1:6" x14ac:dyDescent="0.25">
      <c r="A1170" s="3" t="s">
        <v>14</v>
      </c>
      <c r="B1170" s="4">
        <v>43234</v>
      </c>
      <c r="C1170" s="162">
        <v>135180.78</v>
      </c>
      <c r="E1170" s="162">
        <v>856.35</v>
      </c>
      <c r="F1170" s="162">
        <v>134324.43</v>
      </c>
    </row>
    <row r="1171" spans="1:6" x14ac:dyDescent="0.25">
      <c r="A1171" s="3" t="s">
        <v>10</v>
      </c>
      <c r="B1171" s="4">
        <v>43234</v>
      </c>
      <c r="C1171" s="162">
        <v>33191.089999999997</v>
      </c>
      <c r="F1171" s="162">
        <v>33191.089999999997</v>
      </c>
    </row>
    <row r="1172" spans="1:6" x14ac:dyDescent="0.25">
      <c r="A1172" s="3" t="s">
        <v>9</v>
      </c>
      <c r="B1172" s="4">
        <v>43234</v>
      </c>
      <c r="C1172" s="162">
        <v>53809.82</v>
      </c>
      <c r="F1172" s="162">
        <v>53809.82</v>
      </c>
    </row>
    <row r="1173" spans="1:6" x14ac:dyDescent="0.25">
      <c r="A1173" s="3" t="s">
        <v>11</v>
      </c>
      <c r="B1173" s="4">
        <v>43235</v>
      </c>
      <c r="C1173" s="162">
        <v>36432.300000000003</v>
      </c>
      <c r="F1173" s="162">
        <v>36432.300000000003</v>
      </c>
    </row>
    <row r="1174" spans="1:6" x14ac:dyDescent="0.25">
      <c r="A1174" s="3" t="s">
        <v>6</v>
      </c>
      <c r="B1174" s="4">
        <v>43235</v>
      </c>
      <c r="C1174" s="162">
        <v>139890.21</v>
      </c>
      <c r="D1174" s="162">
        <v>1246.51</v>
      </c>
      <c r="F1174" s="162">
        <v>138643.70000000001</v>
      </c>
    </row>
    <row r="1175" spans="1:6" x14ac:dyDescent="0.25">
      <c r="A1175" s="3" t="s">
        <v>7</v>
      </c>
      <c r="B1175" s="4">
        <v>43235</v>
      </c>
      <c r="C1175" s="162">
        <v>91020.57</v>
      </c>
      <c r="D1175" s="162">
        <v>913.34</v>
      </c>
      <c r="F1175" s="162">
        <v>90107.23</v>
      </c>
    </row>
    <row r="1176" spans="1:6" x14ac:dyDescent="0.25">
      <c r="A1176" s="3" t="s">
        <v>11</v>
      </c>
      <c r="B1176" s="4">
        <v>43236</v>
      </c>
      <c r="C1176" s="162">
        <v>53290.09</v>
      </c>
      <c r="F1176" s="162">
        <v>53290.09</v>
      </c>
    </row>
    <row r="1177" spans="1:6" x14ac:dyDescent="0.25">
      <c r="A1177" s="3" t="s">
        <v>6</v>
      </c>
      <c r="B1177" s="4">
        <v>43236</v>
      </c>
      <c r="C1177" s="162">
        <v>39633.339999999997</v>
      </c>
      <c r="F1177" s="162">
        <v>39633.339999999997</v>
      </c>
    </row>
    <row r="1178" spans="1:6" x14ac:dyDescent="0.25">
      <c r="A1178" s="3" t="s">
        <v>8</v>
      </c>
      <c r="B1178" s="4">
        <v>43236</v>
      </c>
      <c r="C1178" s="162">
        <v>50637.94</v>
      </c>
      <c r="E1178" s="162">
        <v>2424.8200000000002</v>
      </c>
      <c r="F1178" s="162">
        <v>48213.120000000003</v>
      </c>
    </row>
    <row r="1179" spans="1:6" x14ac:dyDescent="0.25">
      <c r="A1179" s="3" t="s">
        <v>7</v>
      </c>
      <c r="B1179" s="4">
        <v>43236</v>
      </c>
      <c r="C1179" s="162">
        <v>88856.58</v>
      </c>
      <c r="F1179" s="162">
        <v>88856.58</v>
      </c>
    </row>
    <row r="1180" spans="1:6" x14ac:dyDescent="0.25">
      <c r="A1180" s="3" t="s">
        <v>11</v>
      </c>
      <c r="B1180" s="4">
        <v>43237</v>
      </c>
      <c r="C1180" s="162">
        <v>136862.10999999999</v>
      </c>
      <c r="E1180" s="162">
        <v>8.16</v>
      </c>
      <c r="F1180" s="162">
        <v>136853.95000000001</v>
      </c>
    </row>
    <row r="1181" spans="1:6" x14ac:dyDescent="0.25">
      <c r="A1181" s="3" t="s">
        <v>7</v>
      </c>
      <c r="B1181" s="4">
        <v>43237</v>
      </c>
      <c r="C1181" s="162">
        <v>47632.34</v>
      </c>
      <c r="E1181" s="162">
        <v>19.12</v>
      </c>
      <c r="F1181" s="162">
        <v>47613.22</v>
      </c>
    </row>
    <row r="1182" spans="1:6" x14ac:dyDescent="0.25">
      <c r="A1182" s="3" t="s">
        <v>6</v>
      </c>
      <c r="B1182" s="4">
        <v>43237</v>
      </c>
      <c r="C1182" s="162">
        <v>94375.3</v>
      </c>
      <c r="E1182" s="162">
        <v>41.88</v>
      </c>
      <c r="F1182" s="162">
        <v>94333.42</v>
      </c>
    </row>
    <row r="1183" spans="1:6" x14ac:dyDescent="0.25">
      <c r="A1183" s="3" t="s">
        <v>9</v>
      </c>
      <c r="B1183" s="4">
        <v>43237</v>
      </c>
      <c r="C1183" s="162">
        <v>10381.719999999999</v>
      </c>
      <c r="F1183" s="162">
        <v>10381.719999999999</v>
      </c>
    </row>
    <row r="1184" spans="1:6" x14ac:dyDescent="0.25">
      <c r="A1184" s="3" t="s">
        <v>8</v>
      </c>
      <c r="B1184" s="4">
        <v>43237</v>
      </c>
      <c r="C1184" s="162">
        <v>202584.11</v>
      </c>
      <c r="D1184" s="162">
        <v>5557.46</v>
      </c>
      <c r="E1184" s="162">
        <v>616.91999999999996</v>
      </c>
      <c r="F1184" s="162">
        <v>196409.73</v>
      </c>
    </row>
    <row r="1185" spans="1:6" x14ac:dyDescent="0.25">
      <c r="A1185" s="3" t="s">
        <v>11</v>
      </c>
      <c r="B1185" s="4">
        <v>43238</v>
      </c>
      <c r="C1185" s="162">
        <v>53561.42</v>
      </c>
      <c r="F1185" s="162">
        <v>53561.42</v>
      </c>
    </row>
    <row r="1186" spans="1:6" x14ac:dyDescent="0.25">
      <c r="A1186" s="3" t="s">
        <v>6</v>
      </c>
      <c r="B1186" s="4">
        <v>43238</v>
      </c>
      <c r="C1186" s="162">
        <v>108384.68</v>
      </c>
      <c r="D1186" s="162">
        <v>8583.59</v>
      </c>
      <c r="E1186" s="162">
        <v>10.54</v>
      </c>
      <c r="F1186" s="162">
        <v>99790.55</v>
      </c>
    </row>
    <row r="1187" spans="1:6" x14ac:dyDescent="0.25">
      <c r="A1187" s="3" t="s">
        <v>9</v>
      </c>
      <c r="B1187" s="4">
        <v>43238</v>
      </c>
      <c r="C1187" s="162">
        <v>808008.59</v>
      </c>
      <c r="F1187" s="162">
        <v>808008.59</v>
      </c>
    </row>
    <row r="1188" spans="1:6" x14ac:dyDescent="0.25">
      <c r="A1188" s="3" t="s">
        <v>8</v>
      </c>
      <c r="B1188" s="4">
        <v>43238</v>
      </c>
      <c r="C1188" s="162">
        <v>106549.34</v>
      </c>
      <c r="F1188" s="162">
        <v>106549.34</v>
      </c>
    </row>
    <row r="1189" spans="1:6" x14ac:dyDescent="0.25">
      <c r="A1189" s="3" t="s">
        <v>13</v>
      </c>
      <c r="B1189" s="4">
        <v>43238</v>
      </c>
      <c r="C1189" s="162">
        <v>382726.13</v>
      </c>
      <c r="D1189" s="162">
        <v>9269.3799999999992</v>
      </c>
      <c r="E1189" s="162">
        <v>10.6</v>
      </c>
      <c r="F1189" s="162">
        <v>373446.15</v>
      </c>
    </row>
    <row r="1190" spans="1:6" x14ac:dyDescent="0.25">
      <c r="A1190" s="3" t="s">
        <v>16</v>
      </c>
      <c r="B1190" s="4">
        <v>43238</v>
      </c>
      <c r="C1190" s="162">
        <v>1512407.14</v>
      </c>
      <c r="F1190" s="162">
        <v>1512407.14</v>
      </c>
    </row>
    <row r="1191" spans="1:6" x14ac:dyDescent="0.25">
      <c r="A1191" s="3" t="s">
        <v>15</v>
      </c>
      <c r="B1191" s="4">
        <v>43238</v>
      </c>
      <c r="C1191" s="162">
        <v>63864.32</v>
      </c>
      <c r="F1191" s="162">
        <v>63864.32</v>
      </c>
    </row>
    <row r="1192" spans="1:6" x14ac:dyDescent="0.25">
      <c r="A1192" s="3" t="s">
        <v>22</v>
      </c>
      <c r="B1192" s="4">
        <v>43238</v>
      </c>
      <c r="C1192" s="162">
        <v>164263.26</v>
      </c>
      <c r="F1192" s="162">
        <v>164263.26</v>
      </c>
    </row>
    <row r="1193" spans="1:6" x14ac:dyDescent="0.25">
      <c r="A1193" s="3" t="s">
        <v>19</v>
      </c>
      <c r="B1193" s="4">
        <v>43238</v>
      </c>
      <c r="C1193" s="162">
        <v>75037.070000000007</v>
      </c>
      <c r="F1193" s="162">
        <v>75037.070000000007</v>
      </c>
    </row>
    <row r="1194" spans="1:6" x14ac:dyDescent="0.25">
      <c r="A1194" s="3" t="s">
        <v>21</v>
      </c>
      <c r="B1194" s="4">
        <v>43238</v>
      </c>
      <c r="C1194" s="162">
        <v>51350.07</v>
      </c>
      <c r="F1194" s="162">
        <v>51350.07</v>
      </c>
    </row>
    <row r="1195" spans="1:6" x14ac:dyDescent="0.25">
      <c r="A1195" s="3" t="s">
        <v>27</v>
      </c>
      <c r="B1195" s="4">
        <v>43238</v>
      </c>
      <c r="C1195" s="162">
        <v>798663.38</v>
      </c>
      <c r="F1195" s="162">
        <v>798663.38</v>
      </c>
    </row>
    <row r="1196" spans="1:6" x14ac:dyDescent="0.25">
      <c r="A1196" s="3" t="s">
        <v>28</v>
      </c>
      <c r="B1196" s="4">
        <v>43238</v>
      </c>
      <c r="C1196" s="162">
        <v>401669.2</v>
      </c>
      <c r="E1196" s="162">
        <v>453.4</v>
      </c>
      <c r="F1196" s="162">
        <v>401215.8</v>
      </c>
    </row>
    <row r="1197" spans="1:6" x14ac:dyDescent="0.25">
      <c r="A1197" s="3" t="s">
        <v>29</v>
      </c>
      <c r="B1197" s="4">
        <v>43238</v>
      </c>
      <c r="C1197" s="162">
        <v>249784.09</v>
      </c>
      <c r="F1197" s="162">
        <v>249784.09</v>
      </c>
    </row>
    <row r="1198" spans="1:6" x14ac:dyDescent="0.25">
      <c r="A1198" s="3" t="s">
        <v>30</v>
      </c>
      <c r="B1198" s="4">
        <v>43238</v>
      </c>
      <c r="C1198" s="162">
        <v>150250.28</v>
      </c>
      <c r="E1198" s="162">
        <v>15299.92</v>
      </c>
      <c r="F1198" s="162">
        <v>134950.35999999999</v>
      </c>
    </row>
    <row r="1199" spans="1:6" x14ac:dyDescent="0.25">
      <c r="A1199" s="3" t="s">
        <v>6</v>
      </c>
      <c r="B1199" s="4">
        <v>43241</v>
      </c>
      <c r="C1199" s="162">
        <v>1354352.81</v>
      </c>
      <c r="F1199" s="162">
        <v>1354352.81</v>
      </c>
    </row>
    <row r="1200" spans="1:6" x14ac:dyDescent="0.25">
      <c r="A1200" s="3" t="s">
        <v>7</v>
      </c>
      <c r="B1200" s="4">
        <v>43241</v>
      </c>
      <c r="C1200" s="162">
        <v>12452.83</v>
      </c>
      <c r="F1200" s="162">
        <v>12452.83</v>
      </c>
    </row>
    <row r="1201" spans="1:6" x14ac:dyDescent="0.25">
      <c r="A1201" s="3" t="s">
        <v>11</v>
      </c>
      <c r="B1201" s="4">
        <v>43241</v>
      </c>
      <c r="C1201" s="162">
        <v>178111.27</v>
      </c>
      <c r="F1201" s="162">
        <v>178111.27</v>
      </c>
    </row>
    <row r="1202" spans="1:6" x14ac:dyDescent="0.25">
      <c r="A1202" s="3" t="s">
        <v>8</v>
      </c>
      <c r="B1202" s="4">
        <v>43241</v>
      </c>
      <c r="C1202" s="162">
        <v>426119.59</v>
      </c>
      <c r="F1202" s="162">
        <v>426119.59</v>
      </c>
    </row>
    <row r="1203" spans="1:6" x14ac:dyDescent="0.25">
      <c r="A1203" s="3" t="s">
        <v>9</v>
      </c>
      <c r="B1203" s="4">
        <v>43241</v>
      </c>
      <c r="C1203" s="162">
        <v>44849.11</v>
      </c>
      <c r="D1203" s="162">
        <v>222.9</v>
      </c>
      <c r="E1203" s="162">
        <v>222.9</v>
      </c>
      <c r="F1203" s="162">
        <v>44403.31</v>
      </c>
    </row>
    <row r="1204" spans="1:6" x14ac:dyDescent="0.25">
      <c r="A1204" s="3" t="s">
        <v>12</v>
      </c>
      <c r="B1204" s="4">
        <v>43241</v>
      </c>
      <c r="C1204" s="162">
        <v>275280.2</v>
      </c>
      <c r="F1204" s="162">
        <v>275280.2</v>
      </c>
    </row>
    <row r="1205" spans="1:6" x14ac:dyDescent="0.25">
      <c r="A1205" s="3" t="s">
        <v>10</v>
      </c>
      <c r="B1205" s="4">
        <v>43241</v>
      </c>
      <c r="C1205" s="162">
        <v>195907.07</v>
      </c>
      <c r="F1205" s="162">
        <v>195907.07</v>
      </c>
    </row>
    <row r="1206" spans="1:6" x14ac:dyDescent="0.25">
      <c r="A1206" s="3" t="s">
        <v>9</v>
      </c>
      <c r="B1206" s="4">
        <v>43242</v>
      </c>
      <c r="C1206" s="162">
        <v>52008.52</v>
      </c>
      <c r="F1206" s="162">
        <v>52008.52</v>
      </c>
    </row>
    <row r="1207" spans="1:6" x14ac:dyDescent="0.25">
      <c r="A1207" s="3" t="s">
        <v>8</v>
      </c>
      <c r="B1207" s="4">
        <v>43242</v>
      </c>
      <c r="C1207" s="162">
        <v>133454.67000000001</v>
      </c>
      <c r="F1207" s="162">
        <v>133454.67000000001</v>
      </c>
    </row>
    <row r="1208" spans="1:6" x14ac:dyDescent="0.25">
      <c r="A1208" s="3" t="s">
        <v>12</v>
      </c>
      <c r="B1208" s="4">
        <v>43242</v>
      </c>
      <c r="C1208" s="162">
        <v>16859.060000000001</v>
      </c>
      <c r="F1208" s="162">
        <v>16859.060000000001</v>
      </c>
    </row>
    <row r="1209" spans="1:6" x14ac:dyDescent="0.25">
      <c r="A1209" s="3" t="s">
        <v>10</v>
      </c>
      <c r="B1209" s="4">
        <v>43242</v>
      </c>
      <c r="C1209" s="162">
        <v>270088.90999999997</v>
      </c>
      <c r="F1209" s="162">
        <v>270088.90999999997</v>
      </c>
    </row>
    <row r="1210" spans="1:6" x14ac:dyDescent="0.25">
      <c r="A1210" s="3" t="s">
        <v>13</v>
      </c>
      <c r="B1210" s="4">
        <v>43242</v>
      </c>
      <c r="C1210" s="162">
        <v>268211.99</v>
      </c>
      <c r="F1210" s="162">
        <v>268211.99</v>
      </c>
    </row>
    <row r="1211" spans="1:6" x14ac:dyDescent="0.25">
      <c r="A1211" s="3" t="s">
        <v>14</v>
      </c>
      <c r="B1211" s="4">
        <v>43242</v>
      </c>
      <c r="C1211" s="133">
        <v>30788.07</v>
      </c>
      <c r="F1211" s="162">
        <v>30788.07</v>
      </c>
    </row>
    <row r="1212" spans="1:6" x14ac:dyDescent="0.25">
      <c r="A1212" s="3" t="s">
        <v>10</v>
      </c>
      <c r="B1212" s="4">
        <v>43243</v>
      </c>
      <c r="C1212" s="162">
        <v>202309.44</v>
      </c>
      <c r="E1212" s="162">
        <v>1420.99</v>
      </c>
      <c r="F1212" s="162">
        <v>200888.45</v>
      </c>
    </row>
    <row r="1213" spans="1:6" x14ac:dyDescent="0.25">
      <c r="A1213" s="3" t="s">
        <v>14</v>
      </c>
      <c r="B1213" s="4">
        <v>43243</v>
      </c>
      <c r="C1213" s="162">
        <v>95081.98</v>
      </c>
      <c r="F1213" s="162">
        <v>95081.98</v>
      </c>
    </row>
    <row r="1214" spans="1:6" x14ac:dyDescent="0.25">
      <c r="A1214" s="3" t="s">
        <v>11</v>
      </c>
      <c r="B1214" s="4">
        <v>43243</v>
      </c>
      <c r="C1214" s="162">
        <v>450364.2</v>
      </c>
      <c r="F1214" s="162">
        <v>450364.2</v>
      </c>
    </row>
    <row r="1215" spans="1:6" x14ac:dyDescent="0.25">
      <c r="A1215" s="3" t="s">
        <v>15</v>
      </c>
      <c r="B1215" s="4">
        <v>43243</v>
      </c>
      <c r="C1215" s="162">
        <v>88895.02</v>
      </c>
      <c r="E1215" s="162">
        <v>97.46</v>
      </c>
      <c r="F1215" s="162">
        <v>88797.56</v>
      </c>
    </row>
    <row r="1216" spans="1:6" x14ac:dyDescent="0.25">
      <c r="A1216" s="3" t="s">
        <v>9</v>
      </c>
      <c r="B1216" s="4">
        <v>43243</v>
      </c>
      <c r="C1216" s="162">
        <v>25761.119999999999</v>
      </c>
      <c r="E1216" s="162">
        <v>282.7</v>
      </c>
      <c r="F1216" s="162">
        <v>25478.42</v>
      </c>
    </row>
    <row r="1217" spans="1:6" x14ac:dyDescent="0.25">
      <c r="A1217" s="3" t="s">
        <v>7</v>
      </c>
      <c r="B1217" s="4">
        <v>43243</v>
      </c>
      <c r="C1217" s="162">
        <v>67775.06</v>
      </c>
      <c r="F1217" s="162">
        <v>67775.06</v>
      </c>
    </row>
    <row r="1218" spans="1:6" x14ac:dyDescent="0.25">
      <c r="A1218" s="3" t="s">
        <v>13</v>
      </c>
      <c r="B1218" s="4">
        <v>43243</v>
      </c>
      <c r="C1218" s="162">
        <v>823839.08</v>
      </c>
      <c r="F1218" s="162">
        <v>823839.08</v>
      </c>
    </row>
    <row r="1219" spans="1:6" x14ac:dyDescent="0.25">
      <c r="A1219" s="3" t="s">
        <v>6</v>
      </c>
      <c r="B1219" s="4">
        <v>43243</v>
      </c>
      <c r="C1219" s="162">
        <v>27821.78</v>
      </c>
      <c r="F1219" s="162">
        <v>27821.78</v>
      </c>
    </row>
    <row r="1220" spans="1:6" x14ac:dyDescent="0.25">
      <c r="A1220" s="3" t="s">
        <v>12</v>
      </c>
      <c r="B1220" s="4">
        <v>43243</v>
      </c>
      <c r="C1220" s="162">
        <v>244187.51999999999</v>
      </c>
      <c r="F1220" s="162">
        <v>244187.51999999999</v>
      </c>
    </row>
    <row r="1221" spans="1:6" x14ac:dyDescent="0.25">
      <c r="A1221" s="3" t="s">
        <v>8</v>
      </c>
      <c r="B1221" s="4">
        <v>43243</v>
      </c>
      <c r="C1221" s="162">
        <v>404118.57</v>
      </c>
      <c r="F1221" s="162">
        <v>404118.57</v>
      </c>
    </row>
    <row r="1222" spans="1:6" x14ac:dyDescent="0.25">
      <c r="A1222" s="3" t="s">
        <v>14</v>
      </c>
      <c r="B1222" s="4">
        <v>43244</v>
      </c>
      <c r="C1222" s="162">
        <v>192315.21</v>
      </c>
      <c r="F1222" s="162">
        <v>192315.21</v>
      </c>
    </row>
    <row r="1223" spans="1:6" x14ac:dyDescent="0.25">
      <c r="A1223" s="3" t="s">
        <v>11</v>
      </c>
      <c r="B1223" s="4">
        <v>43244</v>
      </c>
      <c r="C1223" s="162">
        <v>40388.839999999997</v>
      </c>
      <c r="E1223" s="162">
        <v>420</v>
      </c>
      <c r="F1223" s="162">
        <v>39968.839999999997</v>
      </c>
    </row>
    <row r="1224" spans="1:6" x14ac:dyDescent="0.25">
      <c r="A1224" s="3" t="s">
        <v>9</v>
      </c>
      <c r="B1224" s="4">
        <v>43244</v>
      </c>
      <c r="C1224" s="162">
        <v>169300.24</v>
      </c>
      <c r="F1224" s="162">
        <v>169300.24</v>
      </c>
    </row>
    <row r="1225" spans="1:6" x14ac:dyDescent="0.25">
      <c r="A1225" s="3" t="s">
        <v>12</v>
      </c>
      <c r="B1225" s="4">
        <v>43244</v>
      </c>
      <c r="C1225" s="162">
        <v>174767.76</v>
      </c>
      <c r="F1225" s="162">
        <v>174767.76</v>
      </c>
    </row>
    <row r="1226" spans="1:6" x14ac:dyDescent="0.25">
      <c r="A1226" s="3" t="s">
        <v>10</v>
      </c>
      <c r="B1226" s="4">
        <v>43244</v>
      </c>
      <c r="C1226" s="162">
        <v>404493.35</v>
      </c>
      <c r="F1226" s="162">
        <v>404493.35</v>
      </c>
    </row>
    <row r="1227" spans="1:6" x14ac:dyDescent="0.25">
      <c r="A1227" s="3" t="s">
        <v>6</v>
      </c>
      <c r="B1227" s="4">
        <v>43244</v>
      </c>
      <c r="C1227" s="162">
        <v>41812.69</v>
      </c>
      <c r="F1227" s="162">
        <v>41812.69</v>
      </c>
    </row>
    <row r="1228" spans="1:6" x14ac:dyDescent="0.25">
      <c r="A1228" s="3" t="s">
        <v>7</v>
      </c>
      <c r="B1228" s="4">
        <v>43244</v>
      </c>
      <c r="C1228" s="162">
        <v>99300.2</v>
      </c>
      <c r="F1228" s="162">
        <v>99300.2</v>
      </c>
    </row>
    <row r="1229" spans="1:6" x14ac:dyDescent="0.25">
      <c r="A1229" s="3" t="s">
        <v>16</v>
      </c>
      <c r="B1229" s="4">
        <v>43244</v>
      </c>
      <c r="C1229" s="162">
        <v>28012.28</v>
      </c>
      <c r="E1229" s="133">
        <v>4300.1899999999996</v>
      </c>
      <c r="F1229" s="162">
        <v>23712.09</v>
      </c>
    </row>
    <row r="1230" spans="1:6" x14ac:dyDescent="0.25">
      <c r="A1230" s="3" t="s">
        <v>7</v>
      </c>
      <c r="B1230" s="4">
        <v>43245</v>
      </c>
      <c r="C1230" s="162">
        <v>241785.32</v>
      </c>
      <c r="F1230" s="162">
        <v>241785.32</v>
      </c>
    </row>
    <row r="1231" spans="1:6" x14ac:dyDescent="0.25">
      <c r="A1231" s="3" t="s">
        <v>8</v>
      </c>
      <c r="B1231" s="4">
        <v>43245</v>
      </c>
      <c r="C1231" s="162">
        <v>27980.59</v>
      </c>
      <c r="F1231" s="162">
        <v>27980.59</v>
      </c>
    </row>
    <row r="1232" spans="1:6" x14ac:dyDescent="0.25">
      <c r="A1232" s="3" t="s">
        <v>10</v>
      </c>
      <c r="B1232" s="4">
        <v>43245</v>
      </c>
      <c r="C1232" s="162">
        <v>567667.52</v>
      </c>
      <c r="D1232" s="162">
        <v>26476.11</v>
      </c>
      <c r="E1232" s="162">
        <v>59.72</v>
      </c>
      <c r="F1232" s="162">
        <v>541131.68999999994</v>
      </c>
    </row>
    <row r="1233" spans="1:6" x14ac:dyDescent="0.25">
      <c r="A1233" s="3" t="s">
        <v>12</v>
      </c>
      <c r="B1233" s="4">
        <v>43245</v>
      </c>
      <c r="C1233" s="162">
        <v>163803.22</v>
      </c>
      <c r="F1233" s="162">
        <v>163803.22</v>
      </c>
    </row>
    <row r="1234" spans="1:6" x14ac:dyDescent="0.25">
      <c r="A1234" s="3" t="s">
        <v>16</v>
      </c>
      <c r="B1234" s="4">
        <v>43245</v>
      </c>
      <c r="C1234" s="162">
        <v>160297.06</v>
      </c>
      <c r="F1234" s="162">
        <v>160297.06</v>
      </c>
    </row>
    <row r="1235" spans="1:6" x14ac:dyDescent="0.25">
      <c r="A1235" s="3" t="s">
        <v>22</v>
      </c>
      <c r="B1235" s="4">
        <v>43245</v>
      </c>
      <c r="C1235" s="162">
        <v>275781.25</v>
      </c>
      <c r="F1235" s="162">
        <v>275781.25</v>
      </c>
    </row>
    <row r="1236" spans="1:6" x14ac:dyDescent="0.25">
      <c r="A1236" s="3" t="s">
        <v>20</v>
      </c>
      <c r="B1236" s="4">
        <v>43245</v>
      </c>
      <c r="C1236" s="162">
        <v>91824.59</v>
      </c>
      <c r="F1236" s="162">
        <v>91824.59</v>
      </c>
    </row>
    <row r="1237" spans="1:6" x14ac:dyDescent="0.25">
      <c r="A1237" s="3" t="s">
        <v>24</v>
      </c>
      <c r="B1237" s="4">
        <v>43245</v>
      </c>
      <c r="C1237" s="162">
        <v>156263.37</v>
      </c>
      <c r="D1237" s="162">
        <v>10394.14</v>
      </c>
      <c r="F1237" s="162">
        <v>145869.23000000001</v>
      </c>
    </row>
    <row r="1238" spans="1:6" x14ac:dyDescent="0.25">
      <c r="A1238" s="3" t="s">
        <v>10</v>
      </c>
      <c r="B1238" s="4">
        <v>43248</v>
      </c>
      <c r="C1238" s="162">
        <v>231119.35999999999</v>
      </c>
      <c r="F1238" s="162">
        <v>231119.35999999999</v>
      </c>
    </row>
    <row r="1239" spans="1:6" x14ac:dyDescent="0.25">
      <c r="A1239" s="3" t="s">
        <v>9</v>
      </c>
      <c r="B1239" s="4">
        <v>43248</v>
      </c>
      <c r="C1239" s="162">
        <v>194734.78</v>
      </c>
      <c r="F1239" s="162">
        <v>194734.78</v>
      </c>
    </row>
    <row r="1240" spans="1:6" x14ac:dyDescent="0.25">
      <c r="A1240" s="3" t="s">
        <v>6</v>
      </c>
      <c r="B1240" s="4">
        <v>43248</v>
      </c>
      <c r="C1240" s="162">
        <v>192460.88</v>
      </c>
      <c r="F1240" s="162">
        <v>192460.88</v>
      </c>
    </row>
    <row r="1241" spans="1:6" x14ac:dyDescent="0.25">
      <c r="A1241" s="3" t="s">
        <v>12</v>
      </c>
      <c r="B1241" s="4">
        <v>43248</v>
      </c>
      <c r="C1241" s="162">
        <v>195057.78</v>
      </c>
      <c r="F1241" s="162">
        <v>195057.78</v>
      </c>
    </row>
    <row r="1242" spans="1:6" x14ac:dyDescent="0.25">
      <c r="A1242" s="3" t="s">
        <v>14</v>
      </c>
      <c r="B1242" s="4">
        <v>43248</v>
      </c>
      <c r="C1242" s="162">
        <v>190293.42</v>
      </c>
      <c r="F1242" s="162">
        <v>190293.42</v>
      </c>
    </row>
    <row r="1243" spans="1:6" x14ac:dyDescent="0.25">
      <c r="A1243" s="3" t="s">
        <v>7</v>
      </c>
      <c r="B1243" s="4">
        <v>43248</v>
      </c>
      <c r="C1243" s="162">
        <v>22387.29</v>
      </c>
      <c r="F1243" s="162">
        <v>22387.29</v>
      </c>
    </row>
    <row r="1244" spans="1:6" x14ac:dyDescent="0.25">
      <c r="A1244" s="3" t="s">
        <v>8</v>
      </c>
      <c r="B1244" s="4">
        <v>43248</v>
      </c>
      <c r="C1244" s="162">
        <v>19380.7</v>
      </c>
      <c r="F1244" s="162">
        <v>19380.7</v>
      </c>
    </row>
    <row r="1245" spans="1:6" x14ac:dyDescent="0.25">
      <c r="A1245" s="3" t="s">
        <v>6</v>
      </c>
      <c r="B1245" s="4">
        <v>43249</v>
      </c>
      <c r="C1245" s="162">
        <v>303395.26</v>
      </c>
      <c r="F1245" s="162">
        <v>303395.26</v>
      </c>
    </row>
    <row r="1246" spans="1:6" x14ac:dyDescent="0.25">
      <c r="A1246" s="3" t="s">
        <v>11</v>
      </c>
      <c r="B1246" s="4">
        <v>43249</v>
      </c>
      <c r="C1246" s="162">
        <v>123550.06</v>
      </c>
      <c r="F1246" s="162">
        <v>123550.06</v>
      </c>
    </row>
    <row r="1247" spans="1:6" x14ac:dyDescent="0.25">
      <c r="A1247" s="3" t="s">
        <v>7</v>
      </c>
      <c r="B1247" s="4">
        <v>43249</v>
      </c>
      <c r="C1247" s="162">
        <v>36457.230000000003</v>
      </c>
      <c r="F1247" s="162">
        <v>36457.230000000003</v>
      </c>
    </row>
    <row r="1248" spans="1:6" x14ac:dyDescent="0.25">
      <c r="A1248" s="3" t="s">
        <v>8</v>
      </c>
      <c r="B1248" s="4">
        <v>43249</v>
      </c>
      <c r="C1248" s="162">
        <v>25581.02</v>
      </c>
      <c r="F1248" s="162">
        <v>25581.02</v>
      </c>
    </row>
    <row r="1249" spans="1:6" x14ac:dyDescent="0.25">
      <c r="A1249" s="3" t="s">
        <v>6</v>
      </c>
      <c r="B1249" s="4">
        <v>43250</v>
      </c>
      <c r="C1249" s="162">
        <v>93653.81</v>
      </c>
      <c r="E1249" s="162">
        <v>622.88</v>
      </c>
      <c r="F1249" s="162">
        <v>93030.93</v>
      </c>
    </row>
    <row r="1250" spans="1:6" x14ac:dyDescent="0.25">
      <c r="A1250" s="3" t="s">
        <v>7</v>
      </c>
      <c r="B1250" s="4">
        <v>43250</v>
      </c>
      <c r="C1250" s="162">
        <v>39611.1</v>
      </c>
      <c r="F1250" s="162">
        <v>39611.1</v>
      </c>
    </row>
    <row r="1251" spans="1:6" x14ac:dyDescent="0.25">
      <c r="A1251" s="3" t="s">
        <v>11</v>
      </c>
      <c r="B1251" s="4">
        <v>43250</v>
      </c>
      <c r="C1251" s="162">
        <v>25067</v>
      </c>
      <c r="F1251" s="162">
        <v>25067</v>
      </c>
    </row>
    <row r="1252" spans="1:6" x14ac:dyDescent="0.25">
      <c r="A1252" s="3" t="s">
        <v>9</v>
      </c>
      <c r="B1252" s="4">
        <v>43250</v>
      </c>
      <c r="C1252" s="162">
        <v>79648.67</v>
      </c>
      <c r="F1252" s="162">
        <v>79648.67</v>
      </c>
    </row>
    <row r="1253" spans="1:6" x14ac:dyDescent="0.25">
      <c r="A1253" s="3" t="s">
        <v>15</v>
      </c>
      <c r="B1253" s="4">
        <v>43250</v>
      </c>
      <c r="C1253" s="162">
        <v>813578.6</v>
      </c>
      <c r="F1253" s="162">
        <v>813578.6</v>
      </c>
    </row>
    <row r="1254" spans="1:6" x14ac:dyDescent="0.25">
      <c r="A1254" s="3" t="s">
        <v>13</v>
      </c>
      <c r="B1254" s="4">
        <v>43250</v>
      </c>
      <c r="C1254" s="162">
        <v>212378.34</v>
      </c>
      <c r="F1254" s="162">
        <v>212378.34</v>
      </c>
    </row>
    <row r="1255" spans="1:6" x14ac:dyDescent="0.25">
      <c r="A1255" s="3" t="s">
        <v>16</v>
      </c>
      <c r="B1255" s="4">
        <v>43250</v>
      </c>
      <c r="C1255" s="162">
        <v>240424.6</v>
      </c>
      <c r="F1255" s="162">
        <v>240424.6</v>
      </c>
    </row>
    <row r="1256" spans="1:6" x14ac:dyDescent="0.25">
      <c r="A1256" s="3" t="s">
        <v>21</v>
      </c>
      <c r="B1256" s="4">
        <v>43252</v>
      </c>
      <c r="C1256" s="162">
        <v>287219.49</v>
      </c>
      <c r="F1256" s="162">
        <v>287219.49</v>
      </c>
    </row>
    <row r="1257" spans="1:6" x14ac:dyDescent="0.25">
      <c r="A1257" s="3" t="s">
        <v>24</v>
      </c>
      <c r="B1257" s="4">
        <v>43252</v>
      </c>
      <c r="C1257" s="162">
        <v>55349.43</v>
      </c>
      <c r="F1257" s="162">
        <v>55349.43</v>
      </c>
    </row>
    <row r="1258" spans="1:6" x14ac:dyDescent="0.25">
      <c r="A1258" s="3" t="s">
        <v>19</v>
      </c>
      <c r="B1258" s="4">
        <v>43252</v>
      </c>
      <c r="C1258" s="162">
        <v>358489.75</v>
      </c>
      <c r="F1258" s="162">
        <v>358489.75</v>
      </c>
    </row>
    <row r="1259" spans="1:6" x14ac:dyDescent="0.25">
      <c r="A1259" s="3" t="s">
        <v>31</v>
      </c>
      <c r="B1259" s="4">
        <v>43252</v>
      </c>
      <c r="C1259" s="162">
        <v>92379.41</v>
      </c>
      <c r="F1259" s="162">
        <v>92379.41</v>
      </c>
    </row>
    <row r="1260" spans="1:6" x14ac:dyDescent="0.25">
      <c r="A1260" s="3" t="s">
        <v>9</v>
      </c>
      <c r="B1260" s="4">
        <v>43252</v>
      </c>
      <c r="C1260" s="162">
        <v>117381.58</v>
      </c>
      <c r="F1260" s="162">
        <v>117381.58</v>
      </c>
    </row>
    <row r="1261" spans="1:6" x14ac:dyDescent="0.25">
      <c r="A1261" s="3" t="s">
        <v>32</v>
      </c>
      <c r="B1261" s="4">
        <v>43252</v>
      </c>
      <c r="C1261" s="162">
        <v>34664.69</v>
      </c>
      <c r="F1261" s="162">
        <v>34664.69</v>
      </c>
    </row>
    <row r="1262" spans="1:6" x14ac:dyDescent="0.25">
      <c r="A1262" s="3" t="s">
        <v>33</v>
      </c>
      <c r="B1262" s="4">
        <v>43252</v>
      </c>
      <c r="C1262" s="162">
        <v>60196.17</v>
      </c>
      <c r="F1262" s="162">
        <v>60196.17</v>
      </c>
    </row>
    <row r="1263" spans="1:6" x14ac:dyDescent="0.25">
      <c r="A1263" s="3" t="s">
        <v>27</v>
      </c>
      <c r="B1263" s="4">
        <v>43252</v>
      </c>
      <c r="C1263" s="162">
        <v>737600.34</v>
      </c>
      <c r="F1263" s="162">
        <v>737600.34</v>
      </c>
    </row>
    <row r="1264" spans="1:6" x14ac:dyDescent="0.25">
      <c r="A1264" s="3" t="s">
        <v>29</v>
      </c>
      <c r="B1264" s="4">
        <v>43252</v>
      </c>
      <c r="C1264" s="162">
        <v>304051.46999999997</v>
      </c>
      <c r="F1264" s="162">
        <v>304051.46999999997</v>
      </c>
    </row>
    <row r="1265" spans="1:6" x14ac:dyDescent="0.25">
      <c r="A1265" s="3" t="s">
        <v>34</v>
      </c>
      <c r="B1265" s="4">
        <v>43252</v>
      </c>
      <c r="C1265" s="162">
        <v>202304.09</v>
      </c>
      <c r="F1265" s="162">
        <v>202304.09</v>
      </c>
    </row>
    <row r="1266" spans="1:6" x14ac:dyDescent="0.25">
      <c r="A1266" s="3" t="s">
        <v>13</v>
      </c>
      <c r="B1266" s="4">
        <v>43252</v>
      </c>
      <c r="C1266" s="162">
        <v>385682.41</v>
      </c>
      <c r="F1266" s="162">
        <v>385682.41</v>
      </c>
    </row>
    <row r="1267" spans="1:6" x14ac:dyDescent="0.25">
      <c r="A1267" s="3" t="s">
        <v>16</v>
      </c>
      <c r="B1267" s="4">
        <v>43252</v>
      </c>
      <c r="C1267" s="162">
        <v>22741.22</v>
      </c>
      <c r="F1267" s="162">
        <v>22741.22</v>
      </c>
    </row>
    <row r="1268" spans="1:6" x14ac:dyDescent="0.25">
      <c r="A1268" s="3" t="s">
        <v>35</v>
      </c>
      <c r="B1268" s="4">
        <v>43252</v>
      </c>
      <c r="C1268" s="162">
        <v>59223.09</v>
      </c>
      <c r="F1268" s="162">
        <v>59223.09</v>
      </c>
    </row>
    <row r="1269" spans="1:6" x14ac:dyDescent="0.25">
      <c r="A1269" s="3" t="s">
        <v>12</v>
      </c>
      <c r="B1269" s="4">
        <v>43252</v>
      </c>
      <c r="C1269" s="162">
        <v>27436.48</v>
      </c>
      <c r="F1269" s="162">
        <v>27436.48</v>
      </c>
    </row>
    <row r="1270" spans="1:6" x14ac:dyDescent="0.25">
      <c r="A1270" s="3" t="s">
        <v>30</v>
      </c>
      <c r="B1270" s="4">
        <v>43252</v>
      </c>
      <c r="C1270" s="162">
        <v>133298.45000000001</v>
      </c>
      <c r="F1270" s="162">
        <v>133298.45000000001</v>
      </c>
    </row>
    <row r="1271" spans="1:6" x14ac:dyDescent="0.25">
      <c r="A1271" s="3" t="s">
        <v>28</v>
      </c>
      <c r="B1271" s="4">
        <v>43252</v>
      </c>
      <c r="C1271" s="162">
        <v>194053.98</v>
      </c>
      <c r="F1271" s="162">
        <v>194053.98</v>
      </c>
    </row>
    <row r="1272" spans="1:6" x14ac:dyDescent="0.25">
      <c r="A1272" s="3" t="s">
        <v>7</v>
      </c>
      <c r="B1272" s="4">
        <v>43255</v>
      </c>
      <c r="C1272" s="162">
        <v>202896.05</v>
      </c>
      <c r="F1272" s="162">
        <v>202896.05</v>
      </c>
    </row>
    <row r="1273" spans="1:6" x14ac:dyDescent="0.25">
      <c r="A1273" s="3" t="s">
        <v>16</v>
      </c>
      <c r="B1273" s="4">
        <v>43255</v>
      </c>
      <c r="C1273" s="162">
        <v>171133.99</v>
      </c>
      <c r="F1273" s="162">
        <v>171133.99</v>
      </c>
    </row>
    <row r="1274" spans="1:6" x14ac:dyDescent="0.25">
      <c r="A1274" s="3" t="s">
        <v>20</v>
      </c>
      <c r="B1274" s="4">
        <v>43255</v>
      </c>
      <c r="C1274" s="162">
        <v>24447.59</v>
      </c>
      <c r="F1274" s="162">
        <v>24447.59</v>
      </c>
    </row>
    <row r="1275" spans="1:6" x14ac:dyDescent="0.25">
      <c r="A1275" s="3" t="s">
        <v>11</v>
      </c>
      <c r="B1275" s="4">
        <v>43255</v>
      </c>
      <c r="C1275" s="162">
        <v>560528.25</v>
      </c>
      <c r="F1275" s="162">
        <v>560528.25</v>
      </c>
    </row>
    <row r="1276" spans="1:6" x14ac:dyDescent="0.25">
      <c r="A1276" s="3" t="s">
        <v>6</v>
      </c>
      <c r="B1276" s="4">
        <v>43255</v>
      </c>
      <c r="C1276" s="162">
        <v>106254.12</v>
      </c>
      <c r="F1276" s="162">
        <v>106254.12</v>
      </c>
    </row>
    <row r="1277" spans="1:6" x14ac:dyDescent="0.25">
      <c r="A1277" s="3" t="s">
        <v>10</v>
      </c>
      <c r="B1277" s="4">
        <v>43255</v>
      </c>
      <c r="C1277" s="162">
        <v>202850.49</v>
      </c>
      <c r="F1277" s="162">
        <v>202850.49</v>
      </c>
    </row>
    <row r="1278" spans="1:6" x14ac:dyDescent="0.25">
      <c r="A1278" s="3" t="s">
        <v>14</v>
      </c>
      <c r="B1278" s="4">
        <v>43255</v>
      </c>
      <c r="C1278" s="162">
        <v>188618.42</v>
      </c>
      <c r="F1278" s="162">
        <v>188618.42</v>
      </c>
    </row>
    <row r="1279" spans="1:6" x14ac:dyDescent="0.25">
      <c r="A1279" s="3" t="s">
        <v>13</v>
      </c>
      <c r="B1279" s="4">
        <v>43255</v>
      </c>
      <c r="C1279" s="162">
        <v>79866.34</v>
      </c>
      <c r="F1279" s="162">
        <v>79866.34</v>
      </c>
    </row>
    <row r="1280" spans="1:6" x14ac:dyDescent="0.25">
      <c r="A1280" s="3" t="s">
        <v>9</v>
      </c>
      <c r="B1280" s="4">
        <v>43255</v>
      </c>
      <c r="C1280" s="162">
        <v>41672.32</v>
      </c>
      <c r="F1280" s="162">
        <v>41672.32</v>
      </c>
    </row>
    <row r="1281" spans="1:6" x14ac:dyDescent="0.25">
      <c r="A1281" s="3" t="s">
        <v>21</v>
      </c>
      <c r="B1281" s="4">
        <v>43255</v>
      </c>
      <c r="C1281" s="162">
        <v>107069.57</v>
      </c>
      <c r="F1281" s="162">
        <v>107069.57</v>
      </c>
    </row>
    <row r="1282" spans="1:6" x14ac:dyDescent="0.25">
      <c r="A1282" s="3" t="s">
        <v>8</v>
      </c>
      <c r="B1282" s="4">
        <v>43255</v>
      </c>
      <c r="C1282" s="162">
        <v>119782.98</v>
      </c>
      <c r="F1282" s="162">
        <v>119782.98</v>
      </c>
    </row>
    <row r="1283" spans="1:6" x14ac:dyDescent="0.25">
      <c r="A1283" s="3" t="s">
        <v>22</v>
      </c>
      <c r="B1283" s="4">
        <v>43255</v>
      </c>
      <c r="C1283" s="162">
        <v>101902.75</v>
      </c>
      <c r="F1283" s="162">
        <v>101902.75</v>
      </c>
    </row>
    <row r="1284" spans="1:6" x14ac:dyDescent="0.25">
      <c r="A1284" s="3" t="s">
        <v>12</v>
      </c>
      <c r="B1284" s="4">
        <v>43255</v>
      </c>
      <c r="C1284" s="162">
        <v>30012.22</v>
      </c>
      <c r="F1284" s="162">
        <v>30012.22</v>
      </c>
    </row>
    <row r="1285" spans="1:6" x14ac:dyDescent="0.25">
      <c r="A1285" s="3" t="s">
        <v>24</v>
      </c>
      <c r="B1285" s="4">
        <v>43255</v>
      </c>
      <c r="C1285" s="162">
        <v>56180.43</v>
      </c>
      <c r="F1285" s="162">
        <v>56180.43</v>
      </c>
    </row>
    <row r="1286" spans="1:6" x14ac:dyDescent="0.25">
      <c r="A1286" s="3" t="s">
        <v>32</v>
      </c>
      <c r="B1286" s="4">
        <v>43255</v>
      </c>
      <c r="C1286" s="162">
        <v>153438.53</v>
      </c>
      <c r="F1286" s="162">
        <v>153438.53</v>
      </c>
    </row>
    <row r="1287" spans="1:6" x14ac:dyDescent="0.25">
      <c r="A1287" s="3" t="s">
        <v>20</v>
      </c>
      <c r="B1287" s="4">
        <v>43256</v>
      </c>
      <c r="C1287" s="162">
        <v>320141.34999999998</v>
      </c>
      <c r="F1287" s="162">
        <v>320141.34999999998</v>
      </c>
    </row>
    <row r="1288" spans="1:6" x14ac:dyDescent="0.25">
      <c r="A1288" s="3" t="s">
        <v>10</v>
      </c>
      <c r="B1288" s="4">
        <v>43256</v>
      </c>
      <c r="C1288" s="162">
        <v>131304.06</v>
      </c>
      <c r="F1288" s="162">
        <v>131304.06</v>
      </c>
    </row>
    <row r="1289" spans="1:6" x14ac:dyDescent="0.25">
      <c r="A1289" s="3" t="s">
        <v>7</v>
      </c>
      <c r="B1289" s="4">
        <v>43256</v>
      </c>
      <c r="C1289" s="162">
        <v>32050.080000000002</v>
      </c>
      <c r="F1289" s="162">
        <v>32050.080000000002</v>
      </c>
    </row>
    <row r="1290" spans="1:6" x14ac:dyDescent="0.25">
      <c r="A1290" s="3" t="s">
        <v>13</v>
      </c>
      <c r="B1290" s="4">
        <v>43256</v>
      </c>
      <c r="C1290" s="162">
        <v>196512.98</v>
      </c>
      <c r="F1290" s="162">
        <v>196512.98</v>
      </c>
    </row>
    <row r="1291" spans="1:6" x14ac:dyDescent="0.25">
      <c r="A1291" s="3" t="s">
        <v>15</v>
      </c>
      <c r="B1291" s="4">
        <v>43256</v>
      </c>
      <c r="C1291" s="162">
        <v>197620.87</v>
      </c>
      <c r="F1291" s="162">
        <v>197620.87</v>
      </c>
    </row>
    <row r="1292" spans="1:6" x14ac:dyDescent="0.25">
      <c r="A1292" s="3" t="s">
        <v>11</v>
      </c>
      <c r="B1292" s="4">
        <v>43256</v>
      </c>
      <c r="C1292" s="162">
        <v>60511.85</v>
      </c>
      <c r="F1292" s="162">
        <v>60511.85</v>
      </c>
    </row>
    <row r="1293" spans="1:6" x14ac:dyDescent="0.25">
      <c r="A1293" s="3" t="s">
        <v>9</v>
      </c>
      <c r="B1293" s="4">
        <v>43256</v>
      </c>
      <c r="C1293" s="162">
        <v>231855.52</v>
      </c>
      <c r="F1293" s="162">
        <v>231855.52</v>
      </c>
    </row>
    <row r="1294" spans="1:6" x14ac:dyDescent="0.25">
      <c r="A1294" s="3" t="s">
        <v>19</v>
      </c>
      <c r="B1294" s="4">
        <v>43256</v>
      </c>
      <c r="C1294" s="162">
        <v>19456.39</v>
      </c>
      <c r="F1294" s="162">
        <v>19456.39</v>
      </c>
    </row>
    <row r="1295" spans="1:6" x14ac:dyDescent="0.25">
      <c r="A1295" s="3" t="s">
        <v>8</v>
      </c>
      <c r="B1295" s="4">
        <v>43256</v>
      </c>
      <c r="C1295" s="162">
        <v>144424.44</v>
      </c>
      <c r="F1295" s="162">
        <v>144424.44</v>
      </c>
    </row>
    <row r="1296" spans="1:6" x14ac:dyDescent="0.25">
      <c r="A1296" s="3" t="s">
        <v>12</v>
      </c>
      <c r="B1296" s="4">
        <v>43256</v>
      </c>
      <c r="C1296" s="162">
        <v>120764.67</v>
      </c>
      <c r="F1296" s="162">
        <v>120764.67</v>
      </c>
    </row>
    <row r="1297" spans="1:6" x14ac:dyDescent="0.25">
      <c r="A1297" s="3" t="s">
        <v>14</v>
      </c>
      <c r="B1297" s="4">
        <v>43256</v>
      </c>
      <c r="C1297" s="162">
        <v>44294.22</v>
      </c>
      <c r="F1297" s="162">
        <v>44294.22</v>
      </c>
    </row>
    <row r="1298" spans="1:6" x14ac:dyDescent="0.25">
      <c r="A1298" s="3" t="s">
        <v>16</v>
      </c>
      <c r="B1298" s="4">
        <v>43256</v>
      </c>
      <c r="C1298" s="162">
        <v>289256.33</v>
      </c>
      <c r="F1298" s="162">
        <v>289256.33</v>
      </c>
    </row>
    <row r="1299" spans="1:6" x14ac:dyDescent="0.25">
      <c r="A1299" s="3" t="s">
        <v>6</v>
      </c>
      <c r="B1299" s="4">
        <v>43256</v>
      </c>
      <c r="C1299" s="162">
        <v>290309.46999999997</v>
      </c>
      <c r="F1299" s="162">
        <v>290309.46999999997</v>
      </c>
    </row>
    <row r="1300" spans="1:6" x14ac:dyDescent="0.25">
      <c r="A1300" s="3" t="s">
        <v>19</v>
      </c>
      <c r="B1300" s="4">
        <v>43257</v>
      </c>
      <c r="C1300" s="162">
        <v>346275.96</v>
      </c>
      <c r="F1300" s="162">
        <v>346275.96</v>
      </c>
    </row>
    <row r="1301" spans="1:6" x14ac:dyDescent="0.25">
      <c r="A1301" s="3" t="s">
        <v>16</v>
      </c>
      <c r="B1301" s="4">
        <v>43257</v>
      </c>
      <c r="C1301" s="162">
        <v>216785.98</v>
      </c>
      <c r="F1301" s="162">
        <v>216785.98</v>
      </c>
    </row>
    <row r="1302" spans="1:6" x14ac:dyDescent="0.25">
      <c r="A1302" s="3" t="s">
        <v>13</v>
      </c>
      <c r="B1302" s="4">
        <v>43257</v>
      </c>
      <c r="C1302" s="162">
        <v>34811.99</v>
      </c>
      <c r="F1302" s="162">
        <v>34811.99</v>
      </c>
    </row>
    <row r="1303" spans="1:6" x14ac:dyDescent="0.25">
      <c r="A1303" s="3" t="s">
        <v>20</v>
      </c>
      <c r="B1303" s="4">
        <v>43257</v>
      </c>
      <c r="C1303" s="162">
        <v>186498.8</v>
      </c>
      <c r="F1303" s="162">
        <v>186498.8</v>
      </c>
    </row>
    <row r="1304" spans="1:6" x14ac:dyDescent="0.25">
      <c r="A1304" s="3" t="s">
        <v>7</v>
      </c>
      <c r="B1304" s="4">
        <v>43257</v>
      </c>
      <c r="C1304" s="162">
        <v>118814.81</v>
      </c>
      <c r="F1304" s="162">
        <v>118814.81</v>
      </c>
    </row>
    <row r="1305" spans="1:6" x14ac:dyDescent="0.25">
      <c r="A1305" s="3" t="s">
        <v>24</v>
      </c>
      <c r="B1305" s="4">
        <v>43257</v>
      </c>
      <c r="C1305" s="162">
        <v>130441.84</v>
      </c>
      <c r="F1305" s="162">
        <v>130441.84</v>
      </c>
    </row>
    <row r="1306" spans="1:6" x14ac:dyDescent="0.25">
      <c r="A1306" s="3" t="s">
        <v>15</v>
      </c>
      <c r="B1306" s="4">
        <v>43257</v>
      </c>
      <c r="C1306" s="162">
        <v>386573.75</v>
      </c>
      <c r="F1306" s="162">
        <v>386573.75</v>
      </c>
    </row>
    <row r="1307" spans="1:6" x14ac:dyDescent="0.25">
      <c r="A1307" s="3" t="s">
        <v>12</v>
      </c>
      <c r="B1307" s="4">
        <v>43257</v>
      </c>
      <c r="C1307" s="162">
        <v>49333.42</v>
      </c>
      <c r="F1307" s="162">
        <v>49333.42</v>
      </c>
    </row>
    <row r="1308" spans="1:6" x14ac:dyDescent="0.25">
      <c r="A1308" s="3" t="s">
        <v>10</v>
      </c>
      <c r="B1308" s="4">
        <v>43257</v>
      </c>
      <c r="C1308" s="162">
        <v>70620.25</v>
      </c>
      <c r="F1308" s="162">
        <v>70620.25</v>
      </c>
    </row>
    <row r="1309" spans="1:6" x14ac:dyDescent="0.25">
      <c r="A1309" s="3" t="s">
        <v>11</v>
      </c>
      <c r="B1309" s="4">
        <v>43257</v>
      </c>
      <c r="C1309" s="162">
        <v>41108.42</v>
      </c>
      <c r="F1309" s="162">
        <v>41108.42</v>
      </c>
    </row>
    <row r="1310" spans="1:6" x14ac:dyDescent="0.25">
      <c r="A1310" s="3" t="s">
        <v>6</v>
      </c>
      <c r="B1310" s="4">
        <v>43257</v>
      </c>
      <c r="C1310" s="162">
        <v>54931.83</v>
      </c>
      <c r="F1310" s="162">
        <v>54931.83</v>
      </c>
    </row>
    <row r="1311" spans="1:6" x14ac:dyDescent="0.25">
      <c r="A1311" s="3" t="s">
        <v>9</v>
      </c>
      <c r="B1311" s="4">
        <v>43257</v>
      </c>
      <c r="C1311" s="162">
        <v>52587.86</v>
      </c>
      <c r="F1311" s="162">
        <v>52587.86</v>
      </c>
    </row>
    <row r="1312" spans="1:6" x14ac:dyDescent="0.25">
      <c r="A1312" s="3" t="s">
        <v>8</v>
      </c>
      <c r="B1312" s="4">
        <v>43257</v>
      </c>
      <c r="C1312" s="162">
        <v>29854.68</v>
      </c>
      <c r="F1312" s="162">
        <v>29854.68</v>
      </c>
    </row>
    <row r="1313" spans="1:6" x14ac:dyDescent="0.25">
      <c r="A1313" s="3" t="s">
        <v>14</v>
      </c>
      <c r="B1313" s="4">
        <v>43257</v>
      </c>
      <c r="C1313" s="162">
        <v>90060.66</v>
      </c>
      <c r="F1313" s="162">
        <v>90060.66</v>
      </c>
    </row>
    <row r="1314" spans="1:6" x14ac:dyDescent="0.25">
      <c r="A1314" s="3" t="s">
        <v>36</v>
      </c>
      <c r="B1314" s="4">
        <v>43257</v>
      </c>
      <c r="C1314" s="162">
        <v>158940.22</v>
      </c>
      <c r="F1314" s="162">
        <v>158940.22</v>
      </c>
    </row>
    <row r="1315" spans="1:6" x14ac:dyDescent="0.25">
      <c r="A1315" s="3" t="s">
        <v>9</v>
      </c>
      <c r="B1315" s="4">
        <v>43258</v>
      </c>
      <c r="C1315" s="162">
        <v>184763.93</v>
      </c>
      <c r="F1315" s="162">
        <v>184763.93</v>
      </c>
    </row>
    <row r="1316" spans="1:6" x14ac:dyDescent="0.25">
      <c r="A1316" s="3" t="s">
        <v>6</v>
      </c>
      <c r="B1316" s="4">
        <v>43258</v>
      </c>
      <c r="C1316" s="162">
        <v>193762.47</v>
      </c>
      <c r="F1316" s="162">
        <v>193762.47</v>
      </c>
    </row>
    <row r="1317" spans="1:6" x14ac:dyDescent="0.25">
      <c r="A1317" s="3" t="s">
        <v>7</v>
      </c>
      <c r="B1317" s="4">
        <v>43258</v>
      </c>
      <c r="C1317" s="162">
        <v>64437.05</v>
      </c>
      <c r="F1317" s="162">
        <v>64437.05</v>
      </c>
    </row>
    <row r="1318" spans="1:6" x14ac:dyDescent="0.25">
      <c r="A1318" s="3" t="s">
        <v>11</v>
      </c>
      <c r="B1318" s="4">
        <v>43258</v>
      </c>
      <c r="C1318" s="162">
        <v>25426.61</v>
      </c>
      <c r="F1318" s="162">
        <v>25426.61</v>
      </c>
    </row>
    <row r="1319" spans="1:6" x14ac:dyDescent="0.25">
      <c r="A1319" s="3" t="s">
        <v>13</v>
      </c>
      <c r="B1319" s="4">
        <v>43258</v>
      </c>
      <c r="C1319" s="162">
        <v>520866.23</v>
      </c>
      <c r="F1319" s="162">
        <v>520866.23</v>
      </c>
    </row>
    <row r="1320" spans="1:6" x14ac:dyDescent="0.25">
      <c r="A1320" s="3" t="s">
        <v>12</v>
      </c>
      <c r="B1320" s="4">
        <v>43258</v>
      </c>
      <c r="C1320" s="162">
        <v>25491.99</v>
      </c>
      <c r="F1320" s="162">
        <v>25491.99</v>
      </c>
    </row>
    <row r="1321" spans="1:6" x14ac:dyDescent="0.25">
      <c r="A1321" s="3" t="s">
        <v>14</v>
      </c>
      <c r="B1321" s="4">
        <v>43258</v>
      </c>
      <c r="C1321" s="162">
        <v>33262.14</v>
      </c>
      <c r="F1321" s="162">
        <v>33262.14</v>
      </c>
    </row>
    <row r="1322" spans="1:6" x14ac:dyDescent="0.25">
      <c r="A1322" s="3" t="s">
        <v>10</v>
      </c>
      <c r="B1322" s="4">
        <v>43258</v>
      </c>
      <c r="C1322" s="162">
        <v>66906.149999999994</v>
      </c>
      <c r="F1322" s="162">
        <v>66906.149999999994</v>
      </c>
    </row>
    <row r="1323" spans="1:6" x14ac:dyDescent="0.25">
      <c r="A1323" s="3" t="s">
        <v>8</v>
      </c>
      <c r="B1323" s="4">
        <v>43258</v>
      </c>
      <c r="C1323" s="162">
        <v>30504.7</v>
      </c>
      <c r="D1323" s="162">
        <v>828.69</v>
      </c>
      <c r="E1323" s="162">
        <v>15.81</v>
      </c>
      <c r="F1323" s="162">
        <v>29660.2</v>
      </c>
    </row>
    <row r="1324" spans="1:6" x14ac:dyDescent="0.25">
      <c r="A1324" s="3" t="s">
        <v>15</v>
      </c>
      <c r="B1324" s="4">
        <v>43258</v>
      </c>
      <c r="C1324" s="162">
        <v>591677.31000000006</v>
      </c>
      <c r="F1324" s="162">
        <v>591677.31000000006</v>
      </c>
    </row>
    <row r="1325" spans="1:6" x14ac:dyDescent="0.25">
      <c r="A1325" s="3" t="s">
        <v>20</v>
      </c>
      <c r="B1325" s="4">
        <v>43258</v>
      </c>
      <c r="C1325" s="162">
        <v>26566.46</v>
      </c>
      <c r="F1325" s="162">
        <v>26566.46</v>
      </c>
    </row>
    <row r="1326" spans="1:6" x14ac:dyDescent="0.25">
      <c r="A1326" s="3" t="s">
        <v>22</v>
      </c>
      <c r="B1326" s="4">
        <v>43258</v>
      </c>
      <c r="C1326" s="162">
        <v>100115.39</v>
      </c>
      <c r="F1326" s="162">
        <v>100115.39</v>
      </c>
    </row>
    <row r="1327" spans="1:6" x14ac:dyDescent="0.25">
      <c r="A1327" s="3" t="s">
        <v>16</v>
      </c>
      <c r="B1327" s="4">
        <v>43258</v>
      </c>
      <c r="C1327" s="162">
        <v>111292.26</v>
      </c>
      <c r="E1327" s="162">
        <v>30.16</v>
      </c>
      <c r="F1327" s="162">
        <v>111262.1</v>
      </c>
    </row>
    <row r="1328" spans="1:6" x14ac:dyDescent="0.25">
      <c r="A1328" s="3" t="s">
        <v>24</v>
      </c>
      <c r="B1328" s="4">
        <v>43258</v>
      </c>
      <c r="C1328" s="162">
        <v>65846.720000000001</v>
      </c>
      <c r="F1328" s="162">
        <v>65846.720000000001</v>
      </c>
    </row>
    <row r="1329" spans="1:6" x14ac:dyDescent="0.25">
      <c r="A1329" s="3" t="s">
        <v>19</v>
      </c>
      <c r="B1329" s="4">
        <v>43258</v>
      </c>
      <c r="C1329" s="162">
        <v>236315.1</v>
      </c>
      <c r="F1329" s="162">
        <v>236315.1</v>
      </c>
    </row>
    <row r="1330" spans="1:6" x14ac:dyDescent="0.25">
      <c r="A1330" s="3" t="s">
        <v>32</v>
      </c>
      <c r="B1330" s="4">
        <v>43258</v>
      </c>
      <c r="C1330" s="162">
        <v>69469.95</v>
      </c>
      <c r="F1330" s="162">
        <v>69469.95</v>
      </c>
    </row>
    <row r="1331" spans="1:6" x14ac:dyDescent="0.25">
      <c r="A1331" s="3" t="s">
        <v>27</v>
      </c>
      <c r="B1331" s="4">
        <v>43258</v>
      </c>
      <c r="C1331" s="162">
        <v>95095.35</v>
      </c>
      <c r="D1331" s="162">
        <v>84.06</v>
      </c>
      <c r="F1331" s="162">
        <v>95011.29</v>
      </c>
    </row>
    <row r="1332" spans="1:6" x14ac:dyDescent="0.25">
      <c r="A1332" s="3" t="s">
        <v>28</v>
      </c>
      <c r="B1332" s="4">
        <v>43258</v>
      </c>
      <c r="C1332" s="162">
        <v>190126.79</v>
      </c>
      <c r="E1332" s="162">
        <v>652.1</v>
      </c>
      <c r="F1332" s="162">
        <v>189474.69</v>
      </c>
    </row>
    <row r="1333" spans="1:6" x14ac:dyDescent="0.25">
      <c r="A1333" s="3" t="s">
        <v>29</v>
      </c>
      <c r="B1333" s="4">
        <v>43258</v>
      </c>
      <c r="C1333" s="162">
        <v>805725.15</v>
      </c>
      <c r="F1333" s="162">
        <v>805725.15</v>
      </c>
    </row>
    <row r="1334" spans="1:6" x14ac:dyDescent="0.25">
      <c r="A1334" s="3" t="s">
        <v>19</v>
      </c>
      <c r="B1334" s="4">
        <v>43259</v>
      </c>
      <c r="C1334" s="162">
        <v>377907.61</v>
      </c>
      <c r="F1334" s="162">
        <f t="shared" ref="F1334:F1344" si="0">C1334-D1334-E1334</f>
        <v>377907.61</v>
      </c>
    </row>
    <row r="1335" spans="1:6" x14ac:dyDescent="0.25">
      <c r="A1335" s="3" t="s">
        <v>11</v>
      </c>
      <c r="B1335" s="4">
        <v>43259</v>
      </c>
      <c r="C1335" s="162">
        <v>19066.259999999998</v>
      </c>
      <c r="D1335" s="162">
        <v>5146.63</v>
      </c>
      <c r="E1335" s="162">
        <v>552.45000000000005</v>
      </c>
      <c r="F1335" s="162">
        <f t="shared" si="0"/>
        <v>13367.179999999997</v>
      </c>
    </row>
    <row r="1336" spans="1:6" x14ac:dyDescent="0.25">
      <c r="A1336" s="3" t="s">
        <v>30</v>
      </c>
      <c r="B1336" s="4">
        <v>43259</v>
      </c>
      <c r="C1336" s="162">
        <v>22601.79</v>
      </c>
      <c r="F1336" s="162">
        <f t="shared" si="0"/>
        <v>22601.79</v>
      </c>
    </row>
    <row r="1337" spans="1:6" x14ac:dyDescent="0.25">
      <c r="A1337" s="3" t="s">
        <v>14</v>
      </c>
      <c r="B1337" s="4">
        <v>43259</v>
      </c>
      <c r="C1337" s="162">
        <v>22385.7</v>
      </c>
      <c r="D1337" s="162">
        <v>773</v>
      </c>
      <c r="E1337" s="162">
        <v>5.27</v>
      </c>
      <c r="F1337" s="162">
        <f t="shared" si="0"/>
        <v>21607.43</v>
      </c>
    </row>
    <row r="1338" spans="1:6" x14ac:dyDescent="0.25">
      <c r="A1338" s="3" t="s">
        <v>24</v>
      </c>
      <c r="B1338" s="4">
        <v>43259</v>
      </c>
      <c r="C1338" s="162">
        <v>64266.94</v>
      </c>
      <c r="F1338" s="162">
        <f t="shared" si="0"/>
        <v>64266.94</v>
      </c>
    </row>
    <row r="1339" spans="1:6" x14ac:dyDescent="0.25">
      <c r="A1339" s="3" t="s">
        <v>16</v>
      </c>
      <c r="B1339" s="4">
        <v>43259</v>
      </c>
      <c r="C1339" s="162">
        <v>18459.21</v>
      </c>
      <c r="F1339" s="162">
        <f t="shared" si="0"/>
        <v>18459.21</v>
      </c>
    </row>
    <row r="1340" spans="1:6" x14ac:dyDescent="0.25">
      <c r="A1340" s="3" t="s">
        <v>21</v>
      </c>
      <c r="B1340" s="4">
        <v>43259</v>
      </c>
      <c r="C1340" s="162">
        <v>94556.160000000003</v>
      </c>
      <c r="E1340" s="162">
        <v>6074.47</v>
      </c>
      <c r="F1340" s="162">
        <f t="shared" si="0"/>
        <v>88481.69</v>
      </c>
    </row>
    <row r="1341" spans="1:6" x14ac:dyDescent="0.25">
      <c r="A1341" s="3" t="s">
        <v>7</v>
      </c>
      <c r="B1341" s="4">
        <v>43259</v>
      </c>
      <c r="C1341" s="162">
        <v>104198.88</v>
      </c>
      <c r="F1341" s="162">
        <f t="shared" si="0"/>
        <v>104198.88</v>
      </c>
    </row>
    <row r="1342" spans="1:6" x14ac:dyDescent="0.25">
      <c r="A1342" s="3" t="s">
        <v>6</v>
      </c>
      <c r="B1342" s="4">
        <v>43259</v>
      </c>
      <c r="C1342" s="162">
        <v>63619.38</v>
      </c>
      <c r="F1342" s="162">
        <f t="shared" si="0"/>
        <v>63619.38</v>
      </c>
    </row>
    <row r="1343" spans="1:6" x14ac:dyDescent="0.25">
      <c r="A1343" s="3" t="s">
        <v>13</v>
      </c>
      <c r="B1343" s="4">
        <v>43259</v>
      </c>
      <c r="C1343" s="162">
        <v>77907.100000000006</v>
      </c>
      <c r="F1343" s="162">
        <f t="shared" si="0"/>
        <v>77907.100000000006</v>
      </c>
    </row>
    <row r="1344" spans="1:6" x14ac:dyDescent="0.25">
      <c r="A1344" s="3" t="s">
        <v>28</v>
      </c>
      <c r="B1344" s="4">
        <v>43259</v>
      </c>
      <c r="C1344" s="162">
        <v>105664.14</v>
      </c>
      <c r="F1344" s="162">
        <f t="shared" si="0"/>
        <v>105664.14</v>
      </c>
    </row>
    <row r="1345" spans="1:6" x14ac:dyDescent="0.25">
      <c r="A1345" s="3" t="s">
        <v>9</v>
      </c>
      <c r="B1345" s="4">
        <v>43259</v>
      </c>
      <c r="C1345" s="162" t="s">
        <v>37</v>
      </c>
      <c r="F1345" s="162">
        <v>0</v>
      </c>
    </row>
    <row r="1346" spans="1:6" x14ac:dyDescent="0.25">
      <c r="A1346" s="3" t="s">
        <v>12</v>
      </c>
      <c r="B1346" s="4">
        <v>43259</v>
      </c>
      <c r="C1346" s="162">
        <v>40435.17</v>
      </c>
      <c r="D1346" s="162">
        <v>3633.08</v>
      </c>
      <c r="E1346" s="162">
        <v>21.95</v>
      </c>
      <c r="F1346" s="162">
        <f t="shared" ref="F1346:F1352" si="1">C1346-D1346-E1346</f>
        <v>36780.14</v>
      </c>
    </row>
    <row r="1347" spans="1:6" x14ac:dyDescent="0.25">
      <c r="A1347" s="3" t="s">
        <v>22</v>
      </c>
      <c r="B1347" s="4">
        <v>43259</v>
      </c>
      <c r="C1347" s="162">
        <v>1109480.8799999999</v>
      </c>
      <c r="D1347" s="162">
        <v>41305.85</v>
      </c>
      <c r="E1347" s="162">
        <v>13.36</v>
      </c>
      <c r="F1347" s="162">
        <f t="shared" si="1"/>
        <v>1068161.6699999997</v>
      </c>
    </row>
    <row r="1348" spans="1:6" x14ac:dyDescent="0.25">
      <c r="A1348" s="3" t="s">
        <v>10</v>
      </c>
      <c r="B1348" s="4">
        <v>43259</v>
      </c>
      <c r="C1348" s="162">
        <v>769374.25</v>
      </c>
      <c r="D1348" s="162">
        <v>45485.37</v>
      </c>
      <c r="E1348" s="162">
        <v>317.89</v>
      </c>
      <c r="F1348" s="162">
        <f t="shared" si="1"/>
        <v>723570.99</v>
      </c>
    </row>
    <row r="1349" spans="1:6" x14ac:dyDescent="0.25">
      <c r="A1349" s="3" t="s">
        <v>32</v>
      </c>
      <c r="B1349" s="4">
        <v>43259</v>
      </c>
      <c r="C1349" s="162">
        <v>180794.71</v>
      </c>
      <c r="E1349" s="162">
        <v>15</v>
      </c>
      <c r="F1349" s="162">
        <f t="shared" si="1"/>
        <v>180779.71</v>
      </c>
    </row>
    <row r="1350" spans="1:6" x14ac:dyDescent="0.25">
      <c r="A1350" s="3" t="s">
        <v>20</v>
      </c>
      <c r="B1350" s="4">
        <v>43259</v>
      </c>
      <c r="C1350" s="162">
        <v>147645.79</v>
      </c>
      <c r="F1350" s="162">
        <f t="shared" si="1"/>
        <v>147645.79</v>
      </c>
    </row>
    <row r="1351" spans="1:6" x14ac:dyDescent="0.25">
      <c r="A1351" s="3" t="s">
        <v>27</v>
      </c>
      <c r="B1351" s="4">
        <v>43259</v>
      </c>
      <c r="C1351" s="162">
        <v>106273.39</v>
      </c>
      <c r="F1351" s="162">
        <f t="shared" si="1"/>
        <v>106273.39</v>
      </c>
    </row>
    <row r="1352" spans="1:6" x14ac:dyDescent="0.25">
      <c r="A1352" s="3" t="s">
        <v>8</v>
      </c>
      <c r="B1352" s="4">
        <v>43259</v>
      </c>
      <c r="C1352" s="162">
        <v>62725.03</v>
      </c>
      <c r="F1352" s="162">
        <f t="shared" si="1"/>
        <v>62725.03</v>
      </c>
    </row>
    <row r="1353" spans="1:6" x14ac:dyDescent="0.25">
      <c r="A1353" s="3" t="s">
        <v>27</v>
      </c>
      <c r="B1353" s="4">
        <v>43262</v>
      </c>
      <c r="C1353" s="162">
        <v>171959.03</v>
      </c>
      <c r="F1353" s="162">
        <v>171959.03</v>
      </c>
    </row>
    <row r="1354" spans="1:6" x14ac:dyDescent="0.25">
      <c r="A1354" s="3" t="s">
        <v>22</v>
      </c>
      <c r="B1354" s="4">
        <v>43262</v>
      </c>
      <c r="C1354" s="162">
        <v>73814.89</v>
      </c>
      <c r="F1354" s="162">
        <v>73814.89</v>
      </c>
    </row>
    <row r="1355" spans="1:6" x14ac:dyDescent="0.25">
      <c r="A1355" s="3" t="s">
        <v>21</v>
      </c>
      <c r="B1355" s="4">
        <v>43262</v>
      </c>
      <c r="C1355" s="162">
        <v>12915.72</v>
      </c>
      <c r="F1355" s="162">
        <v>12915.72</v>
      </c>
    </row>
    <row r="1356" spans="1:6" x14ac:dyDescent="0.25">
      <c r="A1356" s="3" t="s">
        <v>13</v>
      </c>
      <c r="B1356" s="4">
        <v>43262</v>
      </c>
      <c r="C1356" s="162">
        <v>145453.4</v>
      </c>
      <c r="F1356" s="162">
        <v>145453.4</v>
      </c>
    </row>
    <row r="1357" spans="1:6" x14ac:dyDescent="0.25">
      <c r="A1357" s="3" t="s">
        <v>20</v>
      </c>
      <c r="B1357" s="4">
        <v>43262</v>
      </c>
      <c r="C1357" s="162">
        <v>138292.51999999999</v>
      </c>
      <c r="F1357" s="162">
        <v>138292.51999999999</v>
      </c>
    </row>
    <row r="1358" spans="1:6" x14ac:dyDescent="0.25">
      <c r="A1358" s="3" t="s">
        <v>14</v>
      </c>
      <c r="B1358" s="4">
        <v>43262</v>
      </c>
      <c r="C1358" s="162">
        <v>737277.62</v>
      </c>
      <c r="F1358" s="162">
        <v>737277.62</v>
      </c>
    </row>
    <row r="1359" spans="1:6" x14ac:dyDescent="0.25">
      <c r="A1359" s="3" t="s">
        <v>16</v>
      </c>
      <c r="B1359" s="4">
        <v>43262</v>
      </c>
      <c r="C1359" s="162">
        <v>59904.99</v>
      </c>
      <c r="F1359" s="162">
        <v>59904.99</v>
      </c>
    </row>
    <row r="1360" spans="1:6" x14ac:dyDescent="0.25">
      <c r="A1360" s="3" t="s">
        <v>11</v>
      </c>
      <c r="B1360" s="4">
        <v>43262</v>
      </c>
      <c r="C1360" s="162">
        <v>146676.26999999999</v>
      </c>
      <c r="F1360" s="162">
        <v>146676.26999999999</v>
      </c>
    </row>
    <row r="1361" spans="1:6" x14ac:dyDescent="0.25">
      <c r="A1361" s="3" t="s">
        <v>12</v>
      </c>
      <c r="B1361" s="4">
        <v>43262</v>
      </c>
      <c r="C1361" s="162">
        <v>33002.379999999997</v>
      </c>
      <c r="F1361" s="162">
        <v>33002.379999999997</v>
      </c>
    </row>
    <row r="1362" spans="1:6" x14ac:dyDescent="0.25">
      <c r="A1362" s="3" t="s">
        <v>10</v>
      </c>
      <c r="B1362" s="4">
        <v>43262</v>
      </c>
      <c r="C1362" s="162">
        <v>47816.67</v>
      </c>
      <c r="F1362" s="162">
        <v>47816.67</v>
      </c>
    </row>
    <row r="1363" spans="1:6" x14ac:dyDescent="0.25">
      <c r="A1363" s="3" t="s">
        <v>19</v>
      </c>
      <c r="B1363" s="4">
        <v>43262</v>
      </c>
      <c r="C1363" s="162">
        <v>18634.830000000002</v>
      </c>
      <c r="F1363" s="162">
        <v>18634.830000000002</v>
      </c>
    </row>
    <row r="1364" spans="1:6" x14ac:dyDescent="0.25">
      <c r="A1364" s="3" t="s">
        <v>32</v>
      </c>
      <c r="B1364" s="4">
        <v>43262</v>
      </c>
      <c r="C1364" s="162">
        <v>134990.76</v>
      </c>
      <c r="F1364" s="162">
        <v>134990.76</v>
      </c>
    </row>
    <row r="1365" spans="1:6" x14ac:dyDescent="0.25">
      <c r="A1365" s="3" t="s">
        <v>9</v>
      </c>
      <c r="B1365" s="4">
        <v>43262</v>
      </c>
      <c r="C1365" s="162">
        <v>81319.58</v>
      </c>
      <c r="F1365" s="162">
        <v>81319.58</v>
      </c>
    </row>
    <row r="1366" spans="1:6" x14ac:dyDescent="0.25">
      <c r="A1366" s="3" t="s">
        <v>24</v>
      </c>
      <c r="B1366" s="4">
        <v>43262</v>
      </c>
      <c r="C1366" s="162">
        <v>218836.67</v>
      </c>
      <c r="F1366" s="162">
        <v>218836.67</v>
      </c>
    </row>
    <row r="1367" spans="1:6" x14ac:dyDescent="0.25">
      <c r="A1367" s="3" t="s">
        <v>15</v>
      </c>
      <c r="B1367" s="4">
        <v>43262</v>
      </c>
      <c r="C1367" s="162">
        <v>616827.39</v>
      </c>
      <c r="F1367" s="162">
        <v>616827.39</v>
      </c>
    </row>
    <row r="1368" spans="1:6" x14ac:dyDescent="0.25">
      <c r="A1368" s="3" t="s">
        <v>11</v>
      </c>
      <c r="B1368" s="4">
        <v>43263</v>
      </c>
      <c r="C1368" s="162">
        <v>231417.96</v>
      </c>
      <c r="F1368" s="162">
        <v>231417.96</v>
      </c>
    </row>
    <row r="1369" spans="1:6" x14ac:dyDescent="0.25">
      <c r="A1369" s="3" t="s">
        <v>9</v>
      </c>
      <c r="B1369" s="4">
        <v>43263</v>
      </c>
      <c r="C1369" s="162">
        <v>218624.24</v>
      </c>
      <c r="F1369" s="162">
        <v>218624.24</v>
      </c>
    </row>
    <row r="1370" spans="1:6" x14ac:dyDescent="0.25">
      <c r="A1370" s="3" t="s">
        <v>15</v>
      </c>
      <c r="B1370" s="4">
        <v>43263</v>
      </c>
      <c r="C1370" s="162">
        <v>24055.17</v>
      </c>
      <c r="F1370" s="162">
        <v>24055.17</v>
      </c>
    </row>
    <row r="1371" spans="1:6" x14ac:dyDescent="0.25">
      <c r="A1371" s="3" t="s">
        <v>20</v>
      </c>
      <c r="B1371" s="4">
        <v>43263</v>
      </c>
      <c r="C1371" s="162">
        <v>178395.88</v>
      </c>
      <c r="F1371" s="162">
        <v>178395.88</v>
      </c>
    </row>
    <row r="1372" spans="1:6" x14ac:dyDescent="0.25">
      <c r="A1372" s="3" t="s">
        <v>10</v>
      </c>
      <c r="B1372" s="4">
        <v>43263</v>
      </c>
      <c r="C1372" s="162">
        <v>206480.27</v>
      </c>
      <c r="F1372" s="162">
        <v>206480.27</v>
      </c>
    </row>
    <row r="1373" spans="1:6" x14ac:dyDescent="0.25">
      <c r="A1373" s="3" t="s">
        <v>14</v>
      </c>
      <c r="B1373" s="4">
        <v>43263</v>
      </c>
      <c r="C1373" s="162">
        <v>77835.69</v>
      </c>
      <c r="F1373" s="162">
        <v>77835.69</v>
      </c>
    </row>
    <row r="1374" spans="1:6" x14ac:dyDescent="0.25">
      <c r="A1374" s="3" t="s">
        <v>16</v>
      </c>
      <c r="B1374" s="4">
        <v>43263</v>
      </c>
      <c r="C1374" s="162">
        <v>106246.63</v>
      </c>
      <c r="F1374" s="162">
        <v>106246.63</v>
      </c>
    </row>
    <row r="1375" spans="1:6" x14ac:dyDescent="0.25">
      <c r="A1375" s="3" t="s">
        <v>7</v>
      </c>
      <c r="B1375" s="4">
        <v>43263</v>
      </c>
      <c r="C1375" s="162">
        <v>7623.86</v>
      </c>
      <c r="F1375" s="162">
        <v>7623.86</v>
      </c>
    </row>
    <row r="1376" spans="1:6" x14ac:dyDescent="0.25">
      <c r="A1376" s="3" t="s">
        <v>8</v>
      </c>
      <c r="B1376" s="4">
        <v>43263</v>
      </c>
      <c r="C1376" s="162">
        <v>36526.47</v>
      </c>
      <c r="F1376" s="162">
        <v>36526.47</v>
      </c>
    </row>
    <row r="1377" spans="1:6" x14ac:dyDescent="0.25">
      <c r="A1377" s="3" t="s">
        <v>12</v>
      </c>
      <c r="B1377" s="4">
        <v>43263</v>
      </c>
      <c r="C1377" s="162">
        <v>25124.81</v>
      </c>
      <c r="F1377" s="162">
        <v>25124.81</v>
      </c>
    </row>
    <row r="1378" spans="1:6" x14ac:dyDescent="0.25">
      <c r="A1378" s="3" t="s">
        <v>13</v>
      </c>
      <c r="B1378" s="4">
        <v>43263</v>
      </c>
      <c r="C1378" s="162">
        <v>74713.61</v>
      </c>
      <c r="F1378" s="162">
        <v>74713.61</v>
      </c>
    </row>
    <row r="1379" spans="1:6" x14ac:dyDescent="0.25">
      <c r="A1379" s="3" t="s">
        <v>6</v>
      </c>
      <c r="B1379" s="4">
        <v>43263</v>
      </c>
      <c r="C1379" s="162">
        <v>33966.94</v>
      </c>
      <c r="F1379" s="162">
        <v>33966.94</v>
      </c>
    </row>
    <row r="1380" spans="1:6" x14ac:dyDescent="0.25">
      <c r="A1380" s="3" t="s">
        <v>15</v>
      </c>
      <c r="B1380" s="4">
        <v>43264</v>
      </c>
      <c r="C1380" s="162">
        <v>49721.3</v>
      </c>
      <c r="F1380" s="162">
        <v>49721.3</v>
      </c>
    </row>
    <row r="1381" spans="1:6" x14ac:dyDescent="0.25">
      <c r="A1381" s="3" t="s">
        <v>16</v>
      </c>
      <c r="B1381" s="4">
        <v>43264</v>
      </c>
      <c r="C1381" s="162">
        <v>149310.70000000001</v>
      </c>
      <c r="F1381" s="162">
        <v>149310.70000000001</v>
      </c>
    </row>
    <row r="1382" spans="1:6" x14ac:dyDescent="0.25">
      <c r="A1382" s="3" t="s">
        <v>22</v>
      </c>
      <c r="B1382" s="4">
        <v>43264</v>
      </c>
      <c r="C1382" s="162">
        <v>245744.8</v>
      </c>
      <c r="F1382" s="162">
        <v>245744.8</v>
      </c>
    </row>
    <row r="1383" spans="1:6" x14ac:dyDescent="0.25">
      <c r="A1383" s="3" t="s">
        <v>9</v>
      </c>
      <c r="B1383" s="4">
        <v>43264</v>
      </c>
      <c r="C1383" s="162">
        <v>18751.45</v>
      </c>
      <c r="F1383" s="162">
        <v>18751.45</v>
      </c>
    </row>
    <row r="1384" spans="1:6" x14ac:dyDescent="0.25">
      <c r="A1384" s="3" t="s">
        <v>20</v>
      </c>
      <c r="B1384" s="4">
        <v>43264</v>
      </c>
      <c r="C1384" s="162">
        <v>26386.83</v>
      </c>
      <c r="F1384" s="162">
        <v>26386.83</v>
      </c>
    </row>
    <row r="1385" spans="1:6" x14ac:dyDescent="0.25">
      <c r="A1385" s="3" t="s">
        <v>6</v>
      </c>
      <c r="B1385" s="4">
        <v>43264</v>
      </c>
      <c r="C1385" s="162">
        <v>312582.76</v>
      </c>
      <c r="F1385" s="162">
        <v>312582.76</v>
      </c>
    </row>
    <row r="1386" spans="1:6" x14ac:dyDescent="0.25">
      <c r="A1386" s="3" t="s">
        <v>10</v>
      </c>
      <c r="B1386" s="4">
        <v>43264</v>
      </c>
      <c r="C1386" s="162">
        <v>38980.730000000003</v>
      </c>
      <c r="F1386" s="162">
        <v>38980.730000000003</v>
      </c>
    </row>
    <row r="1387" spans="1:6" x14ac:dyDescent="0.25">
      <c r="A1387" s="3" t="s">
        <v>14</v>
      </c>
      <c r="B1387" s="4">
        <v>43264</v>
      </c>
      <c r="C1387" s="162">
        <v>197750.96</v>
      </c>
      <c r="F1387" s="162">
        <v>197750.96</v>
      </c>
    </row>
    <row r="1388" spans="1:6" x14ac:dyDescent="0.25">
      <c r="A1388" s="3" t="s">
        <v>13</v>
      </c>
      <c r="B1388" s="4">
        <v>43264</v>
      </c>
      <c r="C1388" s="162">
        <v>27805.61</v>
      </c>
      <c r="F1388" s="162">
        <v>27805.61</v>
      </c>
    </row>
    <row r="1389" spans="1:6" x14ac:dyDescent="0.25">
      <c r="A1389" s="3" t="s">
        <v>32</v>
      </c>
      <c r="B1389" s="4">
        <v>43264</v>
      </c>
      <c r="C1389" s="162">
        <v>19534.93</v>
      </c>
      <c r="F1389" s="162">
        <v>19534.93</v>
      </c>
    </row>
    <row r="1390" spans="1:6" x14ac:dyDescent="0.25">
      <c r="A1390" s="3" t="s">
        <v>8</v>
      </c>
      <c r="B1390" s="4">
        <v>43264</v>
      </c>
      <c r="C1390" s="162">
        <v>55745.57</v>
      </c>
      <c r="F1390" s="162">
        <v>55745.57</v>
      </c>
    </row>
    <row r="1391" spans="1:6" x14ac:dyDescent="0.25">
      <c r="A1391" s="3" t="s">
        <v>12</v>
      </c>
      <c r="B1391" s="4">
        <v>43264</v>
      </c>
      <c r="C1391" s="162">
        <v>125982.66</v>
      </c>
      <c r="F1391" s="162">
        <v>125982.66</v>
      </c>
    </row>
    <row r="1392" spans="1:6" x14ac:dyDescent="0.25">
      <c r="A1392" s="3" t="s">
        <v>7</v>
      </c>
      <c r="B1392" s="4">
        <v>43264</v>
      </c>
      <c r="C1392" s="162">
        <v>24531.52</v>
      </c>
      <c r="F1392" s="162">
        <v>24531.52</v>
      </c>
    </row>
    <row r="1393" spans="1:6" x14ac:dyDescent="0.25">
      <c r="A1393" s="3" t="s">
        <v>19</v>
      </c>
      <c r="B1393" s="4">
        <v>43264</v>
      </c>
      <c r="C1393" s="162">
        <v>13957.46</v>
      </c>
      <c r="F1393" s="162">
        <v>13957.46</v>
      </c>
    </row>
    <row r="1394" spans="1:6" x14ac:dyDescent="0.25">
      <c r="A1394" s="3" t="s">
        <v>21</v>
      </c>
      <c r="B1394" s="4">
        <v>43264</v>
      </c>
      <c r="C1394" s="162">
        <v>152309.68</v>
      </c>
      <c r="F1394" s="162">
        <v>152309.68</v>
      </c>
    </row>
    <row r="1395" spans="1:6" x14ac:dyDescent="0.25">
      <c r="A1395" s="3" t="s">
        <v>12</v>
      </c>
      <c r="B1395" s="4">
        <v>43265</v>
      </c>
      <c r="C1395" s="162">
        <v>442337.83</v>
      </c>
      <c r="F1395" s="162">
        <v>442337.83</v>
      </c>
    </row>
    <row r="1396" spans="1:6" x14ac:dyDescent="0.25">
      <c r="A1396" s="3" t="s">
        <v>9</v>
      </c>
      <c r="B1396" s="4">
        <v>43265</v>
      </c>
      <c r="C1396" s="162">
        <v>74260.19</v>
      </c>
      <c r="F1396" s="162">
        <v>74260.19</v>
      </c>
    </row>
    <row r="1397" spans="1:6" x14ac:dyDescent="0.25">
      <c r="A1397" s="3" t="s">
        <v>15</v>
      </c>
      <c r="B1397" s="4">
        <v>43265</v>
      </c>
      <c r="C1397" s="162">
        <v>65800.08</v>
      </c>
      <c r="F1397" s="162">
        <v>65800.08</v>
      </c>
    </row>
    <row r="1398" spans="1:6" x14ac:dyDescent="0.25">
      <c r="A1398" s="3" t="s">
        <v>22</v>
      </c>
      <c r="B1398" s="4">
        <v>43265</v>
      </c>
      <c r="C1398" s="162">
        <v>72137.73</v>
      </c>
      <c r="F1398" s="162">
        <v>72137.73</v>
      </c>
    </row>
    <row r="1399" spans="1:6" x14ac:dyDescent="0.25">
      <c r="A1399" s="3" t="s">
        <v>14</v>
      </c>
      <c r="B1399" s="4">
        <v>43265</v>
      </c>
      <c r="C1399" s="162">
        <v>24434.76</v>
      </c>
      <c r="F1399" s="162">
        <v>24434.76</v>
      </c>
    </row>
    <row r="1400" spans="1:6" x14ac:dyDescent="0.25">
      <c r="A1400" s="3" t="s">
        <v>16</v>
      </c>
      <c r="B1400" s="4">
        <v>43265</v>
      </c>
      <c r="C1400" s="162">
        <v>109754.4</v>
      </c>
      <c r="F1400" s="162">
        <v>109754.4</v>
      </c>
    </row>
    <row r="1401" spans="1:6" x14ac:dyDescent="0.25">
      <c r="A1401" s="3" t="s">
        <v>11</v>
      </c>
      <c r="B1401" s="4">
        <v>43265</v>
      </c>
      <c r="C1401" s="162">
        <v>43619.72</v>
      </c>
      <c r="F1401" s="162">
        <v>43619.72</v>
      </c>
    </row>
    <row r="1402" spans="1:6" x14ac:dyDescent="0.25">
      <c r="A1402" s="3" t="s">
        <v>19</v>
      </c>
      <c r="B1402" s="4">
        <v>43265</v>
      </c>
      <c r="C1402" s="162">
        <v>62979.54</v>
      </c>
      <c r="F1402" s="162">
        <v>62979.54</v>
      </c>
    </row>
    <row r="1403" spans="1:6" x14ac:dyDescent="0.25">
      <c r="A1403" s="3" t="s">
        <v>10</v>
      </c>
      <c r="B1403" s="4">
        <v>43265</v>
      </c>
      <c r="C1403" s="162">
        <v>33931.879999999997</v>
      </c>
      <c r="F1403" s="162">
        <v>33931.879999999997</v>
      </c>
    </row>
    <row r="1404" spans="1:6" x14ac:dyDescent="0.25">
      <c r="A1404" s="3" t="s">
        <v>13</v>
      </c>
      <c r="B1404" s="4">
        <v>43265</v>
      </c>
      <c r="C1404" s="162">
        <v>47413.87</v>
      </c>
      <c r="F1404" s="162">
        <v>47413.87</v>
      </c>
    </row>
    <row r="1405" spans="1:6" x14ac:dyDescent="0.25">
      <c r="A1405" s="3" t="s">
        <v>7</v>
      </c>
      <c r="B1405" s="4">
        <v>43265</v>
      </c>
      <c r="C1405" s="162">
        <v>13957.46</v>
      </c>
      <c r="F1405" s="162">
        <v>13957.46</v>
      </c>
    </row>
    <row r="1406" spans="1:6" x14ac:dyDescent="0.25">
      <c r="A1406" s="3" t="s">
        <v>14</v>
      </c>
      <c r="B1406" s="4">
        <v>43266</v>
      </c>
      <c r="C1406" s="162">
        <v>47745.47</v>
      </c>
      <c r="F1406" s="162">
        <v>47745.47</v>
      </c>
    </row>
    <row r="1407" spans="1:6" x14ac:dyDescent="0.25">
      <c r="A1407" s="3" t="s">
        <v>10</v>
      </c>
      <c r="B1407" s="4">
        <v>43266</v>
      </c>
      <c r="C1407" s="162">
        <v>141737.04</v>
      </c>
      <c r="F1407" s="162">
        <v>141737.04</v>
      </c>
    </row>
    <row r="1408" spans="1:6" x14ac:dyDescent="0.25">
      <c r="A1408" s="3" t="s">
        <v>9</v>
      </c>
      <c r="B1408" s="4">
        <v>43266</v>
      </c>
      <c r="C1408" s="162">
        <v>84809.23</v>
      </c>
      <c r="F1408" s="162">
        <v>84809.23</v>
      </c>
    </row>
    <row r="1409" spans="1:6" x14ac:dyDescent="0.25">
      <c r="A1409" s="3" t="s">
        <v>8</v>
      </c>
      <c r="B1409" s="4">
        <v>43266</v>
      </c>
      <c r="C1409" s="162">
        <v>127972.25</v>
      </c>
      <c r="F1409" s="162">
        <v>127972.25</v>
      </c>
    </row>
    <row r="1410" spans="1:6" x14ac:dyDescent="0.25">
      <c r="A1410" s="3" t="s">
        <v>7</v>
      </c>
      <c r="B1410" s="4">
        <v>43266</v>
      </c>
      <c r="C1410" s="162">
        <v>43721.93</v>
      </c>
      <c r="F1410" s="162">
        <v>43721.93</v>
      </c>
    </row>
    <row r="1411" spans="1:6" x14ac:dyDescent="0.25">
      <c r="A1411" s="3" t="s">
        <v>11</v>
      </c>
      <c r="B1411" s="4">
        <v>43266</v>
      </c>
      <c r="C1411" s="162">
        <v>192217.91</v>
      </c>
      <c r="F1411" s="162">
        <v>192217.91</v>
      </c>
    </row>
    <row r="1412" spans="1:6" x14ac:dyDescent="0.25">
      <c r="A1412" s="3" t="s">
        <v>6</v>
      </c>
      <c r="B1412" s="4">
        <v>43266</v>
      </c>
      <c r="C1412" s="162">
        <v>327051.90999999997</v>
      </c>
      <c r="F1412" s="162">
        <v>327051.90999999997</v>
      </c>
    </row>
    <row r="1413" spans="1:6" x14ac:dyDescent="0.25">
      <c r="A1413" s="3" t="s">
        <v>7</v>
      </c>
      <c r="B1413" s="4">
        <v>43269</v>
      </c>
      <c r="C1413" s="162">
        <v>72034.720000000001</v>
      </c>
      <c r="F1413" s="162">
        <v>72034.720000000001</v>
      </c>
    </row>
    <row r="1414" spans="1:6" x14ac:dyDescent="0.25">
      <c r="A1414" s="3" t="s">
        <v>9</v>
      </c>
      <c r="B1414" s="4">
        <v>43269</v>
      </c>
      <c r="C1414" s="162">
        <v>35051.160000000003</v>
      </c>
      <c r="F1414" s="162">
        <v>35051.160000000003</v>
      </c>
    </row>
    <row r="1415" spans="1:6" x14ac:dyDescent="0.25">
      <c r="A1415" s="3" t="s">
        <v>11</v>
      </c>
      <c r="B1415" s="4">
        <v>43269</v>
      </c>
      <c r="C1415" s="162">
        <v>352910.58</v>
      </c>
      <c r="F1415" s="162">
        <v>352910.58</v>
      </c>
    </row>
    <row r="1416" spans="1:6" x14ac:dyDescent="0.25">
      <c r="A1416" s="3" t="s">
        <v>14</v>
      </c>
      <c r="B1416" s="4">
        <v>43269</v>
      </c>
      <c r="C1416" s="162">
        <v>129453.17</v>
      </c>
      <c r="F1416" s="162">
        <v>129453.17</v>
      </c>
    </row>
    <row r="1417" spans="1:6" x14ac:dyDescent="0.25">
      <c r="A1417" s="3" t="s">
        <v>12</v>
      </c>
      <c r="B1417" s="4">
        <v>43269</v>
      </c>
      <c r="C1417" s="162">
        <v>25495.200000000001</v>
      </c>
      <c r="F1417" s="162">
        <v>25495.200000000001</v>
      </c>
    </row>
    <row r="1418" spans="1:6" x14ac:dyDescent="0.25">
      <c r="A1418" s="3" t="s">
        <v>8</v>
      </c>
      <c r="B1418" s="4">
        <v>43269</v>
      </c>
      <c r="C1418" s="162">
        <v>124301.68</v>
      </c>
      <c r="F1418" s="162">
        <v>124301.68</v>
      </c>
    </row>
    <row r="1419" spans="1:6" x14ac:dyDescent="0.25">
      <c r="A1419" s="3" t="s">
        <v>6</v>
      </c>
      <c r="B1419" s="4">
        <v>43269</v>
      </c>
      <c r="C1419" s="162">
        <v>67036.77</v>
      </c>
      <c r="F1419" s="162">
        <v>67036.77</v>
      </c>
    </row>
    <row r="1420" spans="1:6" x14ac:dyDescent="0.25">
      <c r="A1420" s="3" t="s">
        <v>8</v>
      </c>
      <c r="B1420" s="4">
        <v>43270</v>
      </c>
      <c r="C1420" s="162">
        <v>15495.21</v>
      </c>
      <c r="F1420" s="162">
        <v>15495.21</v>
      </c>
    </row>
    <row r="1421" spans="1:6" x14ac:dyDescent="0.25">
      <c r="A1421" s="3" t="s">
        <v>7</v>
      </c>
      <c r="B1421" s="4">
        <v>43270</v>
      </c>
      <c r="C1421" s="162">
        <v>59346.03</v>
      </c>
      <c r="F1421" s="162">
        <v>59346.03</v>
      </c>
    </row>
    <row r="1422" spans="1:6" x14ac:dyDescent="0.25">
      <c r="A1422" s="3" t="s">
        <v>12</v>
      </c>
      <c r="B1422" s="4">
        <v>43270</v>
      </c>
      <c r="C1422" s="162">
        <v>100804.58</v>
      </c>
      <c r="F1422" s="162">
        <v>100804.58</v>
      </c>
    </row>
    <row r="1423" spans="1:6" x14ac:dyDescent="0.25">
      <c r="A1423" s="3" t="s">
        <v>6</v>
      </c>
      <c r="B1423" s="4">
        <v>43270</v>
      </c>
      <c r="C1423" s="162">
        <v>29030.1</v>
      </c>
      <c r="F1423" s="162">
        <v>29030.1</v>
      </c>
    </row>
    <row r="1424" spans="1:6" x14ac:dyDescent="0.25">
      <c r="A1424" s="3" t="s">
        <v>11</v>
      </c>
      <c r="B1424" s="4">
        <v>43270</v>
      </c>
      <c r="C1424" s="162">
        <v>48412.95</v>
      </c>
      <c r="F1424" s="162">
        <v>48412.95</v>
      </c>
    </row>
    <row r="1425" spans="1:6" x14ac:dyDescent="0.25">
      <c r="A1425" s="3" t="s">
        <v>9</v>
      </c>
      <c r="B1425" s="4">
        <v>43270</v>
      </c>
      <c r="C1425" s="162">
        <v>25455.05</v>
      </c>
      <c r="F1425" s="162">
        <v>25455.05</v>
      </c>
    </row>
    <row r="1426" spans="1:6" x14ac:dyDescent="0.25">
      <c r="A1426" s="3" t="s">
        <v>14</v>
      </c>
      <c r="B1426" s="4">
        <v>43270</v>
      </c>
      <c r="C1426" s="162">
        <v>34426.1</v>
      </c>
      <c r="F1426" s="162">
        <v>34426.1</v>
      </c>
    </row>
    <row r="1427" spans="1:6" x14ac:dyDescent="0.25">
      <c r="A1427" s="3" t="s">
        <v>13</v>
      </c>
      <c r="B1427" s="4">
        <v>43270</v>
      </c>
      <c r="C1427" s="162">
        <v>116998.61</v>
      </c>
      <c r="F1427" s="162">
        <v>116998.61</v>
      </c>
    </row>
    <row r="1428" spans="1:6" x14ac:dyDescent="0.25">
      <c r="A1428" s="3" t="s">
        <v>11</v>
      </c>
      <c r="B1428" s="4">
        <v>43271</v>
      </c>
      <c r="C1428" s="162">
        <v>95865.81</v>
      </c>
      <c r="F1428" s="162">
        <v>95865.81</v>
      </c>
    </row>
    <row r="1429" spans="1:6" x14ac:dyDescent="0.25">
      <c r="A1429" s="3" t="s">
        <v>7</v>
      </c>
      <c r="B1429" s="4">
        <v>43271</v>
      </c>
      <c r="C1429" s="162">
        <v>18734.78</v>
      </c>
      <c r="F1429" s="162">
        <v>18734.78</v>
      </c>
    </row>
    <row r="1430" spans="1:6" x14ac:dyDescent="0.25">
      <c r="A1430" s="3" t="s">
        <v>9</v>
      </c>
      <c r="B1430" s="4">
        <v>43271</v>
      </c>
      <c r="C1430" s="162">
        <v>48358.15</v>
      </c>
      <c r="F1430" s="162">
        <v>48358.15</v>
      </c>
    </row>
    <row r="1431" spans="1:6" x14ac:dyDescent="0.25">
      <c r="A1431" s="3" t="s">
        <v>6</v>
      </c>
      <c r="B1431" s="4">
        <v>43271</v>
      </c>
      <c r="C1431" s="162">
        <v>42174.62</v>
      </c>
      <c r="F1431" s="162">
        <v>42174.62</v>
      </c>
    </row>
    <row r="1432" spans="1:6" x14ac:dyDescent="0.25">
      <c r="A1432" s="3" t="s">
        <v>10</v>
      </c>
      <c r="B1432" s="4">
        <v>43271</v>
      </c>
      <c r="C1432" s="162">
        <v>135526.6</v>
      </c>
      <c r="F1432" s="162">
        <v>135526.6</v>
      </c>
    </row>
    <row r="1433" spans="1:6" x14ac:dyDescent="0.25">
      <c r="A1433" s="3" t="s">
        <v>8</v>
      </c>
      <c r="B1433" s="4">
        <v>43271</v>
      </c>
      <c r="C1433" s="162">
        <v>73500.399999999994</v>
      </c>
      <c r="F1433" s="162">
        <v>73500.399999999994</v>
      </c>
    </row>
    <row r="1434" spans="1:6" x14ac:dyDescent="0.25">
      <c r="A1434" s="3" t="s">
        <v>7</v>
      </c>
      <c r="B1434" s="4">
        <v>43272</v>
      </c>
      <c r="C1434" s="162">
        <v>17272.099999999999</v>
      </c>
      <c r="F1434" s="162">
        <v>17272.099999999999</v>
      </c>
    </row>
    <row r="1435" spans="1:6" x14ac:dyDescent="0.25">
      <c r="A1435" s="3" t="s">
        <v>11</v>
      </c>
      <c r="B1435" s="4">
        <v>43272</v>
      </c>
      <c r="C1435" s="162">
        <v>66286.31</v>
      </c>
      <c r="F1435" s="162">
        <v>66286.31</v>
      </c>
    </row>
    <row r="1436" spans="1:6" x14ac:dyDescent="0.25">
      <c r="A1436" s="3" t="s">
        <v>9</v>
      </c>
      <c r="B1436" s="4">
        <v>43272</v>
      </c>
      <c r="C1436" s="162">
        <v>251327.04</v>
      </c>
      <c r="F1436" s="162">
        <v>251327.04</v>
      </c>
    </row>
    <row r="1437" spans="1:6" x14ac:dyDescent="0.25">
      <c r="A1437" s="3" t="s">
        <v>6</v>
      </c>
      <c r="B1437" s="4">
        <v>43272</v>
      </c>
      <c r="C1437" s="162">
        <v>61018.91</v>
      </c>
      <c r="F1437" s="162">
        <v>61018.91</v>
      </c>
    </row>
    <row r="1438" spans="1:6" x14ac:dyDescent="0.25">
      <c r="A1438" s="3" t="s">
        <v>12</v>
      </c>
      <c r="B1438" s="4">
        <v>43272</v>
      </c>
      <c r="C1438" s="162">
        <v>120625.46</v>
      </c>
      <c r="F1438" s="162">
        <v>120625.46</v>
      </c>
    </row>
    <row r="1439" spans="1:6" x14ac:dyDescent="0.25">
      <c r="A1439" s="3" t="s">
        <v>8</v>
      </c>
      <c r="B1439" s="4">
        <v>43272</v>
      </c>
      <c r="C1439" s="162">
        <v>31891.96</v>
      </c>
      <c r="F1439" s="162">
        <v>31891.96</v>
      </c>
    </row>
    <row r="1440" spans="1:6" x14ac:dyDescent="0.25">
      <c r="A1440" s="3" t="s">
        <v>10</v>
      </c>
      <c r="B1440" s="4">
        <v>43273</v>
      </c>
      <c r="C1440" s="162">
        <v>18947.66</v>
      </c>
      <c r="F1440" s="162">
        <v>18947.66</v>
      </c>
    </row>
    <row r="1441" spans="1:6" x14ac:dyDescent="0.25">
      <c r="A1441" s="3" t="s">
        <v>12</v>
      </c>
      <c r="B1441" s="4">
        <v>43273</v>
      </c>
      <c r="C1441" s="162">
        <v>12310.56</v>
      </c>
      <c r="F1441" s="162">
        <v>12310.56</v>
      </c>
    </row>
    <row r="1442" spans="1:6" x14ac:dyDescent="0.25">
      <c r="A1442" s="3" t="s">
        <v>11</v>
      </c>
      <c r="B1442" s="4">
        <v>43273</v>
      </c>
      <c r="C1442" s="162">
        <v>215454.63</v>
      </c>
      <c r="F1442" s="162">
        <v>215454.63</v>
      </c>
    </row>
    <row r="1443" spans="1:6" x14ac:dyDescent="0.25">
      <c r="A1443" s="3" t="s">
        <v>6</v>
      </c>
      <c r="B1443" s="4">
        <v>43273</v>
      </c>
      <c r="C1443" s="162">
        <v>50674.86</v>
      </c>
      <c r="F1443" s="162">
        <v>50674.86</v>
      </c>
    </row>
    <row r="1444" spans="1:6" x14ac:dyDescent="0.25">
      <c r="A1444" s="3" t="s">
        <v>7</v>
      </c>
      <c r="B1444" s="4">
        <v>43273</v>
      </c>
      <c r="C1444" s="162">
        <v>31059.07</v>
      </c>
      <c r="F1444" s="162">
        <v>31059.07</v>
      </c>
    </row>
    <row r="1445" spans="1:6" x14ac:dyDescent="0.25">
      <c r="A1445" s="3" t="s">
        <v>14</v>
      </c>
      <c r="B1445" s="4">
        <v>43273</v>
      </c>
      <c r="C1445" s="162">
        <v>50789.21</v>
      </c>
      <c r="F1445" s="162">
        <v>50789.21</v>
      </c>
    </row>
    <row r="1446" spans="1:6" x14ac:dyDescent="0.25">
      <c r="A1446" s="3" t="s">
        <v>9</v>
      </c>
      <c r="B1446" s="4">
        <v>43273</v>
      </c>
      <c r="C1446" s="162">
        <v>41334.83</v>
      </c>
      <c r="D1446" s="162" t="s">
        <v>18</v>
      </c>
      <c r="E1446" s="162" t="s">
        <v>17</v>
      </c>
      <c r="F1446" s="162">
        <v>41334.83</v>
      </c>
    </row>
    <row r="1447" spans="1:6" x14ac:dyDescent="0.25">
      <c r="A1447" s="3" t="s">
        <v>8</v>
      </c>
      <c r="B1447" s="4">
        <v>43273</v>
      </c>
      <c r="C1447" s="162">
        <v>35288.839999999997</v>
      </c>
      <c r="F1447" s="162">
        <v>35288.839999999997</v>
      </c>
    </row>
    <row r="1448" spans="1:6" x14ac:dyDescent="0.25">
      <c r="A1448" s="3" t="s">
        <v>15</v>
      </c>
      <c r="B1448" s="4">
        <v>43276</v>
      </c>
      <c r="C1448" s="162">
        <v>22460.21</v>
      </c>
      <c r="F1448" s="162">
        <v>22460.21</v>
      </c>
    </row>
    <row r="1449" spans="1:6" x14ac:dyDescent="0.25">
      <c r="A1449" s="3" t="s">
        <v>9</v>
      </c>
      <c r="B1449" s="4">
        <v>43276</v>
      </c>
      <c r="C1449" s="162">
        <v>464329.24</v>
      </c>
      <c r="F1449" s="162">
        <v>464329.24</v>
      </c>
    </row>
    <row r="1450" spans="1:6" x14ac:dyDescent="0.25">
      <c r="A1450" s="3" t="s">
        <v>20</v>
      </c>
      <c r="B1450" s="4">
        <v>43276</v>
      </c>
      <c r="C1450" s="162">
        <v>26471.67</v>
      </c>
      <c r="F1450" s="162">
        <v>26471.67</v>
      </c>
    </row>
    <row r="1451" spans="1:6" x14ac:dyDescent="0.25">
      <c r="A1451" s="3" t="s">
        <v>14</v>
      </c>
      <c r="B1451" s="4">
        <v>43276</v>
      </c>
      <c r="C1451" s="162">
        <v>226546.53</v>
      </c>
      <c r="F1451" s="162">
        <v>226546.53</v>
      </c>
    </row>
    <row r="1452" spans="1:6" x14ac:dyDescent="0.25">
      <c r="A1452" s="3" t="s">
        <v>6</v>
      </c>
      <c r="B1452" s="4">
        <v>43276</v>
      </c>
      <c r="C1452" s="162">
        <v>173103.41</v>
      </c>
      <c r="F1452" s="162">
        <v>173103.41</v>
      </c>
    </row>
    <row r="1453" spans="1:6" x14ac:dyDescent="0.25">
      <c r="A1453" s="3" t="s">
        <v>12</v>
      </c>
      <c r="B1453" s="4">
        <v>43276</v>
      </c>
      <c r="C1453" s="162">
        <v>23762.65</v>
      </c>
      <c r="F1453" s="162">
        <v>23762.65</v>
      </c>
    </row>
    <row r="1454" spans="1:6" x14ac:dyDescent="0.25">
      <c r="A1454" s="3" t="s">
        <v>10</v>
      </c>
      <c r="B1454" s="4">
        <v>43276</v>
      </c>
      <c r="C1454" s="162">
        <v>76880.14</v>
      </c>
      <c r="F1454" s="162">
        <v>76880.14</v>
      </c>
    </row>
    <row r="1455" spans="1:6" x14ac:dyDescent="0.25">
      <c r="A1455" s="3" t="s">
        <v>11</v>
      </c>
      <c r="B1455" s="4">
        <v>43276</v>
      </c>
      <c r="C1455" s="162">
        <v>62692.27</v>
      </c>
      <c r="F1455" s="162">
        <v>62692.27</v>
      </c>
    </row>
    <row r="1456" spans="1:6" x14ac:dyDescent="0.25">
      <c r="A1456" s="3" t="s">
        <v>19</v>
      </c>
      <c r="B1456" s="4">
        <v>43276</v>
      </c>
      <c r="C1456" s="162">
        <v>225146.43</v>
      </c>
      <c r="F1456" s="162">
        <v>225146.43</v>
      </c>
    </row>
    <row r="1457" spans="1:6" x14ac:dyDescent="0.25">
      <c r="A1457" s="3" t="s">
        <v>16</v>
      </c>
      <c r="B1457" s="4">
        <v>43276</v>
      </c>
      <c r="C1457" s="162">
        <v>26303.53</v>
      </c>
      <c r="F1457" s="162">
        <v>26303.53</v>
      </c>
    </row>
    <row r="1458" spans="1:6" x14ac:dyDescent="0.25">
      <c r="A1458" s="3" t="s">
        <v>16</v>
      </c>
      <c r="B1458" s="4">
        <v>43277</v>
      </c>
      <c r="C1458" s="162">
        <v>11503.51</v>
      </c>
      <c r="F1458" s="162">
        <v>11503.51</v>
      </c>
    </row>
    <row r="1459" spans="1:6" x14ac:dyDescent="0.25">
      <c r="A1459" s="3" t="s">
        <v>22</v>
      </c>
      <c r="B1459" s="4">
        <v>43277</v>
      </c>
      <c r="C1459" s="162">
        <v>184082.15</v>
      </c>
      <c r="F1459" s="162">
        <v>184082.15</v>
      </c>
    </row>
    <row r="1460" spans="1:6" x14ac:dyDescent="0.25">
      <c r="A1460" s="3" t="s">
        <v>13</v>
      </c>
      <c r="B1460" s="4">
        <v>43277</v>
      </c>
      <c r="C1460" s="162">
        <v>5652.32</v>
      </c>
      <c r="F1460" s="162">
        <v>5652.32</v>
      </c>
    </row>
    <row r="1461" spans="1:6" x14ac:dyDescent="0.25">
      <c r="A1461" s="3" t="s">
        <v>12</v>
      </c>
      <c r="B1461" s="4">
        <v>43277</v>
      </c>
      <c r="C1461" s="162">
        <v>81147.31</v>
      </c>
      <c r="F1461" s="162">
        <v>81147.31</v>
      </c>
    </row>
    <row r="1462" spans="1:6" x14ac:dyDescent="0.25">
      <c r="A1462" s="3" t="s">
        <v>20</v>
      </c>
      <c r="B1462" s="4">
        <v>43277</v>
      </c>
      <c r="C1462" s="162">
        <v>42322</v>
      </c>
      <c r="F1462" s="162">
        <v>42322</v>
      </c>
    </row>
    <row r="1463" spans="1:6" x14ac:dyDescent="0.25">
      <c r="A1463" s="3" t="s">
        <v>21</v>
      </c>
      <c r="B1463" s="4">
        <v>43277</v>
      </c>
      <c r="C1463" s="162">
        <v>66891.360000000001</v>
      </c>
      <c r="F1463" s="162">
        <v>66891.360000000001</v>
      </c>
    </row>
    <row r="1464" spans="1:6" x14ac:dyDescent="0.25">
      <c r="A1464" s="3" t="s">
        <v>10</v>
      </c>
      <c r="B1464" s="4">
        <v>43277</v>
      </c>
      <c r="C1464" s="162">
        <v>17428.689999999999</v>
      </c>
      <c r="F1464" s="162">
        <v>17428.689999999999</v>
      </c>
    </row>
    <row r="1465" spans="1:6" x14ac:dyDescent="0.25">
      <c r="A1465" s="3" t="s">
        <v>15</v>
      </c>
      <c r="B1465" s="4">
        <v>43277</v>
      </c>
      <c r="C1465" s="162">
        <v>528668.97</v>
      </c>
      <c r="F1465" s="162">
        <v>528668.97</v>
      </c>
    </row>
    <row r="1466" spans="1:6" x14ac:dyDescent="0.25">
      <c r="A1466" s="3" t="s">
        <v>14</v>
      </c>
      <c r="B1466" s="4">
        <v>43277</v>
      </c>
      <c r="C1466" s="162">
        <v>40539.449999999997</v>
      </c>
      <c r="F1466" s="162">
        <v>40539.449999999997</v>
      </c>
    </row>
    <row r="1467" spans="1:6" x14ac:dyDescent="0.25">
      <c r="A1467" s="3" t="s">
        <v>19</v>
      </c>
      <c r="B1467" s="4">
        <v>43277</v>
      </c>
      <c r="C1467" s="162">
        <v>35713.230000000003</v>
      </c>
      <c r="F1467" s="162">
        <v>35713.230000000003</v>
      </c>
    </row>
    <row r="1468" spans="1:6" x14ac:dyDescent="0.25">
      <c r="A1468" s="3" t="s">
        <v>9</v>
      </c>
      <c r="B1468" s="4">
        <v>43277</v>
      </c>
      <c r="C1468" s="162">
        <v>45872.02</v>
      </c>
      <c r="F1468" s="162">
        <v>45872.02</v>
      </c>
    </row>
    <row r="1469" spans="1:6" x14ac:dyDescent="0.25">
      <c r="A1469" s="3" t="s">
        <v>6</v>
      </c>
      <c r="B1469" s="4">
        <v>43278</v>
      </c>
      <c r="C1469" s="162">
        <v>37727.699999999997</v>
      </c>
      <c r="F1469" s="162">
        <v>37727.699999999997</v>
      </c>
    </row>
    <row r="1470" spans="1:6" x14ac:dyDescent="0.25">
      <c r="A1470" s="3" t="s">
        <v>9</v>
      </c>
      <c r="B1470" s="4">
        <v>43278</v>
      </c>
      <c r="C1470" s="162">
        <v>194508.6</v>
      </c>
      <c r="F1470" s="162">
        <v>194508.6</v>
      </c>
    </row>
    <row r="1471" spans="1:6" x14ac:dyDescent="0.25">
      <c r="A1471" s="3" t="s">
        <v>8</v>
      </c>
      <c r="B1471" s="4">
        <v>43278</v>
      </c>
      <c r="C1471" s="162">
        <v>65724.19</v>
      </c>
      <c r="F1471" s="162">
        <v>65724.19</v>
      </c>
    </row>
    <row r="1472" spans="1:6" x14ac:dyDescent="0.25">
      <c r="A1472" s="3" t="s">
        <v>11</v>
      </c>
      <c r="B1472" s="4">
        <v>43278</v>
      </c>
      <c r="C1472" s="162">
        <v>22420.19</v>
      </c>
      <c r="F1472" s="162">
        <v>22420.19</v>
      </c>
    </row>
    <row r="1473" spans="1:6" x14ac:dyDescent="0.25">
      <c r="A1473" s="3" t="s">
        <v>7</v>
      </c>
      <c r="B1473" s="4">
        <v>43278</v>
      </c>
      <c r="C1473" s="162">
        <v>8117.45</v>
      </c>
      <c r="F1473" s="162">
        <v>8117.45</v>
      </c>
    </row>
    <row r="1474" spans="1:6" x14ac:dyDescent="0.25">
      <c r="A1474" s="3" t="s">
        <v>6</v>
      </c>
      <c r="B1474" s="4">
        <v>43279</v>
      </c>
      <c r="C1474" s="162">
        <v>46835.62</v>
      </c>
      <c r="F1474" s="162">
        <v>46835.62</v>
      </c>
    </row>
    <row r="1475" spans="1:6" x14ac:dyDescent="0.25">
      <c r="A1475" s="3" t="s">
        <v>7</v>
      </c>
      <c r="B1475" s="4">
        <v>43279</v>
      </c>
      <c r="C1475" s="162">
        <v>37079.17</v>
      </c>
      <c r="F1475" s="162">
        <v>37079.17</v>
      </c>
    </row>
    <row r="1476" spans="1:6" x14ac:dyDescent="0.25">
      <c r="A1476" s="3" t="s">
        <v>11</v>
      </c>
      <c r="B1476" s="4">
        <v>43279</v>
      </c>
      <c r="C1476" s="162">
        <v>32504.28</v>
      </c>
      <c r="F1476" s="162">
        <v>32504.28</v>
      </c>
    </row>
    <row r="1477" spans="1:6" x14ac:dyDescent="0.25">
      <c r="A1477" s="3" t="s">
        <v>6</v>
      </c>
      <c r="B1477" s="4">
        <v>43280</v>
      </c>
      <c r="C1477" s="162">
        <v>43751.23</v>
      </c>
      <c r="F1477" s="162">
        <v>43751.23</v>
      </c>
    </row>
    <row r="1478" spans="1:6" x14ac:dyDescent="0.25">
      <c r="A1478" s="3" t="s">
        <v>7</v>
      </c>
      <c r="B1478" s="4">
        <v>43280</v>
      </c>
      <c r="C1478" s="162">
        <v>43334.38</v>
      </c>
      <c r="F1478" s="162">
        <v>43334.38</v>
      </c>
    </row>
    <row r="1479" spans="1:6" x14ac:dyDescent="0.25">
      <c r="A1479" s="3" t="s">
        <v>11</v>
      </c>
      <c r="B1479" s="4">
        <v>43280</v>
      </c>
      <c r="C1479" s="162">
        <v>42368.31</v>
      </c>
      <c r="F1479" s="162">
        <v>42368.31</v>
      </c>
    </row>
    <row r="1480" spans="1:6" x14ac:dyDescent="0.25">
      <c r="A1480" s="3" t="s">
        <v>11</v>
      </c>
      <c r="B1480" s="4">
        <v>43283</v>
      </c>
      <c r="C1480" s="162">
        <v>97656.45</v>
      </c>
      <c r="F1480" s="162">
        <v>97656.45</v>
      </c>
    </row>
    <row r="1481" spans="1:6" x14ac:dyDescent="0.25">
      <c r="A1481" s="3" t="s">
        <v>6</v>
      </c>
      <c r="B1481" s="4">
        <v>43283</v>
      </c>
      <c r="C1481" s="162">
        <v>42189.18</v>
      </c>
      <c r="F1481" s="162">
        <v>42189.18</v>
      </c>
    </row>
    <row r="1482" spans="1:6" x14ac:dyDescent="0.25">
      <c r="A1482" s="3" t="s">
        <v>12</v>
      </c>
      <c r="B1482" s="4">
        <v>43284</v>
      </c>
      <c r="C1482" s="162">
        <v>83286.98</v>
      </c>
      <c r="F1482" s="162">
        <v>83286.98</v>
      </c>
    </row>
    <row r="1483" spans="1:6" x14ac:dyDescent="0.25">
      <c r="A1483" s="3" t="s">
        <v>7</v>
      </c>
      <c r="B1483" s="4">
        <v>43284</v>
      </c>
      <c r="C1483" s="162">
        <v>95514.47</v>
      </c>
      <c r="F1483" s="162">
        <v>95514.47</v>
      </c>
    </row>
    <row r="1484" spans="1:6" x14ac:dyDescent="0.25">
      <c r="A1484" s="3" t="s">
        <v>6</v>
      </c>
      <c r="B1484" s="4">
        <v>43284</v>
      </c>
      <c r="C1484" s="162">
        <v>58483.54</v>
      </c>
      <c r="F1484" s="162">
        <v>58483.54</v>
      </c>
    </row>
    <row r="1485" spans="1:6" x14ac:dyDescent="0.25">
      <c r="A1485" s="3" t="s">
        <v>8</v>
      </c>
      <c r="B1485" s="4">
        <v>43284</v>
      </c>
      <c r="C1485" s="162">
        <v>66784.62</v>
      </c>
      <c r="F1485" s="162">
        <v>66784.62</v>
      </c>
    </row>
    <row r="1486" spans="1:6" x14ac:dyDescent="0.25">
      <c r="A1486" s="3" t="s">
        <v>9</v>
      </c>
      <c r="B1486" s="4">
        <v>43284</v>
      </c>
      <c r="C1486" s="162">
        <v>43040.01</v>
      </c>
      <c r="F1486" s="162">
        <v>43040.01</v>
      </c>
    </row>
    <row r="1487" spans="1:6" x14ac:dyDescent="0.25">
      <c r="A1487" s="3" t="s">
        <v>11</v>
      </c>
      <c r="B1487" s="4">
        <v>43284</v>
      </c>
      <c r="C1487" s="162">
        <v>23184.99</v>
      </c>
      <c r="F1487" s="162">
        <v>23184.99</v>
      </c>
    </row>
    <row r="1488" spans="1:6" x14ac:dyDescent="0.25">
      <c r="A1488" s="3" t="s">
        <v>10</v>
      </c>
      <c r="B1488" s="4">
        <v>43284</v>
      </c>
      <c r="C1488" s="162">
        <v>168505.86</v>
      </c>
      <c r="F1488" s="162">
        <v>168505.86</v>
      </c>
    </row>
    <row r="1489" spans="1:6" x14ac:dyDescent="0.25">
      <c r="A1489" s="3" t="s">
        <v>6</v>
      </c>
      <c r="B1489" s="4">
        <v>43285</v>
      </c>
      <c r="C1489" s="162">
        <v>19651.7</v>
      </c>
      <c r="F1489" s="162">
        <v>19651.7</v>
      </c>
    </row>
    <row r="1490" spans="1:6" x14ac:dyDescent="0.25">
      <c r="A1490" s="3" t="s">
        <v>11</v>
      </c>
      <c r="B1490" s="4">
        <v>43285</v>
      </c>
      <c r="C1490" s="162">
        <v>23286.67</v>
      </c>
      <c r="F1490" s="162">
        <v>23286.67</v>
      </c>
    </row>
    <row r="1491" spans="1:6" x14ac:dyDescent="0.25">
      <c r="A1491" s="3" t="s">
        <v>6</v>
      </c>
      <c r="B1491" s="4">
        <v>43286</v>
      </c>
      <c r="C1491" s="162">
        <v>50916.99</v>
      </c>
      <c r="F1491" s="162">
        <v>50916.99</v>
      </c>
    </row>
    <row r="1492" spans="1:6" x14ac:dyDescent="0.25">
      <c r="A1492" s="3" t="s">
        <v>11</v>
      </c>
      <c r="B1492" s="4">
        <v>43286</v>
      </c>
      <c r="C1492" s="162">
        <v>27031.51</v>
      </c>
      <c r="F1492" s="162">
        <v>27031.51</v>
      </c>
    </row>
    <row r="1493" spans="1:6" x14ac:dyDescent="0.25">
      <c r="A1493" s="3" t="s">
        <v>7</v>
      </c>
      <c r="B1493" s="4">
        <v>43286</v>
      </c>
      <c r="C1493" s="162">
        <v>336876.53</v>
      </c>
      <c r="F1493" s="162">
        <v>336876.53</v>
      </c>
    </row>
    <row r="1494" spans="1:6" x14ac:dyDescent="0.25">
      <c r="A1494" s="3" t="s">
        <v>8</v>
      </c>
      <c r="B1494" s="4">
        <v>43287</v>
      </c>
      <c r="C1494" s="162">
        <v>152117.82</v>
      </c>
      <c r="F1494" s="162">
        <v>152117.82</v>
      </c>
    </row>
    <row r="1495" spans="1:6" x14ac:dyDescent="0.25">
      <c r="A1495" s="3" t="s">
        <v>11</v>
      </c>
      <c r="B1495" s="4">
        <v>43287</v>
      </c>
      <c r="C1495" s="162">
        <v>137827.89000000001</v>
      </c>
      <c r="F1495" s="162">
        <v>137827.89000000001</v>
      </c>
    </row>
    <row r="1496" spans="1:6" x14ac:dyDescent="0.25">
      <c r="A1496" s="3" t="s">
        <v>14</v>
      </c>
      <c r="B1496" s="4">
        <v>43287</v>
      </c>
      <c r="C1496" s="162">
        <v>1006270.07</v>
      </c>
      <c r="F1496" s="162">
        <v>1006270.07</v>
      </c>
    </row>
    <row r="1497" spans="1:6" x14ac:dyDescent="0.25">
      <c r="A1497" s="3" t="s">
        <v>10</v>
      </c>
      <c r="B1497" s="4">
        <v>43287</v>
      </c>
      <c r="C1497" s="162">
        <v>22105.97</v>
      </c>
      <c r="F1497" s="162">
        <v>22105.97</v>
      </c>
    </row>
    <row r="1498" spans="1:6" x14ac:dyDescent="0.25">
      <c r="A1498" s="3" t="s">
        <v>12</v>
      </c>
      <c r="B1498" s="4">
        <v>43287</v>
      </c>
      <c r="C1498" s="162">
        <v>82850.100000000006</v>
      </c>
      <c r="F1498" s="162">
        <v>82850.100000000006</v>
      </c>
    </row>
    <row r="1499" spans="1:6" x14ac:dyDescent="0.25">
      <c r="A1499" s="3" t="s">
        <v>7</v>
      </c>
      <c r="B1499" s="4">
        <v>43287</v>
      </c>
      <c r="C1499" s="162">
        <v>114771.39</v>
      </c>
      <c r="F1499" s="162">
        <v>114771.39</v>
      </c>
    </row>
    <row r="1500" spans="1:6" x14ac:dyDescent="0.25">
      <c r="A1500" s="3" t="s">
        <v>9</v>
      </c>
      <c r="B1500" s="4">
        <v>43287</v>
      </c>
      <c r="C1500" s="162">
        <v>36812.230000000003</v>
      </c>
      <c r="F1500" s="162">
        <v>36812.230000000003</v>
      </c>
    </row>
    <row r="1501" spans="1:6" x14ac:dyDescent="0.25">
      <c r="A1501" s="3" t="s">
        <v>6</v>
      </c>
      <c r="B1501" s="4">
        <v>43291</v>
      </c>
      <c r="C1501" s="162">
        <v>25161.08</v>
      </c>
      <c r="F1501" s="162">
        <v>25161.08</v>
      </c>
    </row>
    <row r="1502" spans="1:6" x14ac:dyDescent="0.25">
      <c r="A1502" s="3" t="s">
        <v>7</v>
      </c>
      <c r="B1502" s="4">
        <v>43291</v>
      </c>
      <c r="C1502" s="162">
        <v>459875.32</v>
      </c>
      <c r="F1502" s="162">
        <v>459875.32</v>
      </c>
    </row>
    <row r="1503" spans="1:6" x14ac:dyDescent="0.25">
      <c r="A1503" s="3" t="s">
        <v>9</v>
      </c>
      <c r="B1503" s="4">
        <v>43291</v>
      </c>
      <c r="C1503" s="162">
        <v>78902.960000000006</v>
      </c>
      <c r="F1503" s="162">
        <v>78902.960000000006</v>
      </c>
    </row>
    <row r="1504" spans="1:6" x14ac:dyDescent="0.25">
      <c r="A1504" s="3" t="s">
        <v>8</v>
      </c>
      <c r="B1504" s="4">
        <v>43291</v>
      </c>
      <c r="C1504" s="162">
        <v>9463.02</v>
      </c>
      <c r="F1504" s="162">
        <v>9463.02</v>
      </c>
    </row>
    <row r="1505" spans="1:6" x14ac:dyDescent="0.25">
      <c r="A1505" s="3" t="s">
        <v>10</v>
      </c>
      <c r="B1505" s="4">
        <v>43291</v>
      </c>
      <c r="C1505" s="162">
        <v>220759.47</v>
      </c>
      <c r="F1505" s="162">
        <v>220759.47</v>
      </c>
    </row>
    <row r="1506" spans="1:6" x14ac:dyDescent="0.25">
      <c r="A1506" s="3" t="s">
        <v>11</v>
      </c>
      <c r="B1506" s="4">
        <v>43291</v>
      </c>
      <c r="C1506" s="162">
        <v>106095.21</v>
      </c>
      <c r="F1506" s="162">
        <v>106095.21</v>
      </c>
    </row>
    <row r="1507" spans="1:6" x14ac:dyDescent="0.25">
      <c r="A1507" s="3" t="s">
        <v>14</v>
      </c>
      <c r="B1507" s="4">
        <v>43291</v>
      </c>
      <c r="C1507" s="162">
        <v>112443.58</v>
      </c>
      <c r="F1507" s="162">
        <v>112443.58</v>
      </c>
    </row>
    <row r="1508" spans="1:6" x14ac:dyDescent="0.25">
      <c r="A1508" s="3" t="s">
        <v>7</v>
      </c>
      <c r="B1508" s="4">
        <v>43292</v>
      </c>
      <c r="C1508" s="162">
        <v>14710.51</v>
      </c>
      <c r="F1508" s="162">
        <v>14710.51</v>
      </c>
    </row>
    <row r="1509" spans="1:6" x14ac:dyDescent="0.25">
      <c r="A1509" s="3" t="s">
        <v>11</v>
      </c>
      <c r="B1509" s="4">
        <v>43292</v>
      </c>
      <c r="C1509" s="162">
        <v>180748.15</v>
      </c>
      <c r="F1509" s="162">
        <v>180748.15</v>
      </c>
    </row>
    <row r="1510" spans="1:6" x14ac:dyDescent="0.25">
      <c r="A1510" s="3" t="s">
        <v>9</v>
      </c>
      <c r="B1510" s="4">
        <v>43292</v>
      </c>
      <c r="C1510" s="162">
        <v>194304.16</v>
      </c>
      <c r="F1510" s="162">
        <v>194304.16</v>
      </c>
    </row>
    <row r="1511" spans="1:6" x14ac:dyDescent="0.25">
      <c r="A1511" s="3" t="s">
        <v>8</v>
      </c>
      <c r="B1511" s="4">
        <v>43292</v>
      </c>
      <c r="C1511" s="162">
        <v>50179.54</v>
      </c>
      <c r="F1511" s="162">
        <v>50179.54</v>
      </c>
    </row>
    <row r="1512" spans="1:6" x14ac:dyDescent="0.25">
      <c r="A1512" s="3" t="s">
        <v>12</v>
      </c>
      <c r="B1512" s="4">
        <v>43292</v>
      </c>
      <c r="C1512" s="162">
        <v>47726.86</v>
      </c>
      <c r="F1512" s="162">
        <v>47726.86</v>
      </c>
    </row>
    <row r="1513" spans="1:6" x14ac:dyDescent="0.25">
      <c r="A1513" s="3" t="s">
        <v>6</v>
      </c>
      <c r="B1513" s="4">
        <v>43292</v>
      </c>
      <c r="C1513" s="162">
        <v>563140.84</v>
      </c>
      <c r="F1513" s="162">
        <v>563140.84</v>
      </c>
    </row>
    <row r="1514" spans="1:6" x14ac:dyDescent="0.25">
      <c r="A1514" s="3" t="s">
        <v>7</v>
      </c>
      <c r="B1514" s="4">
        <v>43097</v>
      </c>
      <c r="C1514" s="162">
        <v>70072.62</v>
      </c>
      <c r="F1514" s="162">
        <v>70072.62</v>
      </c>
    </row>
    <row r="1515" spans="1:6" x14ac:dyDescent="0.25">
      <c r="A1515" s="3" t="s">
        <v>11</v>
      </c>
      <c r="B1515" s="4">
        <v>43097</v>
      </c>
      <c r="C1515" s="162">
        <v>776683.92</v>
      </c>
      <c r="F1515" s="162">
        <v>776683.92</v>
      </c>
    </row>
    <row r="1516" spans="1:6" x14ac:dyDescent="0.25">
      <c r="A1516" s="3" t="s">
        <v>8</v>
      </c>
      <c r="B1516" s="4">
        <v>43097</v>
      </c>
      <c r="C1516" s="162">
        <v>18829.72</v>
      </c>
      <c r="D1516" s="162">
        <v>3598.62</v>
      </c>
      <c r="E1516" s="162">
        <v>95.65</v>
      </c>
      <c r="F1516" s="162">
        <v>15135.45</v>
      </c>
    </row>
    <row r="1517" spans="1:6" x14ac:dyDescent="0.25">
      <c r="A1517" s="3" t="s">
        <v>6</v>
      </c>
      <c r="B1517" s="4">
        <v>43097</v>
      </c>
      <c r="C1517" s="162">
        <v>152474.39000000001</v>
      </c>
      <c r="D1517" s="162">
        <v>1777.07</v>
      </c>
      <c r="E1517" s="162">
        <v>5.97</v>
      </c>
      <c r="F1517" s="162">
        <v>150691.35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49"/>
  <sheetViews>
    <sheetView workbookViewId="0"/>
  </sheetViews>
  <sheetFormatPr defaultRowHeight="15" x14ac:dyDescent="0.25"/>
  <cols>
    <col min="1" max="1" width="4" bestFit="1" customWidth="1"/>
    <col min="2" max="2" width="15.28515625" bestFit="1" customWidth="1"/>
    <col min="3" max="3" width="55.140625" bestFit="1" customWidth="1"/>
    <col min="4" max="4" width="12.85546875" bestFit="1" customWidth="1"/>
    <col min="5" max="5" width="10" bestFit="1" customWidth="1"/>
    <col min="6" max="6" width="12.7109375" style="164" hidden="1" customWidth="1"/>
    <col min="7" max="7" width="5.28515625" hidden="1" customWidth="1"/>
    <col min="8" max="8" width="13.85546875" bestFit="1" customWidth="1"/>
    <col min="9" max="9" width="2.28515625" customWidth="1"/>
    <col min="10" max="10" width="4" bestFit="1" customWidth="1"/>
    <col min="11" max="11" width="15.5703125" bestFit="1" customWidth="1"/>
    <col min="12" max="12" width="12.140625" bestFit="1" customWidth="1"/>
    <col min="13" max="13" width="17" bestFit="1" customWidth="1"/>
    <col min="14" max="14" width="5" hidden="1" customWidth="1"/>
    <col min="15" max="15" width="9.42578125" bestFit="1" customWidth="1"/>
    <col min="16" max="16" width="7.7109375" bestFit="1" customWidth="1"/>
    <col min="17" max="17" width="14" bestFit="1" customWidth="1"/>
    <col min="18" max="18" width="32" bestFit="1" customWidth="1"/>
    <col min="19" max="19" width="11.5703125" bestFit="1" customWidth="1"/>
    <col min="20" max="20" width="12.28515625" bestFit="1" customWidth="1"/>
    <col min="21" max="21" width="12.42578125" bestFit="1" customWidth="1"/>
    <col min="22" max="22" width="15" bestFit="1" customWidth="1"/>
    <col min="23" max="23" width="9.85546875" bestFit="1" customWidth="1"/>
    <col min="24" max="24" width="4" bestFit="1" customWidth="1"/>
    <col min="25" max="25" width="6.7109375" bestFit="1" customWidth="1"/>
    <col min="26" max="26" width="10" bestFit="1" customWidth="1"/>
    <col min="27" max="27" width="8.5703125" bestFit="1" customWidth="1"/>
  </cols>
  <sheetData>
    <row r="1" spans="1:27" ht="15.75" customHeight="1" thickBot="1" x14ac:dyDescent="0.3">
      <c r="O1" s="45">
        <v>1</v>
      </c>
      <c r="P1" s="45">
        <v>2</v>
      </c>
      <c r="Q1" s="45">
        <v>3</v>
      </c>
      <c r="R1" s="45">
        <v>4</v>
      </c>
      <c r="S1" s="45">
        <v>5</v>
      </c>
      <c r="T1" s="45">
        <v>6</v>
      </c>
      <c r="U1" s="45">
        <v>7</v>
      </c>
      <c r="V1" s="45">
        <v>8</v>
      </c>
      <c r="W1" s="45">
        <v>9</v>
      </c>
      <c r="X1" s="45">
        <v>10</v>
      </c>
      <c r="Y1" s="45">
        <v>11</v>
      </c>
      <c r="Z1" s="45">
        <v>12</v>
      </c>
      <c r="AA1" s="45">
        <v>13</v>
      </c>
    </row>
    <row r="2" spans="1:27" ht="15.75" customHeight="1" thickBot="1" x14ac:dyDescent="0.3">
      <c r="A2" s="18" t="s">
        <v>38</v>
      </c>
      <c r="B2" s="19" t="s">
        <v>39</v>
      </c>
      <c r="C2" s="19" t="s">
        <v>40</v>
      </c>
      <c r="D2" s="19" t="s">
        <v>41</v>
      </c>
      <c r="E2" s="19" t="s">
        <v>42</v>
      </c>
      <c r="F2" s="19"/>
      <c r="G2" s="19" t="s">
        <v>43</v>
      </c>
      <c r="H2" s="19" t="s">
        <v>44</v>
      </c>
      <c r="I2" s="43"/>
      <c r="J2" s="19" t="s">
        <v>38</v>
      </c>
      <c r="K2" s="19" t="s">
        <v>44</v>
      </c>
      <c r="L2" s="19" t="s">
        <v>45</v>
      </c>
      <c r="M2" s="19" t="s">
        <v>46</v>
      </c>
      <c r="N2" s="19" t="s">
        <v>47</v>
      </c>
      <c r="O2" s="19" t="s">
        <v>48</v>
      </c>
      <c r="P2" s="19" t="s">
        <v>49</v>
      </c>
      <c r="Q2" s="19" t="s">
        <v>50</v>
      </c>
      <c r="R2" s="19" t="s">
        <v>51</v>
      </c>
      <c r="S2" s="19" t="s">
        <v>52</v>
      </c>
      <c r="T2" s="19" t="s">
        <v>53</v>
      </c>
      <c r="U2" s="19" t="s">
        <v>54</v>
      </c>
      <c r="V2" s="19" t="s">
        <v>55</v>
      </c>
      <c r="W2" s="19" t="s">
        <v>56</v>
      </c>
      <c r="X2" s="19" t="s">
        <v>57</v>
      </c>
      <c r="Y2" s="19" t="s">
        <v>58</v>
      </c>
      <c r="Z2" s="19" t="s">
        <v>59</v>
      </c>
      <c r="AA2" s="19" t="s">
        <v>60</v>
      </c>
    </row>
    <row r="3" spans="1:27" x14ac:dyDescent="0.25">
      <c r="A3" s="21" t="s">
        <v>61</v>
      </c>
      <c r="B3" s="21" t="s">
        <v>62</v>
      </c>
      <c r="C3" s="21" t="s">
        <v>63</v>
      </c>
      <c r="D3" s="22">
        <v>1500000</v>
      </c>
      <c r="H3" s="134">
        <v>264232.98</v>
      </c>
      <c r="I3" s="44"/>
      <c r="J3" s="23" t="s">
        <v>64</v>
      </c>
      <c r="K3" s="134">
        <v>228205.5</v>
      </c>
      <c r="N3" s="24">
        <v>1</v>
      </c>
      <c r="O3" s="23" t="s">
        <v>65</v>
      </c>
      <c r="P3" s="23" t="s">
        <v>65</v>
      </c>
      <c r="Q3" s="23" t="s">
        <v>65</v>
      </c>
      <c r="R3" s="23" t="s">
        <v>65</v>
      </c>
      <c r="S3" s="34"/>
      <c r="T3" s="34"/>
      <c r="U3" s="34"/>
      <c r="V3" s="23" t="s">
        <v>65</v>
      </c>
      <c r="W3" s="23" t="s">
        <v>65</v>
      </c>
      <c r="X3" s="23" t="s">
        <v>65</v>
      </c>
      <c r="Y3" s="23" t="s">
        <v>65</v>
      </c>
      <c r="Z3" s="23" t="s">
        <v>65</v>
      </c>
      <c r="AA3" s="23" t="s">
        <v>65</v>
      </c>
    </row>
    <row r="4" spans="1:27" x14ac:dyDescent="0.25">
      <c r="A4" s="21" t="s">
        <v>61</v>
      </c>
      <c r="B4" s="21" t="s">
        <v>66</v>
      </c>
      <c r="C4" s="21" t="s">
        <v>67</v>
      </c>
      <c r="H4" s="134">
        <v>0</v>
      </c>
      <c r="I4" s="44"/>
      <c r="J4" s="23" t="s">
        <v>64</v>
      </c>
      <c r="K4" s="134">
        <v>285172.59000000003</v>
      </c>
      <c r="N4" s="24">
        <v>2</v>
      </c>
      <c r="O4" s="23" t="s">
        <v>65</v>
      </c>
      <c r="P4" s="23" t="s">
        <v>65</v>
      </c>
      <c r="Q4" s="35"/>
      <c r="R4" s="23" t="s">
        <v>65</v>
      </c>
      <c r="S4" s="23" t="s">
        <v>65</v>
      </c>
      <c r="T4" s="23" t="s">
        <v>65</v>
      </c>
      <c r="U4" s="23" t="s">
        <v>65</v>
      </c>
      <c r="V4" s="35"/>
      <c r="W4" s="23" t="s">
        <v>65</v>
      </c>
      <c r="Y4" s="23" t="s">
        <v>65</v>
      </c>
      <c r="Z4" s="23" t="s">
        <v>65</v>
      </c>
      <c r="AA4" s="23" t="s">
        <v>65</v>
      </c>
    </row>
    <row r="5" spans="1:27" x14ac:dyDescent="0.25">
      <c r="A5" s="21" t="s">
        <v>61</v>
      </c>
      <c r="B5" s="21" t="s">
        <v>68</v>
      </c>
      <c r="C5" s="21" t="s">
        <v>69</v>
      </c>
      <c r="H5" s="134">
        <v>101100.59</v>
      </c>
      <c r="I5" s="44"/>
      <c r="J5" s="23" t="s">
        <v>64</v>
      </c>
      <c r="K5" s="134">
        <v>0</v>
      </c>
      <c r="N5" s="24">
        <v>3</v>
      </c>
      <c r="O5" s="23" t="s">
        <v>65</v>
      </c>
      <c r="P5" s="23" t="s">
        <v>65</v>
      </c>
      <c r="Q5" s="35"/>
      <c r="R5" s="23" t="s">
        <v>65</v>
      </c>
      <c r="S5" s="23" t="s">
        <v>65</v>
      </c>
      <c r="T5" s="23" t="s">
        <v>65</v>
      </c>
      <c r="U5" s="23" t="s">
        <v>65</v>
      </c>
      <c r="V5" s="35"/>
      <c r="W5" s="23" t="s">
        <v>65</v>
      </c>
      <c r="Y5" s="23" t="s">
        <v>65</v>
      </c>
      <c r="Z5" s="23" t="s">
        <v>65</v>
      </c>
      <c r="AA5" s="23" t="s">
        <v>65</v>
      </c>
    </row>
    <row r="6" spans="1:27" x14ac:dyDescent="0.25">
      <c r="A6" s="28"/>
      <c r="B6" s="28"/>
      <c r="C6" s="28"/>
      <c r="D6" s="28"/>
      <c r="E6" s="28"/>
      <c r="F6" s="29" t="s">
        <v>70</v>
      </c>
      <c r="G6" s="30">
        <v>1.06E-2</v>
      </c>
      <c r="H6" s="135">
        <v>365333.57</v>
      </c>
      <c r="I6" s="44"/>
      <c r="J6" s="32"/>
      <c r="K6" s="135">
        <v>513378.09</v>
      </c>
      <c r="L6" s="31">
        <v>634666.43000000005</v>
      </c>
      <c r="M6" s="21" t="s">
        <v>71</v>
      </c>
      <c r="N6" s="24">
        <v>0</v>
      </c>
    </row>
    <row r="7" spans="1:27" x14ac:dyDescent="0.25">
      <c r="A7" s="21" t="s">
        <v>61</v>
      </c>
      <c r="B7" s="21" t="s">
        <v>72</v>
      </c>
      <c r="C7" s="21" t="s">
        <v>73</v>
      </c>
      <c r="D7" s="22">
        <v>2000000</v>
      </c>
      <c r="H7" s="134">
        <v>84265.34</v>
      </c>
      <c r="I7" s="44"/>
      <c r="J7" s="21" t="s">
        <v>64</v>
      </c>
      <c r="K7" s="134">
        <v>79029.42</v>
      </c>
      <c r="N7" s="24">
        <v>4</v>
      </c>
      <c r="O7" s="21" t="s">
        <v>65</v>
      </c>
      <c r="P7" s="35"/>
      <c r="Q7" s="35"/>
      <c r="R7" s="21" t="s">
        <v>65</v>
      </c>
      <c r="S7" s="35"/>
      <c r="T7" s="35"/>
      <c r="U7" s="35"/>
      <c r="V7" s="35"/>
      <c r="W7" s="35"/>
      <c r="X7" s="35"/>
      <c r="Y7" s="35"/>
      <c r="Z7" s="35"/>
      <c r="AA7" s="35"/>
    </row>
    <row r="8" spans="1:27" x14ac:dyDescent="0.25">
      <c r="A8" s="21" t="s">
        <v>61</v>
      </c>
      <c r="B8" s="21" t="s">
        <v>74</v>
      </c>
      <c r="C8" s="21" t="s">
        <v>73</v>
      </c>
      <c r="H8" s="134">
        <v>1007389.88</v>
      </c>
      <c r="I8" s="44"/>
      <c r="J8" s="21" t="s">
        <v>64</v>
      </c>
      <c r="K8" s="134">
        <v>252149.49</v>
      </c>
      <c r="N8" s="24">
        <v>5</v>
      </c>
      <c r="O8" s="21" t="s">
        <v>65</v>
      </c>
      <c r="P8" s="35"/>
      <c r="Q8" s="35"/>
      <c r="R8" s="21" t="s">
        <v>65</v>
      </c>
      <c r="S8" s="35"/>
      <c r="T8" s="35"/>
      <c r="U8" s="35"/>
      <c r="V8" s="35"/>
      <c r="W8" s="35"/>
      <c r="X8" s="35"/>
      <c r="Y8" s="35"/>
      <c r="Z8" s="35"/>
      <c r="AA8" s="35"/>
    </row>
    <row r="9" spans="1:27" x14ac:dyDescent="0.25">
      <c r="A9" s="28"/>
      <c r="B9" s="28"/>
      <c r="C9" s="28"/>
      <c r="D9" s="28"/>
      <c r="E9" s="28"/>
      <c r="F9" s="29" t="s">
        <v>70</v>
      </c>
      <c r="G9" s="30">
        <v>3.1600000000000003E-2</v>
      </c>
      <c r="H9" s="135">
        <v>1091655.22</v>
      </c>
      <c r="I9" s="44"/>
      <c r="J9" s="32"/>
      <c r="K9" s="135">
        <v>331178.90999999997</v>
      </c>
      <c r="L9" s="31">
        <v>577165.87</v>
      </c>
      <c r="M9" s="21" t="s">
        <v>71</v>
      </c>
      <c r="N9" s="24">
        <v>0</v>
      </c>
    </row>
    <row r="10" spans="1:27" x14ac:dyDescent="0.25">
      <c r="A10" s="37" t="s">
        <v>61</v>
      </c>
      <c r="B10" s="37" t="s">
        <v>75</v>
      </c>
      <c r="C10" s="37" t="s">
        <v>76</v>
      </c>
      <c r="D10" s="38">
        <v>9000000</v>
      </c>
      <c r="E10" s="39"/>
      <c r="F10" s="37" t="s">
        <v>18</v>
      </c>
      <c r="G10" s="39"/>
      <c r="H10" s="136">
        <v>0</v>
      </c>
      <c r="I10" s="44"/>
      <c r="J10" s="37" t="s">
        <v>64</v>
      </c>
      <c r="K10" s="136">
        <v>0</v>
      </c>
      <c r="L10" s="39"/>
      <c r="M10" s="37" t="s">
        <v>77</v>
      </c>
      <c r="N10" s="24">
        <v>6</v>
      </c>
      <c r="S10" s="23" t="s">
        <v>65</v>
      </c>
    </row>
    <row r="11" spans="1:27" x14ac:dyDescent="0.25">
      <c r="A11" s="21" t="s">
        <v>61</v>
      </c>
      <c r="B11" s="21" t="s">
        <v>78</v>
      </c>
      <c r="C11" s="21" t="s">
        <v>79</v>
      </c>
      <c r="H11" s="134">
        <v>734283.59</v>
      </c>
      <c r="I11" s="44"/>
      <c r="J11" s="21" t="s">
        <v>64</v>
      </c>
      <c r="K11" s="134">
        <v>4914698.21</v>
      </c>
      <c r="N11" s="24">
        <v>7</v>
      </c>
      <c r="O11" s="23" t="s">
        <v>65</v>
      </c>
      <c r="P11" s="23" t="s">
        <v>65</v>
      </c>
      <c r="Q11" s="35"/>
      <c r="R11" s="23" t="s">
        <v>65</v>
      </c>
      <c r="S11" s="35"/>
      <c r="T11" s="35"/>
      <c r="U11" s="35"/>
      <c r="V11" s="23" t="s">
        <v>65</v>
      </c>
      <c r="W11" s="23" t="s">
        <v>65</v>
      </c>
      <c r="X11" s="23" t="s">
        <v>65</v>
      </c>
      <c r="Y11" s="23" t="s">
        <v>65</v>
      </c>
      <c r="Z11" s="23" t="s">
        <v>65</v>
      </c>
      <c r="AA11" s="23" t="s">
        <v>65</v>
      </c>
    </row>
    <row r="12" spans="1:27" x14ac:dyDescent="0.25">
      <c r="A12" s="28"/>
      <c r="B12" s="28"/>
      <c r="C12" s="28"/>
      <c r="D12" s="28"/>
      <c r="E12" s="28"/>
      <c r="F12" s="29" t="s">
        <v>70</v>
      </c>
      <c r="G12" s="30">
        <v>2.12E-2</v>
      </c>
      <c r="H12" s="135">
        <v>734283.59</v>
      </c>
      <c r="I12" s="44"/>
      <c r="J12" s="32"/>
      <c r="K12" s="135">
        <v>4914698.21</v>
      </c>
      <c r="L12" s="31">
        <v>3351018.2</v>
      </c>
      <c r="M12" s="21" t="s">
        <v>71</v>
      </c>
      <c r="N12" s="24">
        <v>0</v>
      </c>
    </row>
    <row r="13" spans="1:27" x14ac:dyDescent="0.25">
      <c r="A13" s="21" t="s">
        <v>61</v>
      </c>
      <c r="B13" s="21" t="s">
        <v>80</v>
      </c>
      <c r="C13" s="21" t="s">
        <v>81</v>
      </c>
      <c r="D13" s="22">
        <v>6000000</v>
      </c>
      <c r="H13" s="134">
        <v>10000.969999999999</v>
      </c>
      <c r="I13" s="44"/>
      <c r="J13" s="21" t="s">
        <v>64</v>
      </c>
      <c r="K13" s="134">
        <v>1283273.69</v>
      </c>
      <c r="N13" s="24">
        <v>8</v>
      </c>
      <c r="O13" s="21" t="s">
        <v>65</v>
      </c>
      <c r="P13" s="21" t="s">
        <v>65</v>
      </c>
      <c r="Q13" s="21" t="s">
        <v>65</v>
      </c>
      <c r="R13" s="21" t="s">
        <v>65</v>
      </c>
      <c r="S13" s="35"/>
      <c r="T13" s="21" t="s">
        <v>65</v>
      </c>
      <c r="U13" s="35"/>
      <c r="V13" s="35"/>
      <c r="W13" s="21" t="s">
        <v>65</v>
      </c>
      <c r="X13" s="21" t="s">
        <v>65</v>
      </c>
      <c r="Y13" s="21" t="s">
        <v>65</v>
      </c>
      <c r="Z13" s="21" t="s">
        <v>65</v>
      </c>
      <c r="AA13" s="35"/>
    </row>
    <row r="14" spans="1:27" x14ac:dyDescent="0.25">
      <c r="A14" s="21" t="s">
        <v>61</v>
      </c>
      <c r="B14" s="21" t="s">
        <v>82</v>
      </c>
      <c r="C14" s="21" t="s">
        <v>83</v>
      </c>
      <c r="H14" s="134">
        <v>0</v>
      </c>
      <c r="I14" s="44"/>
      <c r="J14" s="21" t="s">
        <v>64</v>
      </c>
      <c r="K14" s="134">
        <v>48373.91</v>
      </c>
      <c r="N14" s="24">
        <v>9</v>
      </c>
      <c r="O14" s="21" t="s">
        <v>65</v>
      </c>
      <c r="P14" s="35"/>
      <c r="Q14" s="35"/>
      <c r="R14" s="35"/>
      <c r="S14" s="35"/>
      <c r="T14" s="35"/>
      <c r="U14" s="35"/>
      <c r="V14" s="35"/>
      <c r="W14" s="21" t="s">
        <v>65</v>
      </c>
      <c r="X14" s="21" t="s">
        <v>65</v>
      </c>
      <c r="Y14" s="21" t="s">
        <v>65</v>
      </c>
      <c r="Z14" s="21" t="s">
        <v>65</v>
      </c>
      <c r="AA14" s="35"/>
    </row>
    <row r="15" spans="1:27" x14ac:dyDescent="0.25">
      <c r="A15" s="28"/>
      <c r="B15" s="28"/>
      <c r="C15" s="28"/>
      <c r="D15" s="28"/>
      <c r="E15" s="28"/>
      <c r="F15" s="29" t="s">
        <v>70</v>
      </c>
      <c r="G15" s="30">
        <v>2.9999999999999997E-4</v>
      </c>
      <c r="H15" s="135">
        <v>10000.969999999999</v>
      </c>
      <c r="I15" s="44"/>
      <c r="J15" s="32"/>
      <c r="K15" s="135">
        <v>1331647.6000000001</v>
      </c>
      <c r="L15" s="31">
        <v>4658351.43</v>
      </c>
      <c r="M15" s="21" t="s">
        <v>71</v>
      </c>
      <c r="N15" s="24">
        <v>0</v>
      </c>
    </row>
    <row r="16" spans="1:27" x14ac:dyDescent="0.25">
      <c r="A16" s="21" t="s">
        <v>61</v>
      </c>
      <c r="B16" s="21" t="s">
        <v>84</v>
      </c>
      <c r="C16" s="21" t="s">
        <v>85</v>
      </c>
      <c r="D16" s="22">
        <v>1500000</v>
      </c>
      <c r="G16" s="33">
        <v>0</v>
      </c>
      <c r="H16" s="134">
        <v>0</v>
      </c>
      <c r="I16" s="44"/>
      <c r="J16" s="21" t="s">
        <v>64</v>
      </c>
      <c r="K16" s="134">
        <v>346507.63</v>
      </c>
      <c r="N16" s="24">
        <v>10</v>
      </c>
      <c r="O16" s="21" t="s">
        <v>65</v>
      </c>
      <c r="P16" s="21" t="s">
        <v>65</v>
      </c>
      <c r="Q16" s="35"/>
      <c r="R16" s="35"/>
      <c r="S16" s="35"/>
      <c r="T16" s="35"/>
      <c r="U16" s="35"/>
      <c r="V16" s="21" t="s">
        <v>65</v>
      </c>
      <c r="W16" s="21" t="s">
        <v>65</v>
      </c>
      <c r="X16" s="21" t="s">
        <v>65</v>
      </c>
      <c r="Y16" s="21" t="s">
        <v>65</v>
      </c>
      <c r="Z16" s="21" t="s">
        <v>65</v>
      </c>
      <c r="AA16" s="35"/>
    </row>
    <row r="17" spans="1:27" x14ac:dyDescent="0.25">
      <c r="A17" s="37" t="s">
        <v>61</v>
      </c>
      <c r="B17" s="37" t="s">
        <v>86</v>
      </c>
      <c r="C17" s="37" t="s">
        <v>87</v>
      </c>
      <c r="D17" s="39"/>
      <c r="E17" s="39"/>
      <c r="F17" s="39"/>
      <c r="G17" s="40">
        <v>0</v>
      </c>
      <c r="H17" s="136">
        <v>0</v>
      </c>
      <c r="I17" s="44"/>
      <c r="J17" s="37" t="s">
        <v>64</v>
      </c>
      <c r="K17" s="136">
        <v>0</v>
      </c>
      <c r="L17" s="41">
        <v>0</v>
      </c>
      <c r="M17" s="37" t="s">
        <v>77</v>
      </c>
      <c r="N17" s="24">
        <v>11</v>
      </c>
      <c r="O17" s="21" t="s">
        <v>65</v>
      </c>
      <c r="P17" s="21" t="s">
        <v>65</v>
      </c>
      <c r="Q17" s="21" t="s">
        <v>65</v>
      </c>
      <c r="R17" s="35"/>
      <c r="S17" s="35"/>
      <c r="T17" s="35"/>
      <c r="U17" s="35"/>
      <c r="V17" s="21" t="s">
        <v>65</v>
      </c>
      <c r="W17" s="21" t="s">
        <v>65</v>
      </c>
      <c r="X17" s="21" t="s">
        <v>65</v>
      </c>
      <c r="Y17" s="21" t="s">
        <v>65</v>
      </c>
      <c r="Z17" s="21" t="s">
        <v>65</v>
      </c>
      <c r="AA17" s="35"/>
    </row>
    <row r="18" spans="1:27" x14ac:dyDescent="0.25">
      <c r="A18" s="28"/>
      <c r="B18" s="28"/>
      <c r="C18" s="28"/>
      <c r="D18" s="28"/>
      <c r="E18" s="28"/>
      <c r="F18" s="29" t="s">
        <v>70</v>
      </c>
      <c r="G18" s="30">
        <v>0</v>
      </c>
      <c r="H18" s="135">
        <v>0</v>
      </c>
      <c r="I18" s="44"/>
      <c r="J18" s="32"/>
      <c r="K18" s="135">
        <v>346507.63</v>
      </c>
      <c r="L18" s="31">
        <v>1153492.3700000001</v>
      </c>
      <c r="M18" s="21" t="s">
        <v>71</v>
      </c>
      <c r="N18" s="24">
        <v>0</v>
      </c>
    </row>
    <row r="19" spans="1:27" x14ac:dyDescent="0.25">
      <c r="A19" s="21" t="s">
        <v>61</v>
      </c>
      <c r="B19" s="21" t="s">
        <v>88</v>
      </c>
      <c r="C19" s="21" t="s">
        <v>89</v>
      </c>
      <c r="D19" s="22">
        <v>1500000</v>
      </c>
      <c r="G19" s="33">
        <v>0</v>
      </c>
      <c r="H19" s="134">
        <v>0</v>
      </c>
      <c r="I19" s="44"/>
      <c r="J19" s="21" t="s">
        <v>64</v>
      </c>
      <c r="K19" s="134">
        <v>86227.68</v>
      </c>
      <c r="N19" s="24">
        <v>12</v>
      </c>
      <c r="O19" s="21" t="s">
        <v>65</v>
      </c>
      <c r="P19" s="21" t="s">
        <v>65</v>
      </c>
      <c r="Q19" s="21" t="s">
        <v>65</v>
      </c>
      <c r="R19" s="21" t="s">
        <v>65</v>
      </c>
      <c r="S19" s="35"/>
      <c r="T19" s="21" t="s">
        <v>65</v>
      </c>
      <c r="V19" s="21" t="s">
        <v>65</v>
      </c>
      <c r="W19" s="21" t="s">
        <v>65</v>
      </c>
      <c r="X19" s="21" t="s">
        <v>65</v>
      </c>
      <c r="Y19" s="21" t="s">
        <v>65</v>
      </c>
      <c r="Z19" s="21" t="s">
        <v>65</v>
      </c>
      <c r="AA19" s="35"/>
    </row>
    <row r="20" spans="1:27" x14ac:dyDescent="0.25">
      <c r="A20" s="21" t="s">
        <v>61</v>
      </c>
      <c r="B20" s="21" t="s">
        <v>90</v>
      </c>
      <c r="C20" s="21" t="s">
        <v>91</v>
      </c>
      <c r="G20" s="33">
        <v>4.4000000000000003E-3</v>
      </c>
      <c r="H20" s="134">
        <v>153485.26</v>
      </c>
      <c r="I20" s="44"/>
      <c r="J20" s="21" t="s">
        <v>64</v>
      </c>
      <c r="K20" s="134">
        <v>1648319.34</v>
      </c>
      <c r="N20" s="24">
        <v>13</v>
      </c>
      <c r="O20" s="21" t="s">
        <v>65</v>
      </c>
      <c r="P20" s="35"/>
      <c r="Q20" s="35"/>
      <c r="R20" s="35"/>
      <c r="S20" s="35"/>
      <c r="T20" s="35"/>
      <c r="U20" s="35"/>
      <c r="V20" s="35"/>
      <c r="W20" s="21" t="s">
        <v>65</v>
      </c>
      <c r="X20" s="21" t="s">
        <v>65</v>
      </c>
      <c r="Y20" s="21" t="s">
        <v>65</v>
      </c>
      <c r="Z20" s="35"/>
      <c r="AA20" s="35"/>
    </row>
    <row r="21" spans="1:27" x14ac:dyDescent="0.25">
      <c r="A21" s="37" t="s">
        <v>61</v>
      </c>
      <c r="B21" s="37" t="s">
        <v>92</v>
      </c>
      <c r="C21" s="37" t="s">
        <v>93</v>
      </c>
      <c r="D21" s="39"/>
      <c r="E21" s="38">
        <v>500000</v>
      </c>
      <c r="F21" s="39"/>
      <c r="G21" s="40">
        <v>0</v>
      </c>
      <c r="H21" s="136">
        <v>0</v>
      </c>
      <c r="I21" s="44"/>
      <c r="J21" s="37" t="s">
        <v>64</v>
      </c>
      <c r="K21" s="136">
        <v>0</v>
      </c>
      <c r="L21" s="42">
        <v>500000</v>
      </c>
      <c r="M21" s="37" t="s">
        <v>77</v>
      </c>
      <c r="N21" s="24">
        <v>14</v>
      </c>
      <c r="O21" s="21" t="s">
        <v>65</v>
      </c>
      <c r="P21" s="35"/>
      <c r="Q21" s="35"/>
      <c r="R21" s="21" t="s">
        <v>65</v>
      </c>
      <c r="S21" s="35"/>
      <c r="T21" s="35"/>
      <c r="U21" s="35"/>
      <c r="V21" s="35"/>
      <c r="W21" s="35"/>
      <c r="X21" s="35"/>
      <c r="Y21" s="35"/>
      <c r="Z21" s="35"/>
      <c r="AA21" s="35"/>
    </row>
    <row r="22" spans="1:27" x14ac:dyDescent="0.25">
      <c r="A22" s="21" t="s">
        <v>61</v>
      </c>
      <c r="B22" s="21" t="s">
        <v>94</v>
      </c>
      <c r="C22" s="21" t="s">
        <v>95</v>
      </c>
      <c r="E22" s="22">
        <v>160000</v>
      </c>
      <c r="G22" s="33">
        <v>0</v>
      </c>
      <c r="H22" s="134">
        <v>0</v>
      </c>
      <c r="I22" s="44"/>
      <c r="J22" s="21" t="s">
        <v>64</v>
      </c>
      <c r="K22" s="134">
        <v>230941.79</v>
      </c>
      <c r="L22" s="25">
        <v>-70941.789999999994</v>
      </c>
      <c r="M22" s="21" t="s">
        <v>96</v>
      </c>
      <c r="N22" s="24">
        <v>15</v>
      </c>
      <c r="O22" s="36"/>
      <c r="P22" s="35"/>
      <c r="Q22" s="21" t="s">
        <v>65</v>
      </c>
      <c r="R22" s="21" t="s">
        <v>65</v>
      </c>
      <c r="S22" s="21" t="s">
        <v>65</v>
      </c>
      <c r="T22" s="21" t="s">
        <v>65</v>
      </c>
      <c r="U22" s="21" t="s">
        <v>65</v>
      </c>
      <c r="V22" s="21" t="s">
        <v>65</v>
      </c>
      <c r="W22" s="21" t="s">
        <v>65</v>
      </c>
      <c r="X22" s="21" t="s">
        <v>65</v>
      </c>
      <c r="Y22" s="35"/>
      <c r="Z22" s="35"/>
      <c r="AA22" s="35"/>
    </row>
    <row r="23" spans="1:27" x14ac:dyDescent="0.25">
      <c r="A23" s="37" t="s">
        <v>61</v>
      </c>
      <c r="B23" s="37" t="s">
        <v>97</v>
      </c>
      <c r="C23" s="37" t="s">
        <v>98</v>
      </c>
      <c r="D23" s="39"/>
      <c r="E23" s="38">
        <v>700000</v>
      </c>
      <c r="F23" s="39"/>
      <c r="G23" s="40">
        <v>0</v>
      </c>
      <c r="H23" s="136">
        <v>0</v>
      </c>
      <c r="I23" s="44"/>
      <c r="J23" s="37" t="s">
        <v>64</v>
      </c>
      <c r="K23" s="136">
        <v>0</v>
      </c>
      <c r="L23" s="42">
        <v>700000</v>
      </c>
      <c r="M23" s="37" t="s">
        <v>77</v>
      </c>
      <c r="N23" s="24">
        <v>16</v>
      </c>
      <c r="O23" s="21" t="s">
        <v>65</v>
      </c>
      <c r="P23" s="35"/>
      <c r="Q23" s="35"/>
      <c r="R23" s="21" t="s">
        <v>65</v>
      </c>
      <c r="S23" s="21" t="s">
        <v>65</v>
      </c>
      <c r="T23" s="21" t="s">
        <v>65</v>
      </c>
      <c r="U23" s="21" t="s">
        <v>65</v>
      </c>
      <c r="V23" s="21" t="s">
        <v>65</v>
      </c>
      <c r="W23" s="21" t="s">
        <v>65</v>
      </c>
      <c r="X23" s="35"/>
      <c r="Y23" s="35"/>
      <c r="Z23" s="35"/>
      <c r="AA23" s="35"/>
    </row>
    <row r="24" spans="1:27" x14ac:dyDescent="0.25">
      <c r="A24" s="37" t="s">
        <v>61</v>
      </c>
      <c r="B24" s="37" t="s">
        <v>99</v>
      </c>
      <c r="C24" s="37" t="s">
        <v>100</v>
      </c>
      <c r="D24" s="39"/>
      <c r="E24" s="38">
        <v>1500000</v>
      </c>
      <c r="F24" s="39"/>
      <c r="G24" s="40">
        <v>0</v>
      </c>
      <c r="H24" s="136">
        <v>0</v>
      </c>
      <c r="I24" s="44"/>
      <c r="J24" s="37" t="s">
        <v>64</v>
      </c>
      <c r="K24" s="136">
        <v>0</v>
      </c>
      <c r="L24" s="42">
        <v>1500000</v>
      </c>
      <c r="M24" s="37" t="s">
        <v>77</v>
      </c>
      <c r="N24" s="24">
        <v>17</v>
      </c>
      <c r="O24" s="21" t="s">
        <v>65</v>
      </c>
      <c r="P24" s="35"/>
      <c r="Q24" s="35"/>
      <c r="R24" s="21" t="s">
        <v>65</v>
      </c>
      <c r="S24" s="35"/>
      <c r="T24" s="35"/>
      <c r="U24" s="35"/>
      <c r="V24" s="35"/>
      <c r="W24" s="35"/>
      <c r="X24" s="35"/>
      <c r="Y24" s="35"/>
      <c r="Z24" s="35"/>
      <c r="AA24" s="35"/>
    </row>
    <row r="25" spans="1:27" x14ac:dyDescent="0.25">
      <c r="A25" s="37" t="s">
        <v>61</v>
      </c>
      <c r="B25" s="37" t="s">
        <v>101</v>
      </c>
      <c r="C25" s="37" t="s">
        <v>102</v>
      </c>
      <c r="D25" s="39"/>
      <c r="E25" s="38">
        <v>1500000</v>
      </c>
      <c r="F25" s="39"/>
      <c r="G25" s="40">
        <v>0</v>
      </c>
      <c r="H25" s="136">
        <v>0</v>
      </c>
      <c r="I25" s="44"/>
      <c r="J25" s="37" t="s">
        <v>64</v>
      </c>
      <c r="K25" s="136">
        <v>0</v>
      </c>
      <c r="L25" s="42">
        <v>1500000</v>
      </c>
      <c r="M25" s="37" t="s">
        <v>77</v>
      </c>
      <c r="N25" s="24">
        <v>18</v>
      </c>
      <c r="O25" s="21" t="s">
        <v>65</v>
      </c>
      <c r="P25" s="21" t="s">
        <v>65</v>
      </c>
      <c r="Q25" s="21" t="s">
        <v>65</v>
      </c>
      <c r="R25" s="21" t="s">
        <v>65</v>
      </c>
      <c r="S25" s="35"/>
      <c r="T25" s="35"/>
      <c r="U25" s="35"/>
      <c r="V25" s="35"/>
      <c r="W25" s="35"/>
      <c r="X25" s="35"/>
      <c r="Y25" s="21" t="s">
        <v>65</v>
      </c>
      <c r="Z25" s="21" t="s">
        <v>65</v>
      </c>
      <c r="AA25" s="35"/>
    </row>
    <row r="26" spans="1:27" x14ac:dyDescent="0.25">
      <c r="A26" s="37" t="s">
        <v>61</v>
      </c>
      <c r="B26" s="41">
        <v>0</v>
      </c>
      <c r="C26" s="37" t="s">
        <v>103</v>
      </c>
      <c r="D26" s="39"/>
      <c r="E26" s="38">
        <v>100000</v>
      </c>
      <c r="F26" s="39"/>
      <c r="G26" s="40">
        <v>0</v>
      </c>
      <c r="H26" s="136">
        <v>0</v>
      </c>
      <c r="I26" s="44"/>
      <c r="J26" s="37" t="s">
        <v>64</v>
      </c>
      <c r="K26" s="136">
        <v>0</v>
      </c>
      <c r="L26" s="42">
        <v>100000</v>
      </c>
      <c r="M26" s="37" t="s">
        <v>77</v>
      </c>
      <c r="N26" s="24">
        <v>19</v>
      </c>
      <c r="O26" s="21" t="s">
        <v>65</v>
      </c>
      <c r="P26" s="21" t="s">
        <v>65</v>
      </c>
      <c r="Q26" s="21" t="s">
        <v>65</v>
      </c>
      <c r="R26" s="21" t="s">
        <v>65</v>
      </c>
      <c r="S26" s="35"/>
      <c r="T26" s="35"/>
      <c r="U26" s="35"/>
      <c r="V26" s="35"/>
      <c r="W26" s="35"/>
      <c r="X26" s="35"/>
      <c r="Y26" s="21" t="s">
        <v>65</v>
      </c>
      <c r="Z26" s="35"/>
      <c r="AA26" s="35"/>
    </row>
    <row r="27" spans="1:27" x14ac:dyDescent="0.25">
      <c r="A27" s="21" t="s">
        <v>61</v>
      </c>
      <c r="B27" s="21" t="s">
        <v>104</v>
      </c>
      <c r="C27" s="21" t="s">
        <v>105</v>
      </c>
      <c r="E27" s="22">
        <v>400000</v>
      </c>
      <c r="G27" s="33">
        <v>4.4000000000000003E-3</v>
      </c>
      <c r="H27" s="134">
        <v>151369.66</v>
      </c>
      <c r="I27" s="44"/>
      <c r="J27" s="21" t="s">
        <v>64</v>
      </c>
      <c r="K27" s="134">
        <v>0</v>
      </c>
      <c r="L27" s="26">
        <v>248630.34</v>
      </c>
      <c r="M27" s="21" t="s">
        <v>71</v>
      </c>
      <c r="N27" s="24">
        <v>20</v>
      </c>
      <c r="O27" s="21" t="s">
        <v>65</v>
      </c>
      <c r="P27" s="21" t="s">
        <v>65</v>
      </c>
      <c r="Q27" s="21" t="s">
        <v>65</v>
      </c>
      <c r="R27" s="21" t="s">
        <v>65</v>
      </c>
      <c r="S27" s="35"/>
      <c r="T27" s="21" t="s">
        <v>65</v>
      </c>
      <c r="V27" s="21" t="s">
        <v>65</v>
      </c>
      <c r="W27" s="21" t="s">
        <v>65</v>
      </c>
      <c r="X27" s="21" t="s">
        <v>65</v>
      </c>
      <c r="Y27" s="21" t="s">
        <v>65</v>
      </c>
      <c r="Z27" s="21" t="s">
        <v>65</v>
      </c>
      <c r="AA27" s="35"/>
    </row>
    <row r="28" spans="1:27" x14ac:dyDescent="0.25">
      <c r="A28" s="21" t="s">
        <v>61</v>
      </c>
      <c r="B28" s="21" t="s">
        <v>106</v>
      </c>
      <c r="C28" s="21" t="s">
        <v>107</v>
      </c>
      <c r="E28" s="22">
        <v>1000000</v>
      </c>
      <c r="G28" s="33">
        <v>8.2000000000000007E-3</v>
      </c>
      <c r="H28" s="134">
        <v>283415.40000000002</v>
      </c>
      <c r="I28" s="44"/>
      <c r="J28" s="21" t="s">
        <v>64</v>
      </c>
      <c r="K28" s="134">
        <v>60672.22</v>
      </c>
      <c r="L28" s="26">
        <v>655912.38</v>
      </c>
      <c r="M28" s="21" t="s">
        <v>71</v>
      </c>
      <c r="N28" s="24">
        <v>21</v>
      </c>
      <c r="O28" s="21" t="s">
        <v>65</v>
      </c>
      <c r="P28" s="21" t="s">
        <v>65</v>
      </c>
      <c r="Q28" s="21" t="s">
        <v>65</v>
      </c>
      <c r="R28" s="21" t="s">
        <v>65</v>
      </c>
      <c r="S28" s="35"/>
      <c r="T28" s="35"/>
      <c r="U28" s="35"/>
      <c r="V28" s="21" t="s">
        <v>65</v>
      </c>
      <c r="W28" s="35"/>
      <c r="X28" s="35"/>
      <c r="Y28" s="21" t="s">
        <v>65</v>
      </c>
      <c r="Z28" s="21" t="s">
        <v>65</v>
      </c>
      <c r="AA28" s="35"/>
    </row>
    <row r="29" spans="1:27" x14ac:dyDescent="0.25">
      <c r="A29" s="23" t="s">
        <v>61</v>
      </c>
      <c r="B29" s="23" t="s">
        <v>108</v>
      </c>
      <c r="C29" s="23" t="s">
        <v>109</v>
      </c>
      <c r="E29" s="27">
        <v>3000000</v>
      </c>
      <c r="G29" s="33">
        <v>4.6399999999999997E-2</v>
      </c>
      <c r="H29" s="137">
        <v>1604737.14</v>
      </c>
      <c r="I29" s="44"/>
      <c r="J29" s="23" t="s">
        <v>64</v>
      </c>
      <c r="K29" s="137">
        <v>494549.37</v>
      </c>
      <c r="L29" s="26">
        <v>900713.49</v>
      </c>
      <c r="M29" s="23" t="s">
        <v>71</v>
      </c>
      <c r="N29" s="24">
        <v>22</v>
      </c>
      <c r="O29" s="23" t="s">
        <v>65</v>
      </c>
      <c r="P29" s="23" t="s">
        <v>65</v>
      </c>
      <c r="Q29" s="23" t="s">
        <v>65</v>
      </c>
      <c r="R29" s="23" t="s">
        <v>65</v>
      </c>
      <c r="S29" s="35"/>
      <c r="T29" s="35"/>
      <c r="U29" s="35"/>
      <c r="V29" s="35"/>
      <c r="W29" s="35"/>
      <c r="X29" s="35"/>
      <c r="Y29" s="23" t="s">
        <v>65</v>
      </c>
      <c r="Z29" s="23" t="s">
        <v>65</v>
      </c>
      <c r="AA29" s="35"/>
    </row>
    <row r="30" spans="1:27" x14ac:dyDescent="0.25">
      <c r="A30" s="37" t="s">
        <v>61</v>
      </c>
      <c r="B30" s="37" t="s">
        <v>110</v>
      </c>
      <c r="C30" s="37" t="s">
        <v>111</v>
      </c>
      <c r="D30" s="39"/>
      <c r="E30" s="39"/>
      <c r="F30" s="39"/>
      <c r="G30" s="40">
        <v>0</v>
      </c>
      <c r="H30" s="136">
        <v>0</v>
      </c>
      <c r="I30" s="44"/>
      <c r="J30" s="37" t="s">
        <v>64</v>
      </c>
      <c r="K30" s="136">
        <v>0</v>
      </c>
      <c r="L30" s="41">
        <v>0</v>
      </c>
      <c r="M30" s="37" t="s">
        <v>77</v>
      </c>
      <c r="N30" s="24">
        <v>23</v>
      </c>
      <c r="O30" s="21" t="s">
        <v>65</v>
      </c>
      <c r="P30" s="21" t="s">
        <v>65</v>
      </c>
      <c r="Q30" s="21" t="s">
        <v>65</v>
      </c>
      <c r="R30" s="21" t="s">
        <v>65</v>
      </c>
      <c r="S30" s="35"/>
      <c r="T30" s="35"/>
      <c r="U30" s="35"/>
      <c r="V30" s="35"/>
      <c r="W30" s="35"/>
      <c r="X30" s="35"/>
      <c r="Y30" s="21" t="s">
        <v>65</v>
      </c>
      <c r="Z30" s="21" t="s">
        <v>65</v>
      </c>
      <c r="AA30" s="21" t="s">
        <v>65</v>
      </c>
    </row>
    <row r="31" spans="1:27" x14ac:dyDescent="0.25">
      <c r="A31" s="37" t="s">
        <v>61</v>
      </c>
      <c r="B31" s="37" t="s">
        <v>112</v>
      </c>
      <c r="C31" s="37" t="s">
        <v>113</v>
      </c>
      <c r="D31" s="39"/>
      <c r="E31" s="38">
        <v>1500000</v>
      </c>
      <c r="F31" s="39"/>
      <c r="G31" s="40">
        <v>0</v>
      </c>
      <c r="H31" s="136">
        <v>0</v>
      </c>
      <c r="I31" s="44"/>
      <c r="J31" s="37" t="s">
        <v>64</v>
      </c>
      <c r="K31" s="136">
        <v>0</v>
      </c>
      <c r="L31" s="42">
        <v>1500000</v>
      </c>
      <c r="M31" s="37" t="s">
        <v>77</v>
      </c>
      <c r="N31" s="24">
        <v>24</v>
      </c>
      <c r="O31" s="21" t="s">
        <v>65</v>
      </c>
      <c r="P31" s="21" t="s">
        <v>65</v>
      </c>
      <c r="Q31" s="35"/>
      <c r="R31" s="35"/>
      <c r="S31" s="35"/>
      <c r="T31" s="35"/>
      <c r="U31" s="35"/>
      <c r="V31" s="35"/>
      <c r="W31" s="35"/>
      <c r="X31" s="35"/>
      <c r="Y31" s="21" t="s">
        <v>65</v>
      </c>
      <c r="Z31" s="21" t="s">
        <v>65</v>
      </c>
    </row>
    <row r="32" spans="1:27" x14ac:dyDescent="0.25">
      <c r="A32" s="21" t="s">
        <v>61</v>
      </c>
      <c r="B32" s="21" t="s">
        <v>114</v>
      </c>
      <c r="C32" s="21" t="s">
        <v>115</v>
      </c>
      <c r="E32" s="22">
        <v>400000</v>
      </c>
      <c r="G32" s="33">
        <v>0</v>
      </c>
      <c r="H32" s="134">
        <v>0</v>
      </c>
      <c r="I32" s="44"/>
      <c r="J32" s="21" t="s">
        <v>64</v>
      </c>
      <c r="K32" s="134">
        <v>136331.54</v>
      </c>
      <c r="L32" s="26">
        <v>263668.46000000002</v>
      </c>
      <c r="M32" s="21" t="s">
        <v>71</v>
      </c>
      <c r="N32" s="24">
        <v>25</v>
      </c>
      <c r="O32" s="21" t="s">
        <v>65</v>
      </c>
      <c r="P32" s="21" t="s">
        <v>65</v>
      </c>
      <c r="Q32" s="21" t="s">
        <v>65</v>
      </c>
      <c r="R32" s="21" t="s">
        <v>65</v>
      </c>
      <c r="S32" s="35"/>
      <c r="T32" s="21" t="s">
        <v>65</v>
      </c>
      <c r="U32" s="35"/>
      <c r="V32" s="21" t="s">
        <v>65</v>
      </c>
      <c r="W32" s="21" t="s">
        <v>65</v>
      </c>
      <c r="X32" s="21" t="s">
        <v>65</v>
      </c>
      <c r="Y32" s="21" t="s">
        <v>65</v>
      </c>
      <c r="Z32" s="35"/>
      <c r="AA32" s="35"/>
    </row>
    <row r="33" spans="1:27" x14ac:dyDescent="0.25">
      <c r="A33" s="21" t="s">
        <v>61</v>
      </c>
      <c r="B33" s="21" t="s">
        <v>116</v>
      </c>
      <c r="C33" s="21" t="s">
        <v>117</v>
      </c>
      <c r="E33" s="22">
        <v>1500000</v>
      </c>
      <c r="G33" s="33">
        <v>0</v>
      </c>
      <c r="H33" s="134">
        <v>0</v>
      </c>
      <c r="I33" s="44"/>
      <c r="J33" s="21" t="s">
        <v>64</v>
      </c>
      <c r="K33" s="134">
        <v>613074.32999999996</v>
      </c>
      <c r="L33" s="26">
        <v>886925.67</v>
      </c>
      <c r="M33" s="21" t="s">
        <v>71</v>
      </c>
      <c r="N33" s="24">
        <v>26</v>
      </c>
      <c r="O33" s="21" t="s">
        <v>65</v>
      </c>
      <c r="P33" s="35"/>
      <c r="Q33" s="35"/>
      <c r="R33" s="21" t="s">
        <v>65</v>
      </c>
      <c r="S33" s="35"/>
      <c r="T33" s="21" t="s">
        <v>65</v>
      </c>
      <c r="U33" s="35"/>
      <c r="V33" s="35"/>
      <c r="W33" s="35"/>
      <c r="X33" s="35"/>
      <c r="Y33" s="35"/>
      <c r="Z33" s="35"/>
      <c r="AA33" s="35"/>
    </row>
    <row r="34" spans="1:27" x14ac:dyDescent="0.25">
      <c r="A34" s="37" t="s">
        <v>61</v>
      </c>
      <c r="B34" s="37" t="s">
        <v>118</v>
      </c>
      <c r="C34" s="37" t="s">
        <v>119</v>
      </c>
      <c r="D34" s="39"/>
      <c r="E34" s="38">
        <v>250000</v>
      </c>
      <c r="F34" s="39"/>
      <c r="G34" s="40">
        <v>0</v>
      </c>
      <c r="H34" s="136">
        <v>0</v>
      </c>
      <c r="I34" s="44"/>
      <c r="J34" s="37" t="s">
        <v>64</v>
      </c>
      <c r="K34" s="136">
        <v>0</v>
      </c>
      <c r="L34" s="42">
        <v>250000</v>
      </c>
      <c r="M34" s="37" t="s">
        <v>77</v>
      </c>
      <c r="N34" s="24">
        <v>27</v>
      </c>
      <c r="O34" s="21" t="s">
        <v>65</v>
      </c>
      <c r="P34" s="35"/>
      <c r="Q34" s="35"/>
      <c r="R34" s="21" t="s">
        <v>65</v>
      </c>
      <c r="S34" s="35"/>
      <c r="T34" s="21" t="s">
        <v>65</v>
      </c>
      <c r="U34" s="35"/>
      <c r="V34" s="21" t="s">
        <v>65</v>
      </c>
      <c r="W34" s="35"/>
      <c r="X34" s="21" t="s">
        <v>65</v>
      </c>
      <c r="Y34" s="35"/>
      <c r="Z34" s="35"/>
      <c r="AA34" s="35"/>
    </row>
    <row r="35" spans="1:27" x14ac:dyDescent="0.25">
      <c r="A35" s="21" t="s">
        <v>61</v>
      </c>
      <c r="B35" s="21" t="s">
        <v>120</v>
      </c>
      <c r="C35" s="21" t="s">
        <v>121</v>
      </c>
      <c r="E35" s="22">
        <v>2000000</v>
      </c>
      <c r="G35" s="33">
        <v>1E-4</v>
      </c>
      <c r="H35" s="134">
        <v>2096.54</v>
      </c>
      <c r="I35" s="44"/>
      <c r="J35" s="21" t="s">
        <v>64</v>
      </c>
      <c r="K35" s="134">
        <v>0</v>
      </c>
      <c r="L35" s="26">
        <v>1997903.46</v>
      </c>
      <c r="M35" s="21" t="s">
        <v>71</v>
      </c>
      <c r="N35" s="24">
        <v>28</v>
      </c>
      <c r="O35" s="21" t="s">
        <v>65</v>
      </c>
      <c r="P35" s="21" t="s">
        <v>65</v>
      </c>
      <c r="Q35" s="21" t="s">
        <v>65</v>
      </c>
      <c r="R35" s="21" t="s">
        <v>65</v>
      </c>
      <c r="S35" s="36"/>
      <c r="T35" s="21" t="s">
        <v>65</v>
      </c>
      <c r="U35" s="35"/>
      <c r="V35" s="21" t="s">
        <v>65</v>
      </c>
      <c r="W35" s="21" t="s">
        <v>65</v>
      </c>
      <c r="X35" s="21" t="s">
        <v>65</v>
      </c>
      <c r="Y35" s="21" t="s">
        <v>65</v>
      </c>
      <c r="Z35" s="21" t="s">
        <v>65</v>
      </c>
      <c r="AA35" s="35"/>
    </row>
    <row r="36" spans="1:27" x14ac:dyDescent="0.25">
      <c r="A36" s="21" t="s">
        <v>61</v>
      </c>
      <c r="B36" s="21" t="s">
        <v>122</v>
      </c>
      <c r="C36" s="21" t="s">
        <v>123</v>
      </c>
      <c r="E36" s="22">
        <v>3000000</v>
      </c>
      <c r="G36" s="33">
        <v>4.5100000000000001E-2</v>
      </c>
      <c r="H36" s="134">
        <v>1558851.83</v>
      </c>
      <c r="I36" s="44"/>
      <c r="J36" s="21" t="s">
        <v>64</v>
      </c>
      <c r="K36" s="134">
        <v>0</v>
      </c>
      <c r="L36" s="26">
        <v>1441148.17</v>
      </c>
      <c r="M36" s="21" t="s">
        <v>71</v>
      </c>
      <c r="N36" s="24">
        <v>29</v>
      </c>
      <c r="O36" s="21" t="s">
        <v>65</v>
      </c>
      <c r="P36" s="35"/>
      <c r="Q36" s="35"/>
      <c r="R36" s="21" t="s">
        <v>65</v>
      </c>
      <c r="S36" s="35"/>
      <c r="T36" s="35"/>
      <c r="U36" s="35"/>
      <c r="V36" s="35"/>
      <c r="W36" s="35"/>
      <c r="X36" s="35"/>
      <c r="Y36" s="35"/>
      <c r="Z36" s="35"/>
      <c r="AA36" s="35"/>
    </row>
    <row r="37" spans="1:27" x14ac:dyDescent="0.25">
      <c r="A37" s="37" t="s">
        <v>61</v>
      </c>
      <c r="B37" s="37" t="s">
        <v>124</v>
      </c>
      <c r="C37" s="37" t="s">
        <v>125</v>
      </c>
      <c r="D37" s="39"/>
      <c r="E37" s="38">
        <v>1100000</v>
      </c>
      <c r="F37" s="39"/>
      <c r="G37" s="40">
        <v>0</v>
      </c>
      <c r="H37" s="136">
        <v>0</v>
      </c>
      <c r="I37" s="44"/>
      <c r="J37" s="37" t="s">
        <v>64</v>
      </c>
      <c r="K37" s="136">
        <v>0</v>
      </c>
      <c r="L37" s="42">
        <v>1100000</v>
      </c>
      <c r="M37" s="37" t="s">
        <v>77</v>
      </c>
      <c r="N37" s="24">
        <v>30</v>
      </c>
      <c r="O37" s="21" t="s">
        <v>65</v>
      </c>
      <c r="P37" s="35"/>
      <c r="Q37" s="35"/>
      <c r="R37" s="35"/>
      <c r="S37" s="35"/>
      <c r="T37" s="35"/>
      <c r="U37" s="35"/>
      <c r="V37" s="21" t="s">
        <v>65</v>
      </c>
      <c r="W37" s="35"/>
      <c r="X37" s="35"/>
      <c r="Y37" s="35"/>
      <c r="Z37" s="35"/>
      <c r="AA37" s="35"/>
    </row>
    <row r="38" spans="1:27" x14ac:dyDescent="0.25">
      <c r="A38" s="21" t="s">
        <v>61</v>
      </c>
      <c r="B38" s="21" t="s">
        <v>126</v>
      </c>
      <c r="C38" s="21" t="s">
        <v>127</v>
      </c>
      <c r="E38" s="22">
        <v>3000000</v>
      </c>
      <c r="G38" s="33">
        <v>0</v>
      </c>
      <c r="H38" s="134">
        <v>0</v>
      </c>
      <c r="I38" s="44"/>
      <c r="J38" s="21" t="s">
        <v>64</v>
      </c>
      <c r="K38" s="134">
        <v>1057433.3500000001</v>
      </c>
      <c r="L38" s="26">
        <v>1942566.65</v>
      </c>
      <c r="M38" s="21" t="s">
        <v>71</v>
      </c>
      <c r="N38" s="24">
        <v>31</v>
      </c>
      <c r="O38" s="21" t="s">
        <v>65</v>
      </c>
      <c r="P38" s="21" t="s">
        <v>65</v>
      </c>
      <c r="Q38" s="21" t="s">
        <v>65</v>
      </c>
      <c r="R38" s="36" t="s">
        <v>65</v>
      </c>
      <c r="S38" s="35"/>
      <c r="T38" s="35"/>
      <c r="U38" s="35"/>
      <c r="V38" s="35"/>
      <c r="W38" s="35"/>
      <c r="X38" s="35"/>
      <c r="Y38" s="21" t="s">
        <v>65</v>
      </c>
      <c r="Z38" s="21" t="s">
        <v>65</v>
      </c>
      <c r="AA38" s="35"/>
    </row>
    <row r="39" spans="1:27" x14ac:dyDescent="0.25">
      <c r="A39" s="21" t="s">
        <v>61</v>
      </c>
      <c r="B39" s="21" t="s">
        <v>128</v>
      </c>
      <c r="C39" s="21" t="s">
        <v>129</v>
      </c>
      <c r="E39" s="22">
        <v>3500000</v>
      </c>
      <c r="G39" s="33">
        <v>2.93E-2</v>
      </c>
      <c r="H39" s="134">
        <v>1012701.33</v>
      </c>
      <c r="I39" s="44"/>
      <c r="J39" s="21" t="s">
        <v>64</v>
      </c>
      <c r="K39" s="134">
        <v>601537</v>
      </c>
      <c r="L39" s="26">
        <v>1885761.67</v>
      </c>
      <c r="M39" s="21" t="s">
        <v>71</v>
      </c>
      <c r="N39" s="24">
        <v>32</v>
      </c>
      <c r="O39" s="21" t="s">
        <v>65</v>
      </c>
      <c r="P39" s="35"/>
      <c r="Q39" s="21" t="s">
        <v>65</v>
      </c>
      <c r="R39" s="21" t="s">
        <v>65</v>
      </c>
      <c r="S39" s="35"/>
      <c r="T39" s="35"/>
      <c r="U39" s="35"/>
      <c r="V39" s="35"/>
      <c r="W39" s="35"/>
      <c r="X39" s="35"/>
      <c r="Y39" s="35"/>
      <c r="Z39" s="21" t="s">
        <v>65</v>
      </c>
      <c r="AA39" s="35"/>
    </row>
    <row r="40" spans="1:27" x14ac:dyDescent="0.25">
      <c r="A40" s="37" t="s">
        <v>61</v>
      </c>
      <c r="B40" s="37" t="s">
        <v>130</v>
      </c>
      <c r="C40" s="37" t="s">
        <v>131</v>
      </c>
      <c r="D40" s="39"/>
      <c r="E40" s="38">
        <v>600000</v>
      </c>
      <c r="F40" s="39"/>
      <c r="G40" s="40">
        <v>0</v>
      </c>
      <c r="H40" s="136">
        <v>0</v>
      </c>
      <c r="I40" s="44"/>
      <c r="J40" s="37" t="s">
        <v>64</v>
      </c>
      <c r="K40" s="136">
        <v>0</v>
      </c>
      <c r="L40" s="42">
        <v>600000</v>
      </c>
      <c r="M40" s="37" t="s">
        <v>77</v>
      </c>
      <c r="N40" s="24">
        <v>33</v>
      </c>
      <c r="O40" s="21" t="s">
        <v>65</v>
      </c>
      <c r="P40" s="35"/>
      <c r="Q40" s="35"/>
      <c r="R40" s="21" t="s">
        <v>65</v>
      </c>
      <c r="S40" s="35"/>
      <c r="T40" s="35"/>
      <c r="U40" s="35"/>
      <c r="V40" s="35"/>
      <c r="W40" s="35"/>
      <c r="X40" s="35"/>
      <c r="Y40" s="35"/>
      <c r="Z40" s="35"/>
      <c r="AA40" s="35"/>
    </row>
    <row r="41" spans="1:27" x14ac:dyDescent="0.25">
      <c r="A41" s="37" t="s">
        <v>61</v>
      </c>
      <c r="B41" s="37" t="s">
        <v>132</v>
      </c>
      <c r="C41" s="37" t="s">
        <v>133</v>
      </c>
      <c r="D41" s="39"/>
      <c r="E41" s="38">
        <v>200000</v>
      </c>
      <c r="F41" s="39"/>
      <c r="G41" s="40">
        <v>0</v>
      </c>
      <c r="H41" s="136">
        <v>0</v>
      </c>
      <c r="I41" s="44"/>
      <c r="J41" s="37" t="s">
        <v>64</v>
      </c>
      <c r="K41" s="136">
        <v>0</v>
      </c>
      <c r="L41" s="42">
        <v>200000</v>
      </c>
      <c r="M41" s="37" t="s">
        <v>77</v>
      </c>
      <c r="N41" s="24">
        <v>34</v>
      </c>
      <c r="O41" s="21" t="s">
        <v>65</v>
      </c>
      <c r="P41" s="35"/>
      <c r="Q41" s="35"/>
      <c r="R41" s="21" t="s">
        <v>65</v>
      </c>
      <c r="S41" s="35"/>
      <c r="T41" s="35"/>
      <c r="U41" s="35"/>
      <c r="V41" s="35"/>
      <c r="W41" s="35"/>
      <c r="X41" s="35"/>
      <c r="Y41" s="35"/>
      <c r="Z41" s="35"/>
      <c r="AA41" s="35"/>
    </row>
    <row r="42" spans="1:27" x14ac:dyDescent="0.25">
      <c r="A42" s="37" t="s">
        <v>61</v>
      </c>
      <c r="B42" s="37" t="s">
        <v>134</v>
      </c>
      <c r="C42" s="37" t="s">
        <v>135</v>
      </c>
      <c r="D42" s="39"/>
      <c r="E42" s="38">
        <v>1000000</v>
      </c>
      <c r="F42" s="39"/>
      <c r="G42" s="40">
        <v>0</v>
      </c>
      <c r="H42" s="136">
        <v>0</v>
      </c>
      <c r="I42" s="44"/>
      <c r="J42" s="37" t="s">
        <v>64</v>
      </c>
      <c r="K42" s="136">
        <v>0</v>
      </c>
      <c r="L42" s="42">
        <v>1000000</v>
      </c>
      <c r="M42" s="37" t="s">
        <v>77</v>
      </c>
      <c r="N42" s="24">
        <v>35</v>
      </c>
      <c r="O42" s="21" t="s">
        <v>65</v>
      </c>
      <c r="P42" s="21" t="s">
        <v>65</v>
      </c>
      <c r="Q42" s="21" t="s">
        <v>65</v>
      </c>
      <c r="R42" s="21" t="s">
        <v>65</v>
      </c>
      <c r="S42" s="35"/>
      <c r="T42" s="35"/>
      <c r="U42" s="35"/>
      <c r="V42" s="21" t="s">
        <v>65</v>
      </c>
      <c r="W42" s="35"/>
      <c r="X42" s="35"/>
      <c r="Y42" s="21" t="s">
        <v>65</v>
      </c>
      <c r="Z42" s="21" t="s">
        <v>65</v>
      </c>
      <c r="AA42" s="35"/>
    </row>
    <row r="43" spans="1:27" x14ac:dyDescent="0.25">
      <c r="A43" s="21" t="s">
        <v>61</v>
      </c>
      <c r="B43" s="21" t="s">
        <v>136</v>
      </c>
      <c r="C43" s="21" t="s">
        <v>137</v>
      </c>
      <c r="E43" s="22">
        <v>1000000</v>
      </c>
      <c r="G43" s="33">
        <v>0</v>
      </c>
      <c r="H43" s="134">
        <v>0</v>
      </c>
      <c r="I43" s="44"/>
      <c r="J43" s="21" t="s">
        <v>64</v>
      </c>
      <c r="K43" s="134">
        <v>407906.39</v>
      </c>
      <c r="L43" s="26">
        <v>592093.61</v>
      </c>
      <c r="M43" s="21" t="s">
        <v>71</v>
      </c>
      <c r="N43" s="24">
        <v>36</v>
      </c>
      <c r="O43" s="21" t="s">
        <v>65</v>
      </c>
      <c r="P43" s="35"/>
      <c r="Q43" s="35"/>
      <c r="R43" s="35"/>
      <c r="S43" s="21" t="s">
        <v>65</v>
      </c>
      <c r="T43" s="35"/>
      <c r="U43" s="35"/>
      <c r="V43" s="21" t="s">
        <v>65</v>
      </c>
      <c r="W43" s="35"/>
      <c r="X43" s="35"/>
      <c r="Y43" s="35"/>
      <c r="Z43" s="35"/>
      <c r="AA43" s="35"/>
    </row>
    <row r="44" spans="1:27" x14ac:dyDescent="0.25">
      <c r="A44" s="21" t="s">
        <v>61</v>
      </c>
      <c r="B44" s="21" t="s">
        <v>138</v>
      </c>
      <c r="C44" s="21" t="s">
        <v>139</v>
      </c>
      <c r="E44" s="22">
        <v>3000000</v>
      </c>
      <c r="G44" s="33">
        <v>5.1200000000000002E-2</v>
      </c>
      <c r="H44" s="134">
        <v>1769945.86</v>
      </c>
      <c r="I44" s="44"/>
      <c r="J44" s="21" t="s">
        <v>64</v>
      </c>
      <c r="K44" s="134">
        <v>69018.05</v>
      </c>
      <c r="L44" s="26">
        <v>1161036.0900000001</v>
      </c>
      <c r="M44" s="21" t="s">
        <v>71</v>
      </c>
      <c r="N44" s="24">
        <v>37</v>
      </c>
      <c r="O44" s="21" t="s">
        <v>65</v>
      </c>
      <c r="P44" s="21" t="s">
        <v>65</v>
      </c>
      <c r="Q44" s="21" t="s">
        <v>65</v>
      </c>
      <c r="R44" s="21" t="s">
        <v>65</v>
      </c>
      <c r="S44" s="35"/>
      <c r="T44" s="21" t="s">
        <v>65</v>
      </c>
      <c r="U44" s="35"/>
      <c r="V44" s="21" t="s">
        <v>65</v>
      </c>
      <c r="W44" s="21" t="s">
        <v>65</v>
      </c>
      <c r="X44" s="21" t="s">
        <v>65</v>
      </c>
      <c r="Y44" s="21" t="s">
        <v>65</v>
      </c>
      <c r="Z44" s="21" t="s">
        <v>65</v>
      </c>
      <c r="AA44" s="35"/>
    </row>
    <row r="45" spans="1:27" x14ac:dyDescent="0.25">
      <c r="A45" s="21" t="s">
        <v>61</v>
      </c>
      <c r="B45" s="21" t="s">
        <v>140</v>
      </c>
      <c r="C45" s="21" t="s">
        <v>141</v>
      </c>
      <c r="E45" s="22">
        <v>2000000</v>
      </c>
      <c r="G45" s="33">
        <v>2.7000000000000001E-3</v>
      </c>
      <c r="H45" s="134">
        <v>94688.54</v>
      </c>
      <c r="I45" s="44"/>
      <c r="J45" s="21" t="s">
        <v>64</v>
      </c>
      <c r="K45" s="134">
        <v>726735.94</v>
      </c>
      <c r="L45" s="26">
        <v>1178575.52</v>
      </c>
      <c r="M45" s="21" t="s">
        <v>71</v>
      </c>
      <c r="N45" s="24">
        <v>38</v>
      </c>
      <c r="O45" s="21" t="s">
        <v>65</v>
      </c>
      <c r="P45" s="35"/>
      <c r="Q45" s="21" t="s">
        <v>65</v>
      </c>
      <c r="R45" s="21" t="s">
        <v>65</v>
      </c>
      <c r="S45" s="35"/>
      <c r="T45" s="21" t="s">
        <v>65</v>
      </c>
      <c r="U45" s="35"/>
      <c r="V45" s="35"/>
      <c r="W45" s="21" t="s">
        <v>65</v>
      </c>
      <c r="X45" s="21" t="s">
        <v>65</v>
      </c>
      <c r="Y45" s="21" t="s">
        <v>65</v>
      </c>
      <c r="Z45" s="21" t="s">
        <v>65</v>
      </c>
      <c r="AA45" s="35"/>
    </row>
    <row r="46" spans="1:27" x14ac:dyDescent="0.25">
      <c r="A46" s="37" t="s">
        <v>61</v>
      </c>
      <c r="B46" s="37" t="s">
        <v>142</v>
      </c>
      <c r="C46" s="37" t="s">
        <v>143</v>
      </c>
      <c r="D46" s="39"/>
      <c r="E46" s="38">
        <v>700000</v>
      </c>
      <c r="F46" s="39"/>
      <c r="G46" s="40">
        <v>0</v>
      </c>
      <c r="H46" s="136">
        <v>0</v>
      </c>
      <c r="I46" s="44"/>
      <c r="J46" s="37" t="s">
        <v>64</v>
      </c>
      <c r="K46" s="136">
        <v>0</v>
      </c>
      <c r="L46" s="42">
        <v>700000</v>
      </c>
      <c r="M46" s="37" t="s">
        <v>77</v>
      </c>
      <c r="N46" s="24">
        <v>39</v>
      </c>
      <c r="O46" s="21" t="s">
        <v>65</v>
      </c>
      <c r="P46" s="35"/>
      <c r="Q46" s="35"/>
      <c r="R46" s="35"/>
      <c r="S46" s="35"/>
      <c r="T46" s="35"/>
      <c r="U46" s="35"/>
      <c r="V46" s="21" t="s">
        <v>65</v>
      </c>
      <c r="W46" s="35"/>
      <c r="X46" s="35"/>
      <c r="Y46" s="35"/>
      <c r="Z46" s="35"/>
      <c r="AA46" s="35"/>
    </row>
    <row r="47" spans="1:27" x14ac:dyDescent="0.25">
      <c r="A47" s="20"/>
    </row>
    <row r="48" spans="1:27" x14ac:dyDescent="0.25">
      <c r="A48" s="20"/>
      <c r="C48" s="21" t="s">
        <v>144</v>
      </c>
    </row>
    <row r="49" spans="3:3" x14ac:dyDescent="0.25">
      <c r="C49" s="21" t="s">
        <v>145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>
    <pageSetUpPr fitToPage="1"/>
  </sheetPr>
  <dimension ref="A1:RU37"/>
  <sheetViews>
    <sheetView workbookViewId="0"/>
  </sheetViews>
  <sheetFormatPr defaultRowHeight="15" x14ac:dyDescent="0.25"/>
  <cols>
    <col min="1" max="1" width="43.5703125" customWidth="1"/>
    <col min="2" max="2" width="13.85546875" hidden="1" customWidth="1"/>
    <col min="3" max="3" width="12.28515625" hidden="1" customWidth="1"/>
    <col min="4" max="4" width="14" hidden="1" customWidth="1"/>
    <col min="5" max="5" width="11.140625" hidden="1" customWidth="1"/>
    <col min="6" max="6" width="12.28515625" hidden="1" customWidth="1"/>
    <col min="7" max="7" width="15.140625" hidden="1" customWidth="1"/>
    <col min="8" max="8" width="13.85546875" hidden="1" customWidth="1"/>
    <col min="9" max="9" width="11.140625" hidden="1" customWidth="1"/>
    <col min="10" max="10" width="16.5703125" hidden="1" customWidth="1"/>
    <col min="11" max="11" width="13.85546875" hidden="1" customWidth="1"/>
    <col min="12" max="12" width="12.28515625" hidden="1" customWidth="1"/>
    <col min="13" max="13" width="14" hidden="1" customWidth="1"/>
    <col min="14" max="14" width="11.140625" hidden="1" customWidth="1"/>
    <col min="15" max="15" width="12.28515625" hidden="1" customWidth="1"/>
    <col min="16" max="16" width="15.140625" hidden="1" customWidth="1"/>
    <col min="17" max="17" width="13.85546875" hidden="1" customWidth="1"/>
    <col min="18" max="18" width="11.140625" hidden="1" customWidth="1"/>
    <col min="19" max="19" width="16.5703125" hidden="1" customWidth="1"/>
    <col min="20" max="20" width="3.85546875" hidden="1" customWidth="1"/>
    <col min="21" max="21" width="13.85546875" hidden="1" customWidth="1"/>
    <col min="22" max="22" width="12.28515625" hidden="1" customWidth="1"/>
    <col min="23" max="24" width="14" hidden="1" customWidth="1"/>
    <col min="25" max="25" width="12.28515625" hidden="1" customWidth="1"/>
    <col min="26" max="26" width="15.140625" hidden="1" customWidth="1"/>
    <col min="27" max="27" width="13.85546875" hidden="1" customWidth="1"/>
    <col min="28" max="28" width="11.140625" hidden="1" customWidth="1"/>
    <col min="29" max="29" width="16.5703125" hidden="1" customWidth="1"/>
    <col min="30" max="30" width="3.140625" hidden="1" customWidth="1"/>
    <col min="31" max="31" width="13.85546875" hidden="1" customWidth="1"/>
    <col min="32" max="32" width="12.28515625" hidden="1" customWidth="1"/>
    <col min="33" max="34" width="14" hidden="1" customWidth="1"/>
    <col min="35" max="35" width="12.28515625" hidden="1" customWidth="1"/>
    <col min="36" max="36" width="15.140625" hidden="1" customWidth="1"/>
    <col min="37" max="37" width="15.7109375" hidden="1" customWidth="1"/>
    <col min="38" max="38" width="11.140625" hidden="1" customWidth="1"/>
    <col min="39" max="39" width="16.5703125" hidden="1" customWidth="1"/>
    <col min="40" max="40" width="3.140625" hidden="1" customWidth="1"/>
    <col min="41" max="41" width="13.85546875" hidden="1" customWidth="1"/>
    <col min="42" max="42" width="12.28515625" hidden="1" customWidth="1"/>
    <col min="43" max="44" width="14" hidden="1" customWidth="1"/>
    <col min="45" max="45" width="14.85546875" hidden="1" customWidth="1"/>
    <col min="46" max="46" width="15.140625" hidden="1" customWidth="1"/>
    <col min="47" max="47" width="15.7109375" hidden="1" customWidth="1"/>
    <col min="48" max="48" width="11.140625" hidden="1" customWidth="1"/>
    <col min="49" max="49" width="16.5703125" hidden="1" customWidth="1"/>
    <col min="50" max="50" width="3.28515625" hidden="1" customWidth="1"/>
    <col min="51" max="51" width="13.85546875" hidden="1" customWidth="1"/>
    <col min="52" max="52" width="12.28515625" hidden="1" customWidth="1"/>
    <col min="53" max="54" width="14" hidden="1" customWidth="1"/>
    <col min="55" max="55" width="12.28515625" hidden="1" customWidth="1"/>
    <col min="56" max="56" width="15.140625" hidden="1" customWidth="1"/>
    <col min="57" max="57" width="15.7109375" hidden="1" customWidth="1"/>
    <col min="58" max="58" width="11.140625" hidden="1" customWidth="1"/>
    <col min="59" max="59" width="16.5703125" hidden="1" customWidth="1"/>
    <col min="60" max="60" width="3.7109375" hidden="1" customWidth="1"/>
    <col min="61" max="61" width="13.85546875" hidden="1" customWidth="1"/>
    <col min="62" max="62" width="12.28515625" hidden="1" customWidth="1"/>
    <col min="63" max="64" width="14" hidden="1" customWidth="1"/>
    <col min="65" max="65" width="12.28515625" hidden="1" customWidth="1"/>
    <col min="66" max="66" width="15.140625" hidden="1" customWidth="1"/>
    <col min="67" max="67" width="15.7109375" hidden="1" customWidth="1"/>
    <col min="68" max="68" width="11.140625" hidden="1" customWidth="1"/>
    <col min="69" max="69" width="16.5703125" hidden="1" customWidth="1"/>
    <col min="70" max="70" width="3.7109375" hidden="1" customWidth="1"/>
    <col min="71" max="71" width="13.85546875" hidden="1" customWidth="1"/>
    <col min="72" max="72" width="12.28515625" hidden="1" customWidth="1"/>
    <col min="73" max="74" width="14" hidden="1" customWidth="1"/>
    <col min="75" max="75" width="12.28515625" hidden="1" customWidth="1"/>
    <col min="76" max="76" width="15.140625" hidden="1" customWidth="1"/>
    <col min="77" max="77" width="15.7109375" hidden="1" customWidth="1"/>
    <col min="78" max="78" width="11.140625" hidden="1" customWidth="1"/>
    <col min="79" max="79" width="16.5703125" hidden="1" customWidth="1"/>
    <col min="80" max="80" width="5.140625" hidden="1" customWidth="1"/>
    <col min="81" max="81" width="13.85546875" hidden="1" customWidth="1"/>
    <col min="82" max="82" width="12.28515625" hidden="1" customWidth="1"/>
    <col min="83" max="84" width="14" hidden="1" customWidth="1"/>
    <col min="85" max="85" width="12.28515625" hidden="1" customWidth="1"/>
    <col min="86" max="86" width="15.140625" hidden="1" customWidth="1"/>
    <col min="87" max="87" width="15.7109375" hidden="1" customWidth="1"/>
    <col min="88" max="88" width="11.140625" hidden="1" customWidth="1"/>
    <col min="89" max="89" width="16.5703125" hidden="1" customWidth="1"/>
    <col min="90" max="90" width="3.7109375" hidden="1" customWidth="1"/>
    <col min="91" max="91" width="13.85546875" hidden="1" customWidth="1"/>
    <col min="92" max="92" width="12.28515625" hidden="1" customWidth="1"/>
    <col min="93" max="94" width="14" hidden="1" customWidth="1"/>
    <col min="95" max="95" width="12.28515625" hidden="1" customWidth="1"/>
    <col min="96" max="96" width="15.140625" hidden="1" customWidth="1"/>
    <col min="97" max="97" width="15.7109375" hidden="1" customWidth="1"/>
    <col min="98" max="98" width="11.140625" hidden="1" customWidth="1"/>
    <col min="99" max="99" width="16.5703125" hidden="1" customWidth="1"/>
    <col min="100" max="100" width="9.140625" hidden="1" customWidth="1"/>
    <col min="101" max="101" width="13.85546875" hidden="1" customWidth="1"/>
    <col min="102" max="102" width="12.28515625" hidden="1" customWidth="1"/>
    <col min="103" max="104" width="14" hidden="1" customWidth="1"/>
    <col min="105" max="105" width="12.28515625" hidden="1" customWidth="1"/>
    <col min="106" max="106" width="15.140625" hidden="1" customWidth="1"/>
    <col min="107" max="107" width="15.7109375" hidden="1" customWidth="1"/>
    <col min="108" max="108" width="11.140625" hidden="1" customWidth="1"/>
    <col min="109" max="109" width="16.5703125" hidden="1" customWidth="1"/>
    <col min="110" max="110" width="2.42578125" hidden="1" customWidth="1"/>
    <col min="111" max="111" width="13.85546875" hidden="1" customWidth="1"/>
    <col min="112" max="112" width="12.28515625" hidden="1" customWidth="1"/>
    <col min="113" max="114" width="14" hidden="1" customWidth="1"/>
    <col min="115" max="115" width="12.28515625" hidden="1" customWidth="1"/>
    <col min="116" max="116" width="15.140625" hidden="1" customWidth="1"/>
    <col min="117" max="117" width="15.7109375" hidden="1" customWidth="1"/>
    <col min="118" max="118" width="11.140625" hidden="1" customWidth="1"/>
    <col min="119" max="119" width="16.5703125" hidden="1" customWidth="1"/>
    <col min="120" max="120" width="2.42578125" hidden="1" customWidth="1"/>
    <col min="121" max="121" width="13.85546875" hidden="1" customWidth="1"/>
    <col min="122" max="122" width="12.28515625" hidden="1" customWidth="1"/>
    <col min="123" max="124" width="14" hidden="1" customWidth="1"/>
    <col min="125" max="125" width="12.28515625" hidden="1" customWidth="1"/>
    <col min="126" max="126" width="15.140625" hidden="1" customWidth="1"/>
    <col min="127" max="127" width="15.7109375" hidden="1" customWidth="1"/>
    <col min="128" max="128" width="11.140625" hidden="1" customWidth="1"/>
    <col min="129" max="129" width="16.5703125" hidden="1" customWidth="1"/>
    <col min="130" max="130" width="3.28515625" hidden="1" customWidth="1"/>
    <col min="131" max="131" width="13.85546875" hidden="1" customWidth="1"/>
    <col min="132" max="132" width="12.28515625" hidden="1" customWidth="1"/>
    <col min="133" max="134" width="14" hidden="1" customWidth="1"/>
    <col min="135" max="135" width="12.28515625" hidden="1" customWidth="1"/>
    <col min="136" max="136" width="15.140625" hidden="1" customWidth="1"/>
    <col min="137" max="137" width="15.7109375" hidden="1" customWidth="1"/>
    <col min="138" max="138" width="11.140625" hidden="1" customWidth="1"/>
    <col min="139" max="139" width="16.5703125" hidden="1" customWidth="1"/>
    <col min="140" max="140" width="3.28515625" hidden="1" customWidth="1"/>
    <col min="141" max="141" width="13.85546875" hidden="1" customWidth="1"/>
    <col min="142" max="142" width="12.28515625" hidden="1" customWidth="1"/>
    <col min="143" max="144" width="14" hidden="1" customWidth="1"/>
    <col min="145" max="145" width="12.28515625" hidden="1" customWidth="1"/>
    <col min="146" max="146" width="15.140625" hidden="1" customWidth="1"/>
    <col min="147" max="147" width="15.7109375" hidden="1" customWidth="1"/>
    <col min="148" max="148" width="11.140625" hidden="1" customWidth="1"/>
    <col min="149" max="149" width="16.5703125" hidden="1" customWidth="1"/>
    <col min="150" max="150" width="3.140625" hidden="1" customWidth="1"/>
    <col min="151" max="151" width="13.85546875" hidden="1" customWidth="1"/>
    <col min="152" max="152" width="12.28515625" hidden="1" customWidth="1"/>
    <col min="153" max="154" width="14" hidden="1" customWidth="1"/>
    <col min="155" max="155" width="12.28515625" hidden="1" customWidth="1"/>
    <col min="156" max="156" width="15.140625" hidden="1" customWidth="1"/>
    <col min="157" max="157" width="15.7109375" hidden="1" customWidth="1"/>
    <col min="158" max="158" width="11.140625" hidden="1" customWidth="1"/>
    <col min="159" max="159" width="16.5703125" hidden="1" customWidth="1"/>
    <col min="160" max="160" width="9.140625" hidden="1" customWidth="1"/>
    <col min="161" max="161" width="13.85546875" hidden="1" customWidth="1"/>
    <col min="162" max="162" width="12.28515625" hidden="1" customWidth="1"/>
    <col min="163" max="164" width="14" hidden="1" customWidth="1"/>
    <col min="165" max="165" width="12.28515625" hidden="1" customWidth="1"/>
    <col min="166" max="166" width="15.140625" hidden="1" customWidth="1"/>
    <col min="167" max="167" width="15.7109375" hidden="1" customWidth="1"/>
    <col min="168" max="168" width="11.140625" hidden="1" customWidth="1"/>
    <col min="169" max="169" width="16.5703125" hidden="1" customWidth="1"/>
    <col min="170" max="170" width="9.140625" hidden="1" customWidth="1"/>
    <col min="171" max="171" width="13.85546875" hidden="1" customWidth="1"/>
    <col min="172" max="172" width="12.28515625" hidden="1" customWidth="1"/>
    <col min="173" max="174" width="14" hidden="1" customWidth="1"/>
    <col min="175" max="175" width="12.28515625" hidden="1" customWidth="1"/>
    <col min="176" max="176" width="15.140625" hidden="1" customWidth="1"/>
    <col min="177" max="177" width="15.7109375" hidden="1" customWidth="1"/>
    <col min="178" max="178" width="11.140625" hidden="1" customWidth="1"/>
    <col min="179" max="179" width="16.5703125" hidden="1" customWidth="1"/>
    <col min="180" max="180" width="3" hidden="1" customWidth="1"/>
    <col min="181" max="181" width="13.85546875" hidden="1" customWidth="1"/>
    <col min="182" max="182" width="12.28515625" hidden="1" customWidth="1"/>
    <col min="183" max="184" width="14" hidden="1" customWidth="1"/>
    <col min="185" max="185" width="12.28515625" hidden="1" customWidth="1"/>
    <col min="186" max="186" width="15.140625" hidden="1" customWidth="1"/>
    <col min="187" max="187" width="15.7109375" hidden="1" customWidth="1"/>
    <col min="188" max="188" width="11.140625" hidden="1" customWidth="1"/>
    <col min="189" max="189" width="16.5703125" hidden="1" customWidth="1"/>
    <col min="190" max="190" width="3.28515625" hidden="1" customWidth="1"/>
    <col min="191" max="191" width="13.85546875" hidden="1" customWidth="1"/>
    <col min="192" max="192" width="12.28515625" hidden="1" customWidth="1"/>
    <col min="193" max="194" width="14" hidden="1" customWidth="1"/>
    <col min="195" max="195" width="12.28515625" hidden="1" customWidth="1"/>
    <col min="196" max="196" width="15.140625" hidden="1" customWidth="1"/>
    <col min="197" max="197" width="15.7109375" hidden="1" customWidth="1"/>
    <col min="198" max="198" width="11.140625" hidden="1" customWidth="1"/>
    <col min="199" max="199" width="16.5703125" hidden="1" customWidth="1"/>
    <col min="200" max="200" width="2.85546875" hidden="1" customWidth="1"/>
    <col min="201" max="201" width="13.85546875" hidden="1" customWidth="1"/>
    <col min="202" max="202" width="12.28515625" hidden="1" customWidth="1"/>
    <col min="203" max="204" width="14" hidden="1" customWidth="1"/>
    <col min="205" max="205" width="12.28515625" hidden="1" customWidth="1"/>
    <col min="206" max="206" width="15.140625" hidden="1" customWidth="1"/>
    <col min="207" max="207" width="15.7109375" hidden="1" customWidth="1"/>
    <col min="208" max="208" width="11.140625" hidden="1" customWidth="1"/>
    <col min="209" max="209" width="16.5703125" hidden="1" customWidth="1"/>
    <col min="210" max="210" width="3.42578125" hidden="1" customWidth="1"/>
    <col min="211" max="211" width="13.7109375" hidden="1" customWidth="1"/>
    <col min="212" max="212" width="12" hidden="1" customWidth="1"/>
    <col min="213" max="213" width="13.7109375" hidden="1" customWidth="1"/>
    <col min="214" max="214" width="13.85546875" hidden="1" customWidth="1"/>
    <col min="215" max="215" width="12" hidden="1" customWidth="1"/>
    <col min="216" max="216" width="15.140625" hidden="1" customWidth="1"/>
    <col min="217" max="217" width="15.42578125" hidden="1" customWidth="1"/>
    <col min="218" max="218" width="10.85546875" hidden="1" customWidth="1"/>
    <col min="219" max="219" width="16.140625" hidden="1" customWidth="1"/>
    <col min="220" max="220" width="2.85546875" hidden="1" customWidth="1"/>
    <col min="221" max="221" width="13.7109375" hidden="1" customWidth="1"/>
    <col min="222" max="222" width="12" hidden="1" customWidth="1"/>
    <col min="223" max="223" width="13.7109375" hidden="1" customWidth="1"/>
    <col min="224" max="224" width="13.85546875" hidden="1" customWidth="1"/>
    <col min="225" max="225" width="12" hidden="1" customWidth="1"/>
    <col min="226" max="226" width="15.140625" hidden="1" customWidth="1"/>
    <col min="227" max="227" width="15.42578125" hidden="1" customWidth="1"/>
    <col min="228" max="228" width="10.85546875" hidden="1" customWidth="1"/>
    <col min="229" max="229" width="16.140625" hidden="1" customWidth="1"/>
    <col min="230" max="230" width="2.7109375" hidden="1" customWidth="1"/>
    <col min="231" max="231" width="13.7109375" hidden="1" customWidth="1"/>
    <col min="232" max="232" width="12" hidden="1" customWidth="1"/>
    <col min="233" max="233" width="13.7109375" hidden="1" customWidth="1"/>
    <col min="234" max="234" width="13.85546875" hidden="1" customWidth="1"/>
    <col min="235" max="235" width="12" hidden="1" customWidth="1"/>
    <col min="236" max="236" width="15.140625" hidden="1" customWidth="1"/>
    <col min="237" max="237" width="15.42578125" hidden="1" customWidth="1"/>
    <col min="238" max="238" width="10.85546875" hidden="1" customWidth="1"/>
    <col min="239" max="239" width="16.140625" hidden="1" customWidth="1"/>
    <col min="240" max="240" width="3.140625" hidden="1" customWidth="1"/>
    <col min="241" max="241" width="13.7109375" hidden="1" customWidth="1"/>
    <col min="242" max="242" width="12" hidden="1" customWidth="1"/>
    <col min="243" max="243" width="13.7109375" hidden="1" customWidth="1"/>
    <col min="244" max="244" width="13.85546875" hidden="1" customWidth="1"/>
    <col min="245" max="245" width="12" hidden="1" customWidth="1"/>
    <col min="246" max="246" width="15.140625" hidden="1" customWidth="1"/>
    <col min="247" max="247" width="15.42578125" hidden="1" customWidth="1"/>
    <col min="248" max="248" width="10.85546875" hidden="1" customWidth="1"/>
    <col min="249" max="249" width="16.140625" hidden="1" customWidth="1"/>
    <col min="250" max="250" width="4.5703125" hidden="1" customWidth="1"/>
    <col min="251" max="251" width="13.7109375" hidden="1" customWidth="1"/>
    <col min="252" max="252" width="13.140625" hidden="1" customWidth="1"/>
    <col min="253" max="253" width="13.7109375" hidden="1" customWidth="1"/>
    <col min="254" max="254" width="13.85546875" hidden="1" customWidth="1"/>
    <col min="255" max="255" width="12" hidden="1" customWidth="1"/>
    <col min="256" max="256" width="15.140625" hidden="1" customWidth="1"/>
    <col min="257" max="257" width="15.42578125" hidden="1" customWidth="1"/>
    <col min="258" max="258" width="10.85546875" hidden="1" customWidth="1"/>
    <col min="259" max="259" width="16.140625" hidden="1" customWidth="1"/>
    <col min="260" max="260" width="3.5703125" hidden="1" customWidth="1"/>
    <col min="261" max="261" width="13.7109375" hidden="1" customWidth="1"/>
    <col min="262" max="262" width="13.140625" hidden="1" customWidth="1"/>
    <col min="263" max="263" width="13.7109375" hidden="1" customWidth="1"/>
    <col min="264" max="264" width="13.85546875" hidden="1" customWidth="1"/>
    <col min="265" max="265" width="12" hidden="1" customWidth="1"/>
    <col min="266" max="266" width="15.140625" hidden="1" customWidth="1"/>
    <col min="267" max="267" width="15.42578125" hidden="1" customWidth="1"/>
    <col min="268" max="268" width="13.7109375" hidden="1" customWidth="1"/>
    <col min="269" max="269" width="16.140625" hidden="1" customWidth="1"/>
    <col min="270" max="270" width="4.42578125" hidden="1" customWidth="1"/>
    <col min="271" max="271" width="13.7109375" hidden="1" customWidth="1"/>
    <col min="272" max="272" width="13.140625" hidden="1" customWidth="1"/>
    <col min="273" max="273" width="13.7109375" hidden="1" customWidth="1"/>
    <col min="274" max="274" width="13.85546875" hidden="1" customWidth="1"/>
    <col min="275" max="275" width="13.140625" hidden="1" customWidth="1"/>
    <col min="276" max="276" width="15.140625" hidden="1" customWidth="1"/>
    <col min="277" max="277" width="15.42578125" hidden="1" customWidth="1"/>
    <col min="278" max="278" width="13.7109375" hidden="1" customWidth="1"/>
    <col min="279" max="279" width="16.140625" hidden="1" customWidth="1"/>
    <col min="280" max="280" width="4.28515625" hidden="1" customWidth="1"/>
    <col min="281" max="281" width="13.7109375" hidden="1" customWidth="1"/>
    <col min="282" max="282" width="13.140625" hidden="1" customWidth="1"/>
    <col min="283" max="283" width="13.7109375" hidden="1" customWidth="1"/>
    <col min="284" max="284" width="13.85546875" hidden="1" customWidth="1"/>
    <col min="285" max="285" width="12" hidden="1" customWidth="1"/>
    <col min="286" max="286" width="15.140625" hidden="1" customWidth="1"/>
    <col min="287" max="287" width="15.42578125" hidden="1" customWidth="1"/>
    <col min="288" max="288" width="13.7109375" hidden="1" customWidth="1"/>
    <col min="289" max="289" width="0.140625" hidden="1" customWidth="1"/>
    <col min="290" max="290" width="3" hidden="1" customWidth="1"/>
    <col min="291" max="291" width="13.7109375" hidden="1" customWidth="1"/>
    <col min="292" max="292" width="13.140625" hidden="1" customWidth="1"/>
    <col min="293" max="293" width="13.7109375" hidden="1" customWidth="1"/>
    <col min="294" max="294" width="13.85546875" hidden="1" customWidth="1"/>
    <col min="295" max="295" width="12" hidden="1" customWidth="1"/>
    <col min="296" max="296" width="15.140625" hidden="1" customWidth="1"/>
    <col min="297" max="297" width="15.42578125" hidden="1" customWidth="1"/>
    <col min="298" max="298" width="13.7109375" hidden="1" customWidth="1"/>
    <col min="299" max="299" width="16.140625" hidden="1" customWidth="1"/>
    <col min="300" max="300" width="3.28515625" hidden="1" customWidth="1"/>
    <col min="301" max="301" width="13.7109375" hidden="1" customWidth="1"/>
    <col min="302" max="302" width="13.140625" hidden="1" customWidth="1"/>
    <col min="303" max="303" width="13.7109375" hidden="1" customWidth="1"/>
    <col min="304" max="304" width="13.85546875" hidden="1" customWidth="1"/>
    <col min="305" max="305" width="12" hidden="1" customWidth="1"/>
    <col min="306" max="306" width="15.140625" hidden="1" customWidth="1"/>
    <col min="307" max="307" width="15.42578125" hidden="1" customWidth="1"/>
    <col min="308" max="308" width="13.7109375" hidden="1" customWidth="1"/>
    <col min="309" max="309" width="16.140625" hidden="1" customWidth="1"/>
    <col min="310" max="310" width="2.7109375" hidden="1" customWidth="1"/>
    <col min="311" max="311" width="13.7109375" hidden="1" customWidth="1"/>
    <col min="312" max="312" width="13.140625" hidden="1" customWidth="1"/>
    <col min="313" max="313" width="13.7109375" hidden="1" customWidth="1"/>
    <col min="314" max="314" width="13.85546875" hidden="1" customWidth="1"/>
    <col min="315" max="315" width="12" hidden="1" customWidth="1"/>
    <col min="316" max="316" width="15.140625" hidden="1" customWidth="1"/>
    <col min="317" max="317" width="15.42578125" hidden="1" customWidth="1"/>
    <col min="318" max="318" width="13.7109375" hidden="1" customWidth="1"/>
    <col min="319" max="319" width="16.140625" hidden="1" customWidth="1"/>
    <col min="320" max="320" width="2.7109375" hidden="1" customWidth="1"/>
    <col min="321" max="321" width="13.7109375" hidden="1" customWidth="1"/>
    <col min="322" max="322" width="13.140625" hidden="1" customWidth="1"/>
    <col min="323" max="323" width="13.7109375" hidden="1" customWidth="1"/>
    <col min="324" max="324" width="13.85546875" hidden="1" customWidth="1"/>
    <col min="325" max="325" width="12" hidden="1" customWidth="1"/>
    <col min="326" max="326" width="15.140625" hidden="1" customWidth="1"/>
    <col min="327" max="327" width="15.42578125" hidden="1" customWidth="1"/>
    <col min="328" max="328" width="13.7109375" hidden="1" customWidth="1"/>
    <col min="329" max="329" width="16.140625" hidden="1" customWidth="1"/>
    <col min="330" max="330" width="3.140625" hidden="1" customWidth="1"/>
    <col min="331" max="331" width="13.7109375" hidden="1" customWidth="1"/>
    <col min="332" max="332" width="13.140625" hidden="1" customWidth="1"/>
    <col min="333" max="333" width="13.7109375" hidden="1" customWidth="1"/>
    <col min="334" max="334" width="13.85546875" hidden="1" customWidth="1"/>
    <col min="335" max="335" width="12" hidden="1" customWidth="1"/>
    <col min="336" max="336" width="15.140625" hidden="1" customWidth="1"/>
    <col min="337" max="337" width="15.42578125" hidden="1" customWidth="1"/>
    <col min="338" max="338" width="13.7109375" hidden="1" customWidth="1"/>
    <col min="339" max="339" width="16.140625" hidden="1" customWidth="1"/>
    <col min="340" max="340" width="2.28515625" hidden="1" customWidth="1"/>
    <col min="341" max="341" width="13.7109375" hidden="1" customWidth="1"/>
    <col min="342" max="342" width="13.140625" hidden="1" customWidth="1"/>
    <col min="343" max="343" width="13.7109375" hidden="1" customWidth="1"/>
    <col min="344" max="344" width="13.85546875" hidden="1" customWidth="1"/>
    <col min="345" max="345" width="12" hidden="1" customWidth="1"/>
    <col min="346" max="346" width="15.140625" hidden="1" customWidth="1"/>
    <col min="347" max="347" width="15.42578125" hidden="1" customWidth="1"/>
    <col min="348" max="348" width="13.7109375" hidden="1" customWidth="1"/>
    <col min="349" max="349" width="16.140625" hidden="1" customWidth="1"/>
    <col min="350" max="350" width="4.140625" hidden="1" customWidth="1"/>
    <col min="351" max="351" width="13.7109375" hidden="1" customWidth="1"/>
    <col min="352" max="352" width="13.140625" hidden="1" customWidth="1"/>
    <col min="353" max="353" width="13.7109375" hidden="1" customWidth="1"/>
    <col min="354" max="354" width="13.85546875" hidden="1" customWidth="1"/>
    <col min="355" max="355" width="12" hidden="1" customWidth="1"/>
    <col min="356" max="356" width="15.140625" hidden="1" customWidth="1"/>
    <col min="357" max="357" width="15.42578125" hidden="1" customWidth="1"/>
    <col min="358" max="358" width="13.7109375" hidden="1" customWidth="1"/>
    <col min="359" max="359" width="16.140625" hidden="1" customWidth="1"/>
    <col min="360" max="360" width="3" hidden="1" customWidth="1"/>
    <col min="361" max="361" width="13.42578125" hidden="1" customWidth="1"/>
    <col min="362" max="362" width="12.7109375" hidden="1" customWidth="1"/>
    <col min="363" max="364" width="13.42578125" hidden="1" customWidth="1"/>
    <col min="365" max="365" width="11.5703125" hidden="1" customWidth="1"/>
    <col min="366" max="366" width="14.7109375" hidden="1" customWidth="1"/>
    <col min="367" max="367" width="15" hidden="1" customWidth="1"/>
    <col min="368" max="368" width="13.42578125" hidden="1" customWidth="1"/>
    <col min="369" max="369" width="15.7109375" hidden="1" customWidth="1"/>
    <col min="370" max="370" width="3.5703125" hidden="1" customWidth="1"/>
    <col min="371" max="371" width="13.42578125" hidden="1" customWidth="1"/>
    <col min="372" max="372" width="12.7109375" hidden="1" customWidth="1"/>
    <col min="373" max="373" width="13.42578125" hidden="1" customWidth="1"/>
    <col min="374" max="374" width="13.7109375" hidden="1" customWidth="1"/>
    <col min="375" max="375" width="11.5703125" hidden="1" customWidth="1"/>
    <col min="376" max="376" width="14.7109375" hidden="1" customWidth="1"/>
    <col min="377" max="377" width="15" hidden="1" customWidth="1"/>
    <col min="378" max="378" width="13.42578125" hidden="1" customWidth="1"/>
    <col min="379" max="379" width="0.140625" customWidth="1"/>
    <col min="380" max="380" width="3.28515625" hidden="1" customWidth="1"/>
    <col min="381" max="381" width="13.42578125" hidden="1" customWidth="1"/>
    <col min="382" max="382" width="12.7109375" hidden="1" customWidth="1"/>
    <col min="383" max="384" width="13.42578125" hidden="1" customWidth="1"/>
    <col min="385" max="385" width="11.5703125" hidden="1" customWidth="1"/>
    <col min="386" max="386" width="14.7109375" hidden="1" customWidth="1"/>
    <col min="387" max="387" width="15" hidden="1" customWidth="1"/>
    <col min="388" max="388" width="13.42578125" hidden="1" customWidth="1"/>
    <col min="389" max="389" width="15.7109375" hidden="1" customWidth="1"/>
    <col min="390" max="390" width="4.42578125" customWidth="1"/>
    <col min="391" max="391" width="13.42578125" bestFit="1" customWidth="1"/>
    <col min="392" max="392" width="12.7109375" bestFit="1" customWidth="1"/>
    <col min="393" max="394" width="13.42578125" bestFit="1" customWidth="1"/>
    <col min="395" max="395" width="11.5703125" bestFit="1" customWidth="1"/>
    <col min="396" max="396" width="14.7109375" bestFit="1" customWidth="1"/>
    <col min="397" max="397" width="15" bestFit="1" customWidth="1"/>
    <col min="398" max="398" width="13.42578125" bestFit="1" customWidth="1"/>
    <col min="399" max="399" width="15.7109375" bestFit="1" customWidth="1"/>
    <col min="401" max="401" width="13.42578125" bestFit="1" customWidth="1"/>
    <col min="402" max="402" width="12.7109375" bestFit="1" customWidth="1"/>
    <col min="403" max="404" width="13.42578125" bestFit="1" customWidth="1"/>
    <col min="405" max="405" width="11.5703125" bestFit="1" customWidth="1"/>
    <col min="406" max="406" width="14.7109375" bestFit="1" customWidth="1"/>
    <col min="407" max="407" width="12.28515625" bestFit="1" customWidth="1"/>
    <col min="408" max="408" width="13.42578125" bestFit="1" customWidth="1"/>
    <col min="409" max="409" width="13.5703125" bestFit="1" customWidth="1"/>
    <col min="411" max="411" width="13.42578125" bestFit="1" customWidth="1"/>
    <col min="412" max="412" width="12.7109375" bestFit="1" customWidth="1"/>
    <col min="413" max="414" width="13.42578125" bestFit="1" customWidth="1"/>
    <col min="415" max="415" width="11.5703125" bestFit="1" customWidth="1"/>
    <col min="416" max="416" width="14.7109375" bestFit="1" customWidth="1"/>
    <col min="417" max="417" width="12.28515625" bestFit="1" customWidth="1"/>
    <col min="418" max="418" width="13.42578125" bestFit="1" customWidth="1"/>
    <col min="419" max="419" width="13.5703125" bestFit="1" customWidth="1"/>
    <col min="420" max="420" width="9.140625" customWidth="1"/>
    <col min="421" max="421" width="13.42578125" bestFit="1" customWidth="1"/>
    <col min="422" max="422" width="12.7109375" bestFit="1" customWidth="1"/>
    <col min="423" max="424" width="13.42578125" bestFit="1" customWidth="1"/>
    <col min="425" max="425" width="11.5703125" bestFit="1" customWidth="1"/>
    <col min="426" max="426" width="14.7109375" bestFit="1" customWidth="1"/>
    <col min="427" max="427" width="12.28515625" bestFit="1" customWidth="1"/>
    <col min="428" max="428" width="13.42578125" bestFit="1" customWidth="1"/>
    <col min="429" max="429" width="13.5703125" bestFit="1" customWidth="1"/>
    <col min="431" max="431" width="13.42578125" bestFit="1" customWidth="1"/>
    <col min="432" max="432" width="12.7109375" bestFit="1" customWidth="1"/>
    <col min="433" max="434" width="13.42578125" bestFit="1" customWidth="1"/>
    <col min="435" max="435" width="11.5703125" bestFit="1" customWidth="1"/>
    <col min="436" max="436" width="14.7109375" bestFit="1" customWidth="1"/>
    <col min="437" max="437" width="12.28515625" bestFit="1" customWidth="1"/>
    <col min="438" max="438" width="13.42578125" bestFit="1" customWidth="1"/>
    <col min="439" max="439" width="13.5703125" bestFit="1" customWidth="1"/>
    <col min="441" max="441" width="13.42578125" bestFit="1" customWidth="1"/>
    <col min="442" max="442" width="12.7109375" bestFit="1" customWidth="1"/>
    <col min="443" max="444" width="13.42578125" bestFit="1" customWidth="1"/>
    <col min="445" max="445" width="11.5703125" bestFit="1" customWidth="1"/>
    <col min="446" max="446" width="14.7109375" bestFit="1" customWidth="1"/>
    <col min="447" max="447" width="12.28515625" bestFit="1" customWidth="1"/>
    <col min="448" max="448" width="13.42578125" bestFit="1" customWidth="1"/>
    <col min="449" max="449" width="13.5703125" bestFit="1" customWidth="1"/>
    <col min="451" max="451" width="13.42578125" bestFit="1" customWidth="1"/>
    <col min="452" max="452" width="12.7109375" bestFit="1" customWidth="1"/>
    <col min="453" max="454" width="13.42578125" bestFit="1" customWidth="1"/>
    <col min="455" max="455" width="11.5703125" bestFit="1" customWidth="1"/>
    <col min="456" max="456" width="14.7109375" bestFit="1" customWidth="1"/>
    <col min="457" max="457" width="12.28515625" bestFit="1" customWidth="1"/>
    <col min="458" max="458" width="13.42578125" bestFit="1" customWidth="1"/>
    <col min="459" max="459" width="13.5703125" bestFit="1" customWidth="1"/>
    <col min="461" max="461" width="13.42578125" bestFit="1" customWidth="1"/>
    <col min="462" max="462" width="12.7109375" bestFit="1" customWidth="1"/>
    <col min="463" max="464" width="13.42578125" bestFit="1" customWidth="1"/>
    <col min="465" max="465" width="11.5703125" bestFit="1" customWidth="1"/>
    <col min="466" max="466" width="14.7109375" bestFit="1" customWidth="1"/>
    <col min="467" max="467" width="12.28515625" bestFit="1" customWidth="1"/>
    <col min="468" max="468" width="13.42578125" bestFit="1" customWidth="1"/>
    <col min="469" max="469" width="13.5703125" bestFit="1" customWidth="1"/>
    <col min="471" max="471" width="13.42578125" bestFit="1" customWidth="1"/>
    <col min="472" max="472" width="12.7109375" bestFit="1" customWidth="1"/>
    <col min="473" max="474" width="13.42578125" bestFit="1" customWidth="1"/>
    <col min="475" max="475" width="11.5703125" bestFit="1" customWidth="1"/>
    <col min="476" max="476" width="14.7109375" bestFit="1" customWidth="1"/>
    <col min="477" max="477" width="12.28515625" bestFit="1" customWidth="1"/>
    <col min="478" max="478" width="13.42578125" bestFit="1" customWidth="1"/>
    <col min="479" max="479" width="13.5703125" bestFit="1" customWidth="1"/>
  </cols>
  <sheetData>
    <row r="1" spans="1:489" ht="21" customHeight="1" thickBot="1" x14ac:dyDescent="0.3">
      <c r="A1" s="66" t="s">
        <v>146</v>
      </c>
      <c r="B1" s="240">
        <v>43102</v>
      </c>
      <c r="C1" s="241"/>
      <c r="D1" s="241"/>
      <c r="E1" s="241"/>
      <c r="F1" s="241"/>
      <c r="G1" s="241"/>
      <c r="H1" s="241"/>
      <c r="I1" s="241"/>
      <c r="J1" s="241"/>
      <c r="K1" s="240">
        <v>43468</v>
      </c>
      <c r="L1" s="241"/>
      <c r="M1" s="241"/>
      <c r="N1" s="241"/>
      <c r="O1" s="241"/>
      <c r="P1" s="241"/>
      <c r="Q1" s="241"/>
      <c r="R1" s="241"/>
      <c r="S1" s="241"/>
      <c r="T1" s="71"/>
      <c r="U1" s="240">
        <v>43469</v>
      </c>
      <c r="V1" s="241"/>
      <c r="W1" s="241"/>
      <c r="X1" s="241"/>
      <c r="Y1" s="241"/>
      <c r="Z1" s="241"/>
      <c r="AA1" s="241"/>
      <c r="AB1" s="241"/>
      <c r="AC1" s="241"/>
      <c r="AD1" s="71"/>
      <c r="AE1" s="240">
        <v>43472</v>
      </c>
      <c r="AF1" s="241"/>
      <c r="AG1" s="241"/>
      <c r="AH1" s="241"/>
      <c r="AI1" s="241"/>
      <c r="AJ1" s="241"/>
      <c r="AK1" s="241"/>
      <c r="AL1" s="241"/>
      <c r="AM1" s="241"/>
      <c r="AN1" s="71"/>
      <c r="AO1" s="240">
        <v>43473</v>
      </c>
      <c r="AP1" s="241"/>
      <c r="AQ1" s="241"/>
      <c r="AR1" s="241"/>
      <c r="AS1" s="241"/>
      <c r="AT1" s="241"/>
      <c r="AU1" s="241"/>
      <c r="AV1" s="241"/>
      <c r="AW1" s="241"/>
      <c r="AX1" s="71"/>
      <c r="AY1" s="240">
        <v>43474</v>
      </c>
      <c r="AZ1" s="241"/>
      <c r="BA1" s="241"/>
      <c r="BB1" s="241"/>
      <c r="BC1" s="241"/>
      <c r="BD1" s="241"/>
      <c r="BE1" s="241"/>
      <c r="BF1" s="241"/>
      <c r="BG1" s="241"/>
      <c r="BH1" s="71"/>
      <c r="BI1" s="240">
        <v>43475</v>
      </c>
      <c r="BJ1" s="241"/>
      <c r="BK1" s="241"/>
      <c r="BL1" s="241"/>
      <c r="BM1" s="241"/>
      <c r="BN1" s="241"/>
      <c r="BO1" s="241"/>
      <c r="BP1" s="241"/>
      <c r="BQ1" s="241"/>
      <c r="BR1" s="71"/>
      <c r="BS1" s="240">
        <v>43476</v>
      </c>
      <c r="BT1" s="241"/>
      <c r="BU1" s="241"/>
      <c r="BV1" s="241"/>
      <c r="BW1" s="241"/>
      <c r="BX1" s="241"/>
      <c r="BY1" s="241"/>
      <c r="BZ1" s="241"/>
      <c r="CA1" s="241"/>
      <c r="CB1" s="71"/>
      <c r="CC1" s="240">
        <v>43783</v>
      </c>
      <c r="CD1" s="241"/>
      <c r="CE1" s="241"/>
      <c r="CF1" s="241"/>
      <c r="CG1" s="241"/>
      <c r="CH1" s="241"/>
      <c r="CI1" s="241"/>
      <c r="CJ1" s="241"/>
      <c r="CK1" s="241"/>
      <c r="CL1" s="71"/>
      <c r="CM1" s="240">
        <v>43480</v>
      </c>
      <c r="CN1" s="241"/>
      <c r="CO1" s="241"/>
      <c r="CP1" s="241"/>
      <c r="CQ1" s="241"/>
      <c r="CR1" s="241"/>
      <c r="CS1" s="241"/>
      <c r="CT1" s="241"/>
      <c r="CU1" s="241"/>
      <c r="CV1" s="71"/>
      <c r="CW1" s="240">
        <v>43481</v>
      </c>
      <c r="CX1" s="241"/>
      <c r="CY1" s="241"/>
      <c r="CZ1" s="241"/>
      <c r="DA1" s="241"/>
      <c r="DB1" s="241"/>
      <c r="DC1" s="241"/>
      <c r="DD1" s="241"/>
      <c r="DE1" s="241"/>
      <c r="DF1" s="71"/>
      <c r="DG1" s="240">
        <v>43482</v>
      </c>
      <c r="DH1" s="241"/>
      <c r="DI1" s="241"/>
      <c r="DJ1" s="241"/>
      <c r="DK1" s="241"/>
      <c r="DL1" s="241"/>
      <c r="DM1" s="241"/>
      <c r="DN1" s="241"/>
      <c r="DO1" s="241"/>
      <c r="DP1" s="71"/>
      <c r="DQ1" s="240">
        <v>43483</v>
      </c>
      <c r="DR1" s="241"/>
      <c r="DS1" s="241"/>
      <c r="DT1" s="241"/>
      <c r="DU1" s="241"/>
      <c r="DV1" s="241"/>
      <c r="DW1" s="241"/>
      <c r="DX1" s="241"/>
      <c r="DY1" s="241"/>
      <c r="DZ1" s="71"/>
      <c r="EA1" s="240">
        <v>43486</v>
      </c>
      <c r="EB1" s="241"/>
      <c r="EC1" s="241"/>
      <c r="ED1" s="241"/>
      <c r="EE1" s="241"/>
      <c r="EF1" s="241"/>
      <c r="EG1" s="241"/>
      <c r="EH1" s="241"/>
      <c r="EI1" s="241"/>
      <c r="EJ1" s="71"/>
      <c r="EK1" s="240">
        <v>43487</v>
      </c>
      <c r="EL1" s="241"/>
      <c r="EM1" s="241"/>
      <c r="EN1" s="241"/>
      <c r="EO1" s="241"/>
      <c r="EP1" s="241"/>
      <c r="EQ1" s="241"/>
      <c r="ER1" s="241"/>
      <c r="ES1" s="241"/>
      <c r="ET1" s="71"/>
      <c r="EU1" s="240">
        <v>43488</v>
      </c>
      <c r="EV1" s="241"/>
      <c r="EW1" s="241"/>
      <c r="EX1" s="241"/>
      <c r="EY1" s="241"/>
      <c r="EZ1" s="241"/>
      <c r="FA1" s="241"/>
      <c r="FB1" s="241"/>
      <c r="FC1" s="241"/>
      <c r="FD1" s="71"/>
      <c r="FE1" s="240">
        <v>43489</v>
      </c>
      <c r="FF1" s="241"/>
      <c r="FG1" s="241"/>
      <c r="FH1" s="241"/>
      <c r="FI1" s="241"/>
      <c r="FJ1" s="241"/>
      <c r="FK1" s="241"/>
      <c r="FL1" s="241"/>
      <c r="FM1" s="241"/>
      <c r="FN1" s="71"/>
      <c r="FO1" s="240">
        <v>43490</v>
      </c>
      <c r="FP1" s="241"/>
      <c r="FQ1" s="241"/>
      <c r="FR1" s="241"/>
      <c r="FS1" s="241"/>
      <c r="FT1" s="241"/>
      <c r="FU1" s="241"/>
      <c r="FV1" s="241"/>
      <c r="FW1" s="241"/>
      <c r="FX1" s="71"/>
      <c r="FY1" s="240">
        <v>43493</v>
      </c>
      <c r="FZ1" s="241"/>
      <c r="GA1" s="241"/>
      <c r="GB1" s="241"/>
      <c r="GC1" s="241"/>
      <c r="GD1" s="241"/>
      <c r="GE1" s="241"/>
      <c r="GF1" s="241"/>
      <c r="GG1" s="241"/>
      <c r="GH1" s="71"/>
      <c r="GI1" s="240">
        <v>43494</v>
      </c>
      <c r="GJ1" s="241"/>
      <c r="GK1" s="241"/>
      <c r="GL1" s="241"/>
      <c r="GM1" s="241"/>
      <c r="GN1" s="241"/>
      <c r="GO1" s="241"/>
      <c r="GP1" s="241"/>
      <c r="GQ1" s="241"/>
      <c r="GR1" s="71"/>
      <c r="GS1" s="240">
        <v>43495</v>
      </c>
      <c r="GT1" s="241"/>
      <c r="GU1" s="241"/>
      <c r="GV1" s="241"/>
      <c r="GW1" s="241"/>
      <c r="GX1" s="241"/>
      <c r="GY1" s="241"/>
      <c r="GZ1" s="241"/>
      <c r="HA1" s="241"/>
      <c r="HB1" s="71"/>
      <c r="HC1" s="240">
        <v>43495</v>
      </c>
      <c r="HD1" s="241"/>
      <c r="HE1" s="241"/>
      <c r="HF1" s="241"/>
      <c r="HG1" s="241"/>
      <c r="HH1" s="241"/>
      <c r="HI1" s="241"/>
      <c r="HJ1" s="241"/>
      <c r="HK1" s="241"/>
      <c r="HL1" s="71"/>
      <c r="HM1" s="240">
        <v>43496</v>
      </c>
      <c r="HN1" s="241"/>
      <c r="HO1" s="241"/>
      <c r="HP1" s="241"/>
      <c r="HQ1" s="241"/>
      <c r="HR1" s="241"/>
      <c r="HS1" s="241"/>
      <c r="HT1" s="241"/>
      <c r="HU1" s="241"/>
      <c r="HV1" s="71"/>
      <c r="HW1" s="240">
        <v>43497</v>
      </c>
      <c r="HX1" s="241"/>
      <c r="HY1" s="241"/>
      <c r="HZ1" s="241"/>
      <c r="IA1" s="241"/>
      <c r="IB1" s="241"/>
      <c r="IC1" s="241"/>
      <c r="ID1" s="241"/>
      <c r="IE1" s="241"/>
      <c r="IF1" s="71"/>
      <c r="IG1" s="240">
        <v>43500</v>
      </c>
      <c r="IH1" s="241"/>
      <c r="II1" s="241"/>
      <c r="IJ1" s="241"/>
      <c r="IK1" s="241"/>
      <c r="IL1" s="241"/>
      <c r="IM1" s="241"/>
      <c r="IN1" s="241"/>
      <c r="IO1" s="241"/>
      <c r="IP1" s="71"/>
      <c r="IQ1" s="240">
        <v>43501</v>
      </c>
      <c r="IR1" s="241"/>
      <c r="IS1" s="241"/>
      <c r="IT1" s="241"/>
      <c r="IU1" s="241"/>
      <c r="IV1" s="241"/>
      <c r="IW1" s="241"/>
      <c r="IX1" s="241"/>
      <c r="IY1" s="241"/>
      <c r="IZ1" s="71"/>
      <c r="JA1" s="240">
        <v>43502</v>
      </c>
      <c r="JB1" s="241"/>
      <c r="JC1" s="241"/>
      <c r="JD1" s="241"/>
      <c r="JE1" s="241"/>
      <c r="JF1" s="241"/>
      <c r="JG1" s="241"/>
      <c r="JH1" s="241"/>
      <c r="JI1" s="241"/>
      <c r="JJ1" s="71"/>
      <c r="JK1" s="240">
        <v>43503</v>
      </c>
      <c r="JL1" s="241"/>
      <c r="JM1" s="241"/>
      <c r="JN1" s="241"/>
      <c r="JO1" s="241"/>
      <c r="JP1" s="241"/>
      <c r="JQ1" s="241"/>
      <c r="JR1" s="241"/>
      <c r="JS1" s="241"/>
      <c r="JT1" s="71"/>
      <c r="JU1" s="240">
        <v>43504</v>
      </c>
      <c r="JV1" s="241"/>
      <c r="JW1" s="241"/>
      <c r="JX1" s="241"/>
      <c r="JY1" s="241"/>
      <c r="JZ1" s="241"/>
      <c r="KA1" s="241"/>
      <c r="KB1" s="241"/>
      <c r="KC1" s="241"/>
      <c r="KD1" s="71"/>
      <c r="KE1" s="240">
        <v>43507</v>
      </c>
      <c r="KF1" s="241"/>
      <c r="KG1" s="241"/>
      <c r="KH1" s="241"/>
      <c r="KI1" s="241"/>
      <c r="KJ1" s="241"/>
      <c r="KK1" s="241"/>
      <c r="KL1" s="241"/>
      <c r="KM1" s="241"/>
      <c r="KN1" s="71"/>
      <c r="KO1" s="240">
        <v>43508</v>
      </c>
      <c r="KP1" s="241"/>
      <c r="KQ1" s="241"/>
      <c r="KR1" s="241"/>
      <c r="KS1" s="241"/>
      <c r="KT1" s="241"/>
      <c r="KU1" s="241"/>
      <c r="KV1" s="241"/>
      <c r="KW1" s="241"/>
      <c r="KX1" s="71"/>
      <c r="KY1" s="240">
        <v>43509</v>
      </c>
      <c r="KZ1" s="241"/>
      <c r="LA1" s="241"/>
      <c r="LB1" s="241"/>
      <c r="LC1" s="241"/>
      <c r="LD1" s="241"/>
      <c r="LE1" s="241"/>
      <c r="LF1" s="241"/>
      <c r="LG1" s="241"/>
      <c r="LH1" s="71"/>
      <c r="LI1" s="240">
        <v>43510</v>
      </c>
      <c r="LJ1" s="241"/>
      <c r="LK1" s="241"/>
      <c r="LL1" s="241"/>
      <c r="LM1" s="241"/>
      <c r="LN1" s="241"/>
      <c r="LO1" s="241"/>
      <c r="LP1" s="241"/>
      <c r="LQ1" s="241"/>
      <c r="LR1" s="71"/>
      <c r="LS1" s="240">
        <v>43511</v>
      </c>
      <c r="LT1" s="241"/>
      <c r="LU1" s="241"/>
      <c r="LV1" s="241"/>
      <c r="LW1" s="241"/>
      <c r="LX1" s="241"/>
      <c r="LY1" s="241"/>
      <c r="LZ1" s="241"/>
      <c r="MA1" s="241"/>
      <c r="MB1" s="71"/>
      <c r="MC1" s="240">
        <v>43514</v>
      </c>
      <c r="MD1" s="241"/>
      <c r="ME1" s="241"/>
      <c r="MF1" s="241"/>
      <c r="MG1" s="241"/>
      <c r="MH1" s="241"/>
      <c r="MI1" s="241"/>
      <c r="MJ1" s="241"/>
      <c r="MK1" s="241"/>
      <c r="ML1" s="71"/>
      <c r="MM1" s="240">
        <v>43515</v>
      </c>
      <c r="MN1" s="241"/>
      <c r="MO1" s="241"/>
      <c r="MP1" s="241"/>
      <c r="MQ1" s="241"/>
      <c r="MR1" s="241"/>
      <c r="MS1" s="241"/>
      <c r="MT1" s="241"/>
      <c r="MU1" s="241"/>
      <c r="MV1" s="71"/>
      <c r="MW1" s="240">
        <v>43516</v>
      </c>
      <c r="MX1" s="241"/>
      <c r="MY1" s="241"/>
      <c r="MZ1" s="241"/>
      <c r="NA1" s="241"/>
      <c r="NB1" s="241"/>
      <c r="NC1" s="241"/>
      <c r="ND1" s="241"/>
      <c r="NE1" s="241"/>
      <c r="NF1" s="71"/>
      <c r="NG1" s="240">
        <v>43517</v>
      </c>
      <c r="NH1" s="241"/>
      <c r="NI1" s="241"/>
      <c r="NJ1" s="241"/>
      <c r="NK1" s="241"/>
      <c r="NL1" s="241"/>
      <c r="NM1" s="241"/>
      <c r="NN1" s="241"/>
      <c r="NO1" s="241"/>
      <c r="NP1" s="71"/>
      <c r="NQ1" s="240">
        <v>43518</v>
      </c>
      <c r="NR1" s="241"/>
      <c r="NS1" s="241"/>
      <c r="NT1" s="241"/>
      <c r="NU1" s="241"/>
      <c r="NV1" s="241"/>
      <c r="NW1" s="241"/>
      <c r="NX1" s="241"/>
      <c r="NY1" s="241"/>
      <c r="NZ1" s="71"/>
      <c r="OA1" s="240">
        <v>43521</v>
      </c>
      <c r="OB1" s="241"/>
      <c r="OC1" s="241"/>
      <c r="OD1" s="241"/>
      <c r="OE1" s="241"/>
      <c r="OF1" s="241"/>
      <c r="OG1" s="241"/>
      <c r="OH1" s="241"/>
      <c r="OI1" s="241"/>
      <c r="OJ1" s="71"/>
      <c r="OK1" s="240">
        <v>43522</v>
      </c>
      <c r="OL1" s="241"/>
      <c r="OM1" s="241"/>
      <c r="ON1" s="241"/>
      <c r="OO1" s="241"/>
      <c r="OP1" s="241"/>
      <c r="OQ1" s="241"/>
      <c r="OR1" s="241"/>
      <c r="OS1" s="241"/>
      <c r="OT1" s="71"/>
      <c r="OU1" s="240">
        <v>43523</v>
      </c>
      <c r="OV1" s="241"/>
      <c r="OW1" s="241"/>
      <c r="OX1" s="241"/>
      <c r="OY1" s="241"/>
      <c r="OZ1" s="241"/>
      <c r="PA1" s="241"/>
      <c r="PB1" s="241"/>
      <c r="PC1" s="241"/>
      <c r="PD1" s="71"/>
      <c r="PE1" s="240">
        <v>43524</v>
      </c>
      <c r="PF1" s="241"/>
      <c r="PG1" s="241"/>
      <c r="PH1" s="241"/>
      <c r="PI1" s="241"/>
      <c r="PJ1" s="241"/>
      <c r="PK1" s="241"/>
      <c r="PL1" s="241"/>
      <c r="PM1" s="241"/>
      <c r="PN1" s="71"/>
      <c r="PO1" s="240">
        <v>43525</v>
      </c>
      <c r="PP1" s="241"/>
      <c r="PQ1" s="241"/>
      <c r="PR1" s="241"/>
      <c r="PS1" s="241"/>
      <c r="PT1" s="241"/>
      <c r="PU1" s="241"/>
      <c r="PV1" s="241"/>
      <c r="PW1" s="241"/>
      <c r="PX1" s="71"/>
      <c r="PY1" s="240">
        <v>43530</v>
      </c>
      <c r="PZ1" s="241"/>
      <c r="QA1" s="241"/>
      <c r="QB1" s="241"/>
      <c r="QC1" s="241"/>
      <c r="QD1" s="241"/>
      <c r="QE1" s="241"/>
      <c r="QF1" s="241"/>
      <c r="QG1" s="241"/>
      <c r="QH1" s="71"/>
      <c r="QI1" s="240">
        <v>43531</v>
      </c>
      <c r="QJ1" s="241"/>
      <c r="QK1" s="241"/>
      <c r="QL1" s="241"/>
      <c r="QM1" s="241"/>
      <c r="QN1" s="241"/>
      <c r="QO1" s="241"/>
      <c r="QP1" s="241"/>
      <c r="QQ1" s="241"/>
      <c r="QR1" s="71"/>
      <c r="QS1" s="240">
        <v>43532</v>
      </c>
      <c r="QT1" s="241"/>
      <c r="QU1" s="241"/>
      <c r="QV1" s="241"/>
      <c r="QW1" s="241"/>
      <c r="QX1" s="241"/>
      <c r="QY1" s="241"/>
      <c r="QZ1" s="241"/>
      <c r="RA1" s="241"/>
      <c r="RB1" s="71"/>
      <c r="RC1" s="240">
        <v>43535</v>
      </c>
      <c r="RD1" s="241"/>
      <c r="RE1" s="241"/>
      <c r="RF1" s="241"/>
      <c r="RG1" s="241"/>
      <c r="RH1" s="241"/>
      <c r="RI1" s="241"/>
      <c r="RJ1" s="241"/>
      <c r="RK1" s="241"/>
      <c r="RL1" s="71"/>
      <c r="RM1" s="240">
        <v>43535</v>
      </c>
      <c r="RN1" s="241"/>
      <c r="RO1" s="241"/>
      <c r="RP1" s="241"/>
      <c r="RQ1" s="241"/>
      <c r="RR1" s="241"/>
      <c r="RS1" s="241"/>
      <c r="RT1" s="241"/>
      <c r="RU1" s="241"/>
    </row>
    <row r="2" spans="1:489" x14ac:dyDescent="0.25">
      <c r="A2" s="66" t="s">
        <v>147</v>
      </c>
      <c r="B2" s="51" t="s">
        <v>148</v>
      </c>
      <c r="C2" s="51" t="s">
        <v>149</v>
      </c>
      <c r="D2" s="52" t="s">
        <v>150</v>
      </c>
      <c r="E2" s="50" t="s">
        <v>148</v>
      </c>
      <c r="F2" s="51" t="s">
        <v>149</v>
      </c>
      <c r="G2" s="52" t="s">
        <v>151</v>
      </c>
      <c r="H2" s="50" t="s">
        <v>148</v>
      </c>
      <c r="I2" s="51" t="s">
        <v>152</v>
      </c>
      <c r="J2" s="52" t="s">
        <v>153</v>
      </c>
      <c r="K2" s="50" t="s">
        <v>148</v>
      </c>
      <c r="L2" s="51" t="s">
        <v>149</v>
      </c>
      <c r="M2" s="52" t="s">
        <v>150</v>
      </c>
      <c r="N2" s="50" t="s">
        <v>148</v>
      </c>
      <c r="O2" s="51" t="s">
        <v>149</v>
      </c>
      <c r="P2" s="52" t="s">
        <v>151</v>
      </c>
      <c r="Q2" s="50" t="s">
        <v>148</v>
      </c>
      <c r="R2" s="51" t="s">
        <v>152</v>
      </c>
      <c r="S2" s="52" t="s">
        <v>153</v>
      </c>
      <c r="T2" s="72"/>
      <c r="U2" s="50" t="s">
        <v>148</v>
      </c>
      <c r="V2" s="51" t="s">
        <v>149</v>
      </c>
      <c r="W2" s="52" t="s">
        <v>150</v>
      </c>
      <c r="X2" s="50" t="s">
        <v>148</v>
      </c>
      <c r="Y2" s="51" t="s">
        <v>149</v>
      </c>
      <c r="Z2" s="52" t="s">
        <v>151</v>
      </c>
      <c r="AA2" s="50" t="s">
        <v>148</v>
      </c>
      <c r="AB2" s="51" t="s">
        <v>152</v>
      </c>
      <c r="AC2" s="52" t="s">
        <v>153</v>
      </c>
      <c r="AD2" s="72"/>
      <c r="AE2" s="50" t="s">
        <v>148</v>
      </c>
      <c r="AF2" s="51" t="s">
        <v>149</v>
      </c>
      <c r="AG2" s="52" t="s">
        <v>150</v>
      </c>
      <c r="AH2" s="50" t="s">
        <v>148</v>
      </c>
      <c r="AI2" s="51" t="s">
        <v>149</v>
      </c>
      <c r="AJ2" s="52" t="s">
        <v>151</v>
      </c>
      <c r="AK2" s="50" t="s">
        <v>148</v>
      </c>
      <c r="AL2" s="51" t="s">
        <v>152</v>
      </c>
      <c r="AM2" s="52" t="s">
        <v>153</v>
      </c>
      <c r="AN2" s="72"/>
      <c r="AO2" s="50" t="s">
        <v>148</v>
      </c>
      <c r="AP2" s="51" t="s">
        <v>149</v>
      </c>
      <c r="AQ2" s="52" t="s">
        <v>150</v>
      </c>
      <c r="AR2" s="50" t="s">
        <v>148</v>
      </c>
      <c r="AS2" s="51" t="s">
        <v>149</v>
      </c>
      <c r="AT2" s="52" t="s">
        <v>151</v>
      </c>
      <c r="AU2" s="50" t="s">
        <v>148</v>
      </c>
      <c r="AV2" s="51" t="s">
        <v>152</v>
      </c>
      <c r="AW2" s="52" t="s">
        <v>153</v>
      </c>
      <c r="AX2" s="72"/>
      <c r="AY2" s="50" t="s">
        <v>148</v>
      </c>
      <c r="AZ2" s="51" t="s">
        <v>149</v>
      </c>
      <c r="BA2" s="52" t="s">
        <v>150</v>
      </c>
      <c r="BB2" s="50" t="s">
        <v>148</v>
      </c>
      <c r="BC2" s="51" t="s">
        <v>149</v>
      </c>
      <c r="BD2" s="52" t="s">
        <v>151</v>
      </c>
      <c r="BE2" s="50" t="s">
        <v>148</v>
      </c>
      <c r="BF2" s="51" t="s">
        <v>152</v>
      </c>
      <c r="BG2" s="52" t="s">
        <v>153</v>
      </c>
      <c r="BH2" s="72"/>
      <c r="BI2" s="50" t="s">
        <v>148</v>
      </c>
      <c r="BJ2" s="51" t="s">
        <v>149</v>
      </c>
      <c r="BK2" s="52" t="s">
        <v>150</v>
      </c>
      <c r="BL2" s="50" t="s">
        <v>148</v>
      </c>
      <c r="BM2" s="51" t="s">
        <v>149</v>
      </c>
      <c r="BN2" s="52" t="s">
        <v>151</v>
      </c>
      <c r="BO2" s="50" t="s">
        <v>148</v>
      </c>
      <c r="BP2" s="51" t="s">
        <v>152</v>
      </c>
      <c r="BQ2" s="52" t="s">
        <v>153</v>
      </c>
      <c r="BR2" s="72"/>
      <c r="BS2" s="50" t="s">
        <v>148</v>
      </c>
      <c r="BT2" s="51" t="s">
        <v>149</v>
      </c>
      <c r="BU2" s="52" t="s">
        <v>150</v>
      </c>
      <c r="BV2" s="50" t="s">
        <v>148</v>
      </c>
      <c r="BW2" s="51" t="s">
        <v>149</v>
      </c>
      <c r="BX2" s="52" t="s">
        <v>151</v>
      </c>
      <c r="BY2" s="50" t="s">
        <v>148</v>
      </c>
      <c r="BZ2" s="51" t="s">
        <v>152</v>
      </c>
      <c r="CA2" s="52" t="s">
        <v>153</v>
      </c>
      <c r="CB2" s="72"/>
      <c r="CC2" s="50" t="s">
        <v>148</v>
      </c>
      <c r="CD2" s="51" t="s">
        <v>149</v>
      </c>
      <c r="CE2" s="52" t="s">
        <v>150</v>
      </c>
      <c r="CF2" s="50" t="s">
        <v>148</v>
      </c>
      <c r="CG2" s="51" t="s">
        <v>149</v>
      </c>
      <c r="CH2" s="52" t="s">
        <v>151</v>
      </c>
      <c r="CI2" s="50" t="s">
        <v>148</v>
      </c>
      <c r="CJ2" s="51" t="s">
        <v>152</v>
      </c>
      <c r="CK2" s="52" t="s">
        <v>153</v>
      </c>
      <c r="CL2" s="72"/>
      <c r="CM2" s="50" t="s">
        <v>148</v>
      </c>
      <c r="CN2" s="51" t="s">
        <v>149</v>
      </c>
      <c r="CO2" s="52" t="s">
        <v>150</v>
      </c>
      <c r="CP2" s="50" t="s">
        <v>148</v>
      </c>
      <c r="CQ2" s="51" t="s">
        <v>149</v>
      </c>
      <c r="CR2" s="52" t="s">
        <v>151</v>
      </c>
      <c r="CS2" s="50" t="s">
        <v>148</v>
      </c>
      <c r="CT2" s="51" t="s">
        <v>152</v>
      </c>
      <c r="CU2" s="52" t="s">
        <v>153</v>
      </c>
      <c r="CV2" s="72"/>
      <c r="CW2" s="50" t="s">
        <v>148</v>
      </c>
      <c r="CX2" s="51" t="s">
        <v>149</v>
      </c>
      <c r="CY2" s="52" t="s">
        <v>150</v>
      </c>
      <c r="CZ2" s="50" t="s">
        <v>148</v>
      </c>
      <c r="DA2" s="51" t="s">
        <v>149</v>
      </c>
      <c r="DB2" s="52" t="s">
        <v>151</v>
      </c>
      <c r="DC2" s="50" t="s">
        <v>148</v>
      </c>
      <c r="DD2" s="51" t="s">
        <v>152</v>
      </c>
      <c r="DE2" s="52" t="s">
        <v>153</v>
      </c>
      <c r="DF2" s="72"/>
      <c r="DG2" s="50" t="s">
        <v>148</v>
      </c>
      <c r="DH2" s="51" t="s">
        <v>149</v>
      </c>
      <c r="DI2" s="52" t="s">
        <v>150</v>
      </c>
      <c r="DJ2" s="50" t="s">
        <v>148</v>
      </c>
      <c r="DK2" s="51" t="s">
        <v>149</v>
      </c>
      <c r="DL2" s="52" t="s">
        <v>151</v>
      </c>
      <c r="DM2" s="50" t="s">
        <v>148</v>
      </c>
      <c r="DN2" s="51" t="s">
        <v>152</v>
      </c>
      <c r="DO2" s="52" t="s">
        <v>153</v>
      </c>
      <c r="DP2" s="72"/>
      <c r="DQ2" s="50" t="s">
        <v>148</v>
      </c>
      <c r="DR2" s="51" t="s">
        <v>149</v>
      </c>
      <c r="DS2" s="52" t="s">
        <v>150</v>
      </c>
      <c r="DT2" s="50" t="s">
        <v>148</v>
      </c>
      <c r="DU2" s="51" t="s">
        <v>149</v>
      </c>
      <c r="DV2" s="52" t="s">
        <v>151</v>
      </c>
      <c r="DW2" s="50" t="s">
        <v>148</v>
      </c>
      <c r="DX2" s="51" t="s">
        <v>152</v>
      </c>
      <c r="DY2" s="52" t="s">
        <v>153</v>
      </c>
      <c r="DZ2" s="72"/>
      <c r="EA2" s="50" t="s">
        <v>148</v>
      </c>
      <c r="EB2" s="51" t="s">
        <v>149</v>
      </c>
      <c r="EC2" s="52" t="s">
        <v>150</v>
      </c>
      <c r="ED2" s="50" t="s">
        <v>148</v>
      </c>
      <c r="EE2" s="51" t="s">
        <v>149</v>
      </c>
      <c r="EF2" s="52" t="s">
        <v>151</v>
      </c>
      <c r="EG2" s="50" t="s">
        <v>148</v>
      </c>
      <c r="EH2" s="51" t="s">
        <v>152</v>
      </c>
      <c r="EI2" s="52" t="s">
        <v>153</v>
      </c>
      <c r="EJ2" s="72"/>
      <c r="EK2" s="50" t="s">
        <v>148</v>
      </c>
      <c r="EL2" s="51" t="s">
        <v>149</v>
      </c>
      <c r="EM2" s="52" t="s">
        <v>150</v>
      </c>
      <c r="EN2" s="50" t="s">
        <v>148</v>
      </c>
      <c r="EO2" s="51" t="s">
        <v>149</v>
      </c>
      <c r="EP2" s="52" t="s">
        <v>151</v>
      </c>
      <c r="EQ2" s="50" t="s">
        <v>148</v>
      </c>
      <c r="ER2" s="51" t="s">
        <v>152</v>
      </c>
      <c r="ES2" s="52" t="s">
        <v>153</v>
      </c>
      <c r="ET2" s="72"/>
      <c r="EU2" s="50" t="s">
        <v>148</v>
      </c>
      <c r="EV2" s="51" t="s">
        <v>149</v>
      </c>
      <c r="EW2" s="52" t="s">
        <v>150</v>
      </c>
      <c r="EX2" s="50" t="s">
        <v>148</v>
      </c>
      <c r="EY2" s="51" t="s">
        <v>149</v>
      </c>
      <c r="EZ2" s="52" t="s">
        <v>151</v>
      </c>
      <c r="FA2" s="50" t="s">
        <v>148</v>
      </c>
      <c r="FB2" s="51" t="s">
        <v>152</v>
      </c>
      <c r="FC2" s="52" t="s">
        <v>153</v>
      </c>
      <c r="FD2" s="72"/>
      <c r="FE2" s="50" t="s">
        <v>148</v>
      </c>
      <c r="FF2" s="51" t="s">
        <v>149</v>
      </c>
      <c r="FG2" s="52" t="s">
        <v>150</v>
      </c>
      <c r="FH2" s="50" t="s">
        <v>148</v>
      </c>
      <c r="FI2" s="51" t="s">
        <v>149</v>
      </c>
      <c r="FJ2" s="52" t="s">
        <v>151</v>
      </c>
      <c r="FK2" s="50" t="s">
        <v>148</v>
      </c>
      <c r="FL2" s="51" t="s">
        <v>152</v>
      </c>
      <c r="FM2" s="52" t="s">
        <v>153</v>
      </c>
      <c r="FN2" s="72"/>
      <c r="FO2" s="50" t="s">
        <v>148</v>
      </c>
      <c r="FP2" s="51" t="s">
        <v>149</v>
      </c>
      <c r="FQ2" s="52" t="s">
        <v>150</v>
      </c>
      <c r="FR2" s="50" t="s">
        <v>148</v>
      </c>
      <c r="FS2" s="51" t="s">
        <v>149</v>
      </c>
      <c r="FT2" s="52" t="s">
        <v>151</v>
      </c>
      <c r="FU2" s="50" t="s">
        <v>148</v>
      </c>
      <c r="FV2" s="51" t="s">
        <v>152</v>
      </c>
      <c r="FW2" s="52" t="s">
        <v>153</v>
      </c>
      <c r="FX2" s="72"/>
      <c r="FY2" s="50" t="s">
        <v>148</v>
      </c>
      <c r="FZ2" s="51" t="s">
        <v>149</v>
      </c>
      <c r="GA2" s="52" t="s">
        <v>150</v>
      </c>
      <c r="GB2" s="50" t="s">
        <v>148</v>
      </c>
      <c r="GC2" s="51" t="s">
        <v>149</v>
      </c>
      <c r="GD2" s="52" t="s">
        <v>151</v>
      </c>
      <c r="GE2" s="50" t="s">
        <v>148</v>
      </c>
      <c r="GF2" s="51" t="s">
        <v>152</v>
      </c>
      <c r="GG2" s="52" t="s">
        <v>153</v>
      </c>
      <c r="GH2" s="72"/>
      <c r="GI2" s="50" t="s">
        <v>148</v>
      </c>
      <c r="GJ2" s="51" t="s">
        <v>149</v>
      </c>
      <c r="GK2" s="52" t="s">
        <v>150</v>
      </c>
      <c r="GL2" s="50" t="s">
        <v>148</v>
      </c>
      <c r="GM2" s="51" t="s">
        <v>149</v>
      </c>
      <c r="GN2" s="52" t="s">
        <v>151</v>
      </c>
      <c r="GO2" s="50" t="s">
        <v>148</v>
      </c>
      <c r="GP2" s="51" t="s">
        <v>152</v>
      </c>
      <c r="GQ2" s="52" t="s">
        <v>153</v>
      </c>
      <c r="GR2" s="72"/>
      <c r="GS2" s="50" t="s">
        <v>148</v>
      </c>
      <c r="GT2" s="51" t="s">
        <v>149</v>
      </c>
      <c r="GU2" s="52" t="s">
        <v>150</v>
      </c>
      <c r="GV2" s="50" t="s">
        <v>148</v>
      </c>
      <c r="GW2" s="51" t="s">
        <v>149</v>
      </c>
      <c r="GX2" s="52" t="s">
        <v>151</v>
      </c>
      <c r="GY2" s="50" t="s">
        <v>148</v>
      </c>
      <c r="GZ2" s="51" t="s">
        <v>152</v>
      </c>
      <c r="HA2" s="52" t="s">
        <v>153</v>
      </c>
      <c r="HB2" s="72"/>
      <c r="HC2" s="50" t="s">
        <v>148</v>
      </c>
      <c r="HD2" s="51" t="s">
        <v>149</v>
      </c>
      <c r="HE2" s="52" t="s">
        <v>150</v>
      </c>
      <c r="HF2" s="50" t="s">
        <v>148</v>
      </c>
      <c r="HG2" s="51" t="s">
        <v>149</v>
      </c>
      <c r="HH2" s="52" t="s">
        <v>151</v>
      </c>
      <c r="HI2" s="50" t="s">
        <v>148</v>
      </c>
      <c r="HJ2" s="51" t="s">
        <v>152</v>
      </c>
      <c r="HK2" s="52" t="s">
        <v>153</v>
      </c>
      <c r="HL2" s="72"/>
      <c r="HM2" s="50" t="s">
        <v>148</v>
      </c>
      <c r="HN2" s="51" t="s">
        <v>149</v>
      </c>
      <c r="HO2" s="52" t="s">
        <v>150</v>
      </c>
      <c r="HP2" s="50" t="s">
        <v>148</v>
      </c>
      <c r="HQ2" s="51" t="s">
        <v>149</v>
      </c>
      <c r="HR2" s="52" t="s">
        <v>151</v>
      </c>
      <c r="HS2" s="50" t="s">
        <v>148</v>
      </c>
      <c r="HT2" s="51" t="s">
        <v>152</v>
      </c>
      <c r="HU2" s="52" t="s">
        <v>153</v>
      </c>
      <c r="HV2" s="72"/>
      <c r="HW2" s="50" t="s">
        <v>148</v>
      </c>
      <c r="HX2" s="51" t="s">
        <v>149</v>
      </c>
      <c r="HY2" s="52" t="s">
        <v>150</v>
      </c>
      <c r="HZ2" s="50" t="s">
        <v>148</v>
      </c>
      <c r="IA2" s="51" t="s">
        <v>149</v>
      </c>
      <c r="IB2" s="52" t="s">
        <v>151</v>
      </c>
      <c r="IC2" s="50" t="s">
        <v>148</v>
      </c>
      <c r="ID2" s="51" t="s">
        <v>152</v>
      </c>
      <c r="IE2" s="52" t="s">
        <v>153</v>
      </c>
      <c r="IF2" s="72"/>
      <c r="IG2" s="50" t="s">
        <v>148</v>
      </c>
      <c r="IH2" s="51" t="s">
        <v>149</v>
      </c>
      <c r="II2" s="52" t="s">
        <v>150</v>
      </c>
      <c r="IJ2" s="50" t="s">
        <v>148</v>
      </c>
      <c r="IK2" s="51" t="s">
        <v>149</v>
      </c>
      <c r="IL2" s="52" t="s">
        <v>151</v>
      </c>
      <c r="IM2" s="50" t="s">
        <v>148</v>
      </c>
      <c r="IN2" s="51" t="s">
        <v>152</v>
      </c>
      <c r="IO2" s="52" t="s">
        <v>153</v>
      </c>
      <c r="IP2" s="72"/>
      <c r="IQ2" s="50" t="s">
        <v>148</v>
      </c>
      <c r="IR2" s="51" t="s">
        <v>149</v>
      </c>
      <c r="IS2" s="52" t="s">
        <v>150</v>
      </c>
      <c r="IT2" s="50" t="s">
        <v>148</v>
      </c>
      <c r="IU2" s="51" t="s">
        <v>149</v>
      </c>
      <c r="IV2" s="52" t="s">
        <v>151</v>
      </c>
      <c r="IW2" s="50" t="s">
        <v>148</v>
      </c>
      <c r="IX2" s="51" t="s">
        <v>152</v>
      </c>
      <c r="IY2" s="52" t="s">
        <v>153</v>
      </c>
      <c r="IZ2" s="72"/>
      <c r="JA2" s="50" t="s">
        <v>148</v>
      </c>
      <c r="JB2" s="51" t="s">
        <v>149</v>
      </c>
      <c r="JC2" s="52" t="s">
        <v>150</v>
      </c>
      <c r="JD2" s="50" t="s">
        <v>148</v>
      </c>
      <c r="JE2" s="51" t="s">
        <v>149</v>
      </c>
      <c r="JF2" s="52" t="s">
        <v>151</v>
      </c>
      <c r="JG2" s="50" t="s">
        <v>148</v>
      </c>
      <c r="JH2" s="51" t="s">
        <v>152</v>
      </c>
      <c r="JI2" s="52" t="s">
        <v>153</v>
      </c>
      <c r="JJ2" s="72"/>
      <c r="JK2" s="50" t="s">
        <v>148</v>
      </c>
      <c r="JL2" s="51" t="s">
        <v>149</v>
      </c>
      <c r="JM2" s="52" t="s">
        <v>150</v>
      </c>
      <c r="JN2" s="50" t="s">
        <v>148</v>
      </c>
      <c r="JO2" s="51" t="s">
        <v>149</v>
      </c>
      <c r="JP2" s="52" t="s">
        <v>151</v>
      </c>
      <c r="JQ2" s="50" t="s">
        <v>148</v>
      </c>
      <c r="JR2" s="51" t="s">
        <v>152</v>
      </c>
      <c r="JS2" s="52" t="s">
        <v>153</v>
      </c>
      <c r="JT2" s="72"/>
      <c r="JU2" s="50" t="s">
        <v>148</v>
      </c>
      <c r="JV2" s="51" t="s">
        <v>149</v>
      </c>
      <c r="JW2" s="52" t="s">
        <v>150</v>
      </c>
      <c r="JX2" s="50" t="s">
        <v>148</v>
      </c>
      <c r="JY2" s="51" t="s">
        <v>149</v>
      </c>
      <c r="JZ2" s="52" t="s">
        <v>151</v>
      </c>
      <c r="KA2" s="50" t="s">
        <v>148</v>
      </c>
      <c r="KB2" s="51" t="s">
        <v>152</v>
      </c>
      <c r="KC2" s="52" t="s">
        <v>153</v>
      </c>
      <c r="KD2" s="72"/>
      <c r="KE2" s="50" t="s">
        <v>148</v>
      </c>
      <c r="KF2" s="51" t="s">
        <v>149</v>
      </c>
      <c r="KG2" s="52" t="s">
        <v>150</v>
      </c>
      <c r="KH2" s="50" t="s">
        <v>148</v>
      </c>
      <c r="KI2" s="51" t="s">
        <v>149</v>
      </c>
      <c r="KJ2" s="52" t="s">
        <v>151</v>
      </c>
      <c r="KK2" s="50" t="s">
        <v>148</v>
      </c>
      <c r="KL2" s="51" t="s">
        <v>152</v>
      </c>
      <c r="KM2" s="52" t="s">
        <v>153</v>
      </c>
      <c r="KN2" s="72"/>
      <c r="KO2" s="50" t="s">
        <v>148</v>
      </c>
      <c r="KP2" s="51" t="s">
        <v>149</v>
      </c>
      <c r="KQ2" s="52" t="s">
        <v>150</v>
      </c>
      <c r="KR2" s="50" t="s">
        <v>148</v>
      </c>
      <c r="KS2" s="51" t="s">
        <v>149</v>
      </c>
      <c r="KT2" s="52" t="s">
        <v>151</v>
      </c>
      <c r="KU2" s="50" t="s">
        <v>148</v>
      </c>
      <c r="KV2" s="51" t="s">
        <v>152</v>
      </c>
      <c r="KW2" s="52" t="s">
        <v>153</v>
      </c>
      <c r="KX2" s="72"/>
      <c r="KY2" s="50" t="s">
        <v>148</v>
      </c>
      <c r="KZ2" s="51" t="s">
        <v>149</v>
      </c>
      <c r="LA2" s="52" t="s">
        <v>150</v>
      </c>
      <c r="LB2" s="50" t="s">
        <v>148</v>
      </c>
      <c r="LC2" s="51" t="s">
        <v>149</v>
      </c>
      <c r="LD2" s="52" t="s">
        <v>151</v>
      </c>
      <c r="LE2" s="50" t="s">
        <v>148</v>
      </c>
      <c r="LF2" s="51" t="s">
        <v>152</v>
      </c>
      <c r="LG2" s="52" t="s">
        <v>153</v>
      </c>
      <c r="LH2" s="72"/>
      <c r="LI2" s="50" t="s">
        <v>148</v>
      </c>
      <c r="LJ2" s="51" t="s">
        <v>149</v>
      </c>
      <c r="LK2" s="52" t="s">
        <v>150</v>
      </c>
      <c r="LL2" s="50" t="s">
        <v>148</v>
      </c>
      <c r="LM2" s="51" t="s">
        <v>149</v>
      </c>
      <c r="LN2" s="52" t="s">
        <v>151</v>
      </c>
      <c r="LO2" s="50" t="s">
        <v>148</v>
      </c>
      <c r="LP2" s="51" t="s">
        <v>152</v>
      </c>
      <c r="LQ2" s="52" t="s">
        <v>153</v>
      </c>
      <c r="LR2" s="72"/>
      <c r="LS2" s="50" t="s">
        <v>148</v>
      </c>
      <c r="LT2" s="51" t="s">
        <v>149</v>
      </c>
      <c r="LU2" s="52" t="s">
        <v>150</v>
      </c>
      <c r="LV2" s="50" t="s">
        <v>148</v>
      </c>
      <c r="LW2" s="51" t="s">
        <v>149</v>
      </c>
      <c r="LX2" s="52" t="s">
        <v>151</v>
      </c>
      <c r="LY2" s="50" t="s">
        <v>148</v>
      </c>
      <c r="LZ2" s="51" t="s">
        <v>152</v>
      </c>
      <c r="MA2" s="52" t="s">
        <v>153</v>
      </c>
      <c r="MB2" s="72"/>
      <c r="MC2" s="50" t="s">
        <v>148</v>
      </c>
      <c r="MD2" s="51" t="s">
        <v>149</v>
      </c>
      <c r="ME2" s="52" t="s">
        <v>150</v>
      </c>
      <c r="MF2" s="50" t="s">
        <v>148</v>
      </c>
      <c r="MG2" s="51" t="s">
        <v>149</v>
      </c>
      <c r="MH2" s="52" t="s">
        <v>151</v>
      </c>
      <c r="MI2" s="50" t="s">
        <v>148</v>
      </c>
      <c r="MJ2" s="51" t="s">
        <v>152</v>
      </c>
      <c r="MK2" s="52" t="s">
        <v>153</v>
      </c>
      <c r="ML2" s="72"/>
      <c r="MM2" s="50" t="s">
        <v>148</v>
      </c>
      <c r="MN2" s="51" t="s">
        <v>149</v>
      </c>
      <c r="MO2" s="52" t="s">
        <v>150</v>
      </c>
      <c r="MP2" s="50" t="s">
        <v>148</v>
      </c>
      <c r="MQ2" s="51" t="s">
        <v>149</v>
      </c>
      <c r="MR2" s="52" t="s">
        <v>151</v>
      </c>
      <c r="MS2" s="50" t="s">
        <v>148</v>
      </c>
      <c r="MT2" s="51" t="s">
        <v>152</v>
      </c>
      <c r="MU2" s="52" t="s">
        <v>153</v>
      </c>
      <c r="MV2" s="72"/>
      <c r="MW2" s="50" t="s">
        <v>148</v>
      </c>
      <c r="MX2" s="51" t="s">
        <v>149</v>
      </c>
      <c r="MY2" s="52" t="s">
        <v>150</v>
      </c>
      <c r="MZ2" s="50" t="s">
        <v>148</v>
      </c>
      <c r="NA2" s="51" t="s">
        <v>149</v>
      </c>
      <c r="NB2" s="52" t="s">
        <v>151</v>
      </c>
      <c r="NC2" s="50" t="s">
        <v>148</v>
      </c>
      <c r="ND2" s="51" t="s">
        <v>152</v>
      </c>
      <c r="NE2" s="52" t="s">
        <v>153</v>
      </c>
      <c r="NF2" s="72"/>
      <c r="NG2" s="50" t="s">
        <v>148</v>
      </c>
      <c r="NH2" s="51" t="s">
        <v>149</v>
      </c>
      <c r="NI2" s="52" t="s">
        <v>150</v>
      </c>
      <c r="NJ2" s="50" t="s">
        <v>148</v>
      </c>
      <c r="NK2" s="51" t="s">
        <v>149</v>
      </c>
      <c r="NL2" s="52" t="s">
        <v>151</v>
      </c>
      <c r="NM2" s="50" t="s">
        <v>148</v>
      </c>
      <c r="NN2" s="51" t="s">
        <v>152</v>
      </c>
      <c r="NO2" s="52" t="s">
        <v>153</v>
      </c>
      <c r="NP2" s="72"/>
      <c r="NQ2" s="50" t="s">
        <v>148</v>
      </c>
      <c r="NR2" s="51" t="s">
        <v>149</v>
      </c>
      <c r="NS2" s="52" t="s">
        <v>150</v>
      </c>
      <c r="NT2" s="50" t="s">
        <v>148</v>
      </c>
      <c r="NU2" s="51" t="s">
        <v>149</v>
      </c>
      <c r="NV2" s="52" t="s">
        <v>151</v>
      </c>
      <c r="NW2" s="50" t="s">
        <v>148</v>
      </c>
      <c r="NX2" s="51" t="s">
        <v>152</v>
      </c>
      <c r="NY2" s="52" t="s">
        <v>153</v>
      </c>
      <c r="NZ2" s="72"/>
      <c r="OA2" s="50" t="s">
        <v>148</v>
      </c>
      <c r="OB2" s="51" t="s">
        <v>149</v>
      </c>
      <c r="OC2" s="52" t="s">
        <v>150</v>
      </c>
      <c r="OD2" s="50" t="s">
        <v>148</v>
      </c>
      <c r="OE2" s="51" t="s">
        <v>149</v>
      </c>
      <c r="OF2" s="52" t="s">
        <v>151</v>
      </c>
      <c r="OG2" s="50" t="s">
        <v>148</v>
      </c>
      <c r="OH2" s="51" t="s">
        <v>152</v>
      </c>
      <c r="OI2" s="52" t="s">
        <v>153</v>
      </c>
      <c r="OJ2" s="72"/>
      <c r="OK2" s="50" t="s">
        <v>148</v>
      </c>
      <c r="OL2" s="51" t="s">
        <v>149</v>
      </c>
      <c r="OM2" s="52" t="s">
        <v>150</v>
      </c>
      <c r="ON2" s="50" t="s">
        <v>148</v>
      </c>
      <c r="OO2" s="51" t="s">
        <v>149</v>
      </c>
      <c r="OP2" s="52" t="s">
        <v>151</v>
      </c>
      <c r="OQ2" s="50" t="s">
        <v>148</v>
      </c>
      <c r="OR2" s="51" t="s">
        <v>152</v>
      </c>
      <c r="OS2" s="52" t="s">
        <v>153</v>
      </c>
      <c r="OT2" s="72"/>
      <c r="OU2" s="50" t="s">
        <v>148</v>
      </c>
      <c r="OV2" s="51" t="s">
        <v>149</v>
      </c>
      <c r="OW2" s="52" t="s">
        <v>150</v>
      </c>
      <c r="OX2" s="50" t="s">
        <v>148</v>
      </c>
      <c r="OY2" s="51" t="s">
        <v>149</v>
      </c>
      <c r="OZ2" s="52" t="s">
        <v>151</v>
      </c>
      <c r="PA2" s="50" t="s">
        <v>148</v>
      </c>
      <c r="PB2" s="51" t="s">
        <v>152</v>
      </c>
      <c r="PC2" s="52" t="s">
        <v>153</v>
      </c>
      <c r="PD2" s="72"/>
      <c r="PE2" s="50" t="s">
        <v>148</v>
      </c>
      <c r="PF2" s="51" t="s">
        <v>149</v>
      </c>
      <c r="PG2" s="52" t="s">
        <v>150</v>
      </c>
      <c r="PH2" s="50" t="s">
        <v>148</v>
      </c>
      <c r="PI2" s="51" t="s">
        <v>149</v>
      </c>
      <c r="PJ2" s="52" t="s">
        <v>151</v>
      </c>
      <c r="PK2" s="50" t="s">
        <v>148</v>
      </c>
      <c r="PL2" s="51" t="s">
        <v>152</v>
      </c>
      <c r="PM2" s="52" t="s">
        <v>153</v>
      </c>
      <c r="PN2" s="72"/>
      <c r="PO2" s="50" t="s">
        <v>148</v>
      </c>
      <c r="PP2" s="51" t="s">
        <v>149</v>
      </c>
      <c r="PQ2" s="52" t="s">
        <v>150</v>
      </c>
      <c r="PR2" s="50" t="s">
        <v>148</v>
      </c>
      <c r="PS2" s="51" t="s">
        <v>149</v>
      </c>
      <c r="PT2" s="52" t="s">
        <v>151</v>
      </c>
      <c r="PU2" s="50" t="s">
        <v>148</v>
      </c>
      <c r="PV2" s="51" t="s">
        <v>152</v>
      </c>
      <c r="PW2" s="52" t="s">
        <v>153</v>
      </c>
      <c r="PX2" s="72"/>
      <c r="PY2" s="50" t="s">
        <v>148</v>
      </c>
      <c r="PZ2" s="51" t="s">
        <v>149</v>
      </c>
      <c r="QA2" s="52" t="s">
        <v>150</v>
      </c>
      <c r="QB2" s="50" t="s">
        <v>148</v>
      </c>
      <c r="QC2" s="51" t="s">
        <v>149</v>
      </c>
      <c r="QD2" s="52" t="s">
        <v>151</v>
      </c>
      <c r="QE2" s="50" t="s">
        <v>148</v>
      </c>
      <c r="QF2" s="51" t="s">
        <v>152</v>
      </c>
      <c r="QG2" s="52" t="s">
        <v>153</v>
      </c>
      <c r="QH2" s="72"/>
      <c r="QI2" s="50" t="s">
        <v>148</v>
      </c>
      <c r="QJ2" s="51" t="s">
        <v>149</v>
      </c>
      <c r="QK2" s="52" t="s">
        <v>150</v>
      </c>
      <c r="QL2" s="50" t="s">
        <v>148</v>
      </c>
      <c r="QM2" s="51" t="s">
        <v>149</v>
      </c>
      <c r="QN2" s="52" t="s">
        <v>151</v>
      </c>
      <c r="QO2" s="50" t="s">
        <v>148</v>
      </c>
      <c r="QP2" s="51" t="s">
        <v>152</v>
      </c>
      <c r="QQ2" s="52" t="s">
        <v>153</v>
      </c>
      <c r="QR2" s="72"/>
      <c r="QS2" s="50" t="s">
        <v>148</v>
      </c>
      <c r="QT2" s="51" t="s">
        <v>149</v>
      </c>
      <c r="QU2" s="52" t="s">
        <v>150</v>
      </c>
      <c r="QV2" s="50" t="s">
        <v>148</v>
      </c>
      <c r="QW2" s="51" t="s">
        <v>149</v>
      </c>
      <c r="QX2" s="52" t="s">
        <v>151</v>
      </c>
      <c r="QY2" s="50" t="s">
        <v>148</v>
      </c>
      <c r="QZ2" s="51" t="s">
        <v>152</v>
      </c>
      <c r="RA2" s="52" t="s">
        <v>153</v>
      </c>
      <c r="RB2" s="72"/>
      <c r="RC2" s="50" t="s">
        <v>148</v>
      </c>
      <c r="RD2" s="51" t="s">
        <v>149</v>
      </c>
      <c r="RE2" s="52" t="s">
        <v>150</v>
      </c>
      <c r="RF2" s="50" t="s">
        <v>148</v>
      </c>
      <c r="RG2" s="51" t="s">
        <v>149</v>
      </c>
      <c r="RH2" s="52" t="s">
        <v>151</v>
      </c>
      <c r="RI2" s="50" t="s">
        <v>148</v>
      </c>
      <c r="RJ2" s="51" t="s">
        <v>152</v>
      </c>
      <c r="RK2" s="52" t="s">
        <v>153</v>
      </c>
      <c r="RL2" s="72"/>
      <c r="RM2" s="50" t="s">
        <v>148</v>
      </c>
      <c r="RN2" s="51" t="s">
        <v>149</v>
      </c>
      <c r="RO2" s="52" t="s">
        <v>150</v>
      </c>
      <c r="RP2" s="50" t="s">
        <v>148</v>
      </c>
      <c r="RQ2" s="51" t="s">
        <v>149</v>
      </c>
      <c r="RR2" s="52" t="s">
        <v>151</v>
      </c>
      <c r="RS2" s="50" t="s">
        <v>148</v>
      </c>
      <c r="RT2" s="51" t="s">
        <v>152</v>
      </c>
      <c r="RU2" s="52" t="s">
        <v>153</v>
      </c>
    </row>
    <row r="3" spans="1:489" x14ac:dyDescent="0.25">
      <c r="A3" s="67" t="s">
        <v>154</v>
      </c>
      <c r="B3" s="46">
        <v>17460835.2394595</v>
      </c>
      <c r="C3" s="17">
        <v>0.98293087000000001</v>
      </c>
      <c r="D3" s="54">
        <f>B3*C3</f>
        <v>17162793.972848583</v>
      </c>
      <c r="E3" s="61">
        <v>82939592.068480507</v>
      </c>
      <c r="F3" s="17">
        <v>0.97376054999999995</v>
      </c>
      <c r="G3" s="165">
        <f>E3*F3</f>
        <v>80763302.789379209</v>
      </c>
      <c r="H3" s="53"/>
      <c r="I3" s="17"/>
      <c r="J3" s="165"/>
      <c r="K3" s="53">
        <v>17521442.6494595</v>
      </c>
      <c r="L3" s="17">
        <v>0.98342443000000002</v>
      </c>
      <c r="M3" s="54">
        <f>K3*L3</f>
        <v>17231014.750322398</v>
      </c>
      <c r="N3" s="61">
        <v>81877780.138480395</v>
      </c>
      <c r="O3" s="17">
        <v>0.97412401000000004</v>
      </c>
      <c r="P3" s="165">
        <f>N3*O3</f>
        <v>79759111.518394887</v>
      </c>
      <c r="Q3" s="53"/>
      <c r="R3" s="17"/>
      <c r="S3" s="165"/>
      <c r="T3" s="166"/>
      <c r="U3" s="53">
        <v>17478674.869459499</v>
      </c>
      <c r="V3" s="17">
        <v>0.98411033999999997</v>
      </c>
      <c r="W3" s="54">
        <f>U3*V3</f>
        <v>17200944.668533243</v>
      </c>
      <c r="X3" s="61">
        <v>78831858.448480397</v>
      </c>
      <c r="Y3" s="17">
        <v>0.97384039</v>
      </c>
      <c r="Z3" s="165">
        <f>X3*Y3</f>
        <v>76769647.775892943</v>
      </c>
      <c r="AA3" s="53"/>
      <c r="AB3" s="17"/>
      <c r="AC3" s="165"/>
      <c r="AD3" s="166"/>
      <c r="AE3" s="53">
        <v>17322166.369459499</v>
      </c>
      <c r="AF3" s="17">
        <v>0.98400231000000005</v>
      </c>
      <c r="AG3" s="54">
        <f>AE3*AF3</f>
        <v>17045051.721752461</v>
      </c>
      <c r="AH3" s="61">
        <v>79533374.508480504</v>
      </c>
      <c r="AI3" s="17">
        <v>0.97398463999999996</v>
      </c>
      <c r="AJ3" s="165">
        <f>AH3*AI3+0.15</f>
        <v>77464285.288627565</v>
      </c>
      <c r="AK3" s="53"/>
      <c r="AL3" s="17"/>
      <c r="AM3" s="165"/>
      <c r="AN3" s="166"/>
      <c r="AO3" s="53">
        <v>17322166.369459499</v>
      </c>
      <c r="AP3" s="17">
        <v>0.98400231000000005</v>
      </c>
      <c r="AQ3" s="54">
        <f>AO3*AP3</f>
        <v>17045051.721752461</v>
      </c>
      <c r="AR3" s="61">
        <v>79533374.508480504</v>
      </c>
      <c r="AS3" s="17">
        <v>0.97398463999999996</v>
      </c>
      <c r="AT3" s="165">
        <f>AR3*AS3+0.15</f>
        <v>77464285.288627565</v>
      </c>
      <c r="AU3" s="53"/>
      <c r="AV3" s="17"/>
      <c r="AW3" s="165"/>
      <c r="AX3" s="166"/>
      <c r="AY3" s="53">
        <v>19737936.6294595</v>
      </c>
      <c r="AZ3" s="17">
        <v>0.98409358000000002</v>
      </c>
      <c r="BA3" s="54">
        <f>AY3*AZ3</f>
        <v>19423976.719497934</v>
      </c>
      <c r="BB3" s="61">
        <v>75990074.988480493</v>
      </c>
      <c r="BC3" s="17">
        <v>0.97374881999999996</v>
      </c>
      <c r="BD3" s="165">
        <f>BB3*BC3-0.07</f>
        <v>73995245.781744391</v>
      </c>
      <c r="BE3" s="53"/>
      <c r="BF3" s="17"/>
      <c r="BG3" s="165"/>
      <c r="BH3" s="166"/>
      <c r="BI3" s="53">
        <v>20159837.3994595</v>
      </c>
      <c r="BJ3" s="17">
        <v>0.98456149000000004</v>
      </c>
      <c r="BK3" s="54">
        <f>BI3*BJ3</f>
        <v>19848599.548169572</v>
      </c>
      <c r="BL3" s="61">
        <v>74362591.278480396</v>
      </c>
      <c r="BM3" s="17">
        <v>0.97397339999999999</v>
      </c>
      <c r="BN3" s="165">
        <v>72427185.640000001</v>
      </c>
      <c r="BO3" s="53"/>
      <c r="BP3" s="17"/>
      <c r="BQ3" s="165"/>
      <c r="BR3" s="166"/>
      <c r="BS3" s="53">
        <v>20429469.0394595</v>
      </c>
      <c r="BT3" s="17">
        <v>0.98475829000000004</v>
      </c>
      <c r="BU3" s="54">
        <f>BS3*BT3</f>
        <v>20118088.996906079</v>
      </c>
      <c r="BV3" s="61">
        <v>74774973.638480395</v>
      </c>
      <c r="BW3" s="17">
        <v>0.97411998</v>
      </c>
      <c r="BX3" s="165">
        <f>BV3*BW3+0.22</f>
        <v>72839796.045217052</v>
      </c>
      <c r="BY3" s="53"/>
      <c r="BZ3" s="17"/>
      <c r="CA3" s="165"/>
      <c r="CB3" s="166"/>
      <c r="CC3" s="53">
        <v>19071189.7194595</v>
      </c>
      <c r="CD3" s="17">
        <v>0.98413536999999995</v>
      </c>
      <c r="CE3" s="54">
        <f>CC3*CD3</f>
        <v>18768632.350900471</v>
      </c>
      <c r="CF3" s="61">
        <v>72483593.098480493</v>
      </c>
      <c r="CG3" s="17">
        <v>0.97388648</v>
      </c>
      <c r="CH3" s="165">
        <f>CF3*CG3-0.14</f>
        <v>70590791.200431466</v>
      </c>
      <c r="CI3" s="53"/>
      <c r="CJ3" s="17"/>
      <c r="CK3" s="165"/>
      <c r="CL3" s="166"/>
      <c r="CM3" s="53">
        <v>18533560.7394595</v>
      </c>
      <c r="CN3" s="17">
        <v>0.97385893999999995</v>
      </c>
      <c r="CO3" s="54">
        <f>CM3*CN3</f>
        <v>18049073.816155642</v>
      </c>
      <c r="CP3" s="61">
        <v>71767280.868480399</v>
      </c>
      <c r="CQ3" s="17">
        <v>0.97385893999999995</v>
      </c>
      <c r="CR3" s="165">
        <f>CP3*CQ3-0.36</f>
        <v>69891207.713260591</v>
      </c>
      <c r="CS3" s="53">
        <v>0</v>
      </c>
      <c r="CT3" s="17"/>
      <c r="CU3" s="165"/>
      <c r="CV3" s="166"/>
      <c r="CW3" s="53">
        <v>18411698.189459499</v>
      </c>
      <c r="CX3" s="17">
        <v>0.98453371000000001</v>
      </c>
      <c r="CY3" s="54">
        <f>CW3*CX3</f>
        <v>18126937.525868844</v>
      </c>
      <c r="CZ3" s="61">
        <v>69535966.498480394</v>
      </c>
      <c r="DA3" s="17">
        <v>0.97362570000000004</v>
      </c>
      <c r="DB3" s="165">
        <f>CZ3*DA3+0.07</f>
        <v>67702004.127259523</v>
      </c>
      <c r="DC3" s="53">
        <v>0</v>
      </c>
      <c r="DD3" s="17"/>
      <c r="DE3" s="165"/>
      <c r="DF3" s="166"/>
      <c r="DG3" s="53">
        <v>18326635.249459501</v>
      </c>
      <c r="DH3" s="17">
        <v>0.98434624999999998</v>
      </c>
      <c r="DI3" s="54">
        <f>DG3*DH3</f>
        <v>18039754.682923276</v>
      </c>
      <c r="DJ3" s="61">
        <v>68409021.638480395</v>
      </c>
      <c r="DK3" s="17">
        <v>0.97384990000000005</v>
      </c>
      <c r="DL3" s="165">
        <f>DJ3*DK3+0.21</f>
        <v>66620119.091731973</v>
      </c>
      <c r="DM3" s="53">
        <v>0</v>
      </c>
      <c r="DN3" s="17"/>
      <c r="DO3" s="165"/>
      <c r="DP3" s="166"/>
      <c r="DQ3" s="53">
        <v>18076798.709459499</v>
      </c>
      <c r="DR3" s="17">
        <v>0.98431506000000002</v>
      </c>
      <c r="DS3" s="54">
        <f>DQ3*DR3</f>
        <v>17793265.20630955</v>
      </c>
      <c r="DT3" s="61">
        <v>67928361.858480394</v>
      </c>
      <c r="DU3" s="17">
        <v>0.97392953999999998</v>
      </c>
      <c r="DV3" s="165">
        <f>DT3*DU3-0.27</f>
        <v>66157437.947783351</v>
      </c>
      <c r="DW3" s="53">
        <v>0</v>
      </c>
      <c r="DX3" s="17"/>
      <c r="DY3" s="165"/>
      <c r="DZ3" s="166"/>
      <c r="EA3" s="53">
        <v>17622784.199459501</v>
      </c>
      <c r="EB3" s="17">
        <v>0.98395913999999995</v>
      </c>
      <c r="EC3" s="54">
        <f>EA3*EB3</f>
        <v>17340099.585305758</v>
      </c>
      <c r="ED3" s="61">
        <v>65117753.468480401</v>
      </c>
      <c r="EE3" s="17">
        <v>0.97319635000000004</v>
      </c>
      <c r="EF3" s="165">
        <f>ED3*EE3+0.26</f>
        <v>63372360.255724967</v>
      </c>
      <c r="EG3" s="53">
        <v>0</v>
      </c>
      <c r="EH3" s="17"/>
      <c r="EI3" s="165"/>
      <c r="EJ3" s="166"/>
      <c r="EK3" s="53">
        <v>17673879.859459501</v>
      </c>
      <c r="EL3" s="17">
        <v>0.98369543999999998</v>
      </c>
      <c r="EM3" s="54">
        <f>EK3*EL3</f>
        <v>17385715.024858151</v>
      </c>
      <c r="EN3" s="61">
        <v>65192254.308480397</v>
      </c>
      <c r="EO3" s="17">
        <v>0.97367561999999996</v>
      </c>
      <c r="EP3" s="165">
        <f>EN3*EO3+0.26</f>
        <v>63476108.893007316</v>
      </c>
      <c r="EQ3" s="53">
        <v>0</v>
      </c>
      <c r="ER3" s="17"/>
      <c r="ES3" s="165"/>
      <c r="ET3" s="166"/>
      <c r="EU3" s="53">
        <v>17631119.769459501</v>
      </c>
      <c r="EV3" s="17">
        <v>0.98388125999999998</v>
      </c>
      <c r="EW3" s="54">
        <f>EU3*EV3</f>
        <v>17346928.333986722</v>
      </c>
      <c r="EX3" s="61">
        <v>64941365.248480402</v>
      </c>
      <c r="EY3" s="17">
        <v>0.97405708000000002</v>
      </c>
      <c r="EZ3" s="165">
        <f>EX3*EY3+0.26</f>
        <v>63256596.865148291</v>
      </c>
      <c r="FA3" s="53">
        <v>0</v>
      </c>
      <c r="FB3" s="17"/>
      <c r="FC3" s="165"/>
      <c r="FD3" s="166"/>
      <c r="FE3" s="53">
        <v>17138200.949459501</v>
      </c>
      <c r="FF3" s="17">
        <v>0.98400027000000001</v>
      </c>
      <c r="FG3" s="54">
        <f>FE3*FF3</f>
        <v>16863994.361582406</v>
      </c>
      <c r="FH3" s="61">
        <v>67036984.118480399</v>
      </c>
      <c r="FI3" s="17">
        <v>0.97416082000000004</v>
      </c>
      <c r="FJ3" s="165">
        <f>FH3*FI3</f>
        <v>65304803.419185847</v>
      </c>
      <c r="FK3" s="53">
        <v>0</v>
      </c>
      <c r="FL3" s="17"/>
      <c r="FM3" s="165"/>
      <c r="FN3" s="166"/>
      <c r="FO3" s="53">
        <v>16696773.679459499</v>
      </c>
      <c r="FP3" s="17">
        <v>0.98438387999999999</v>
      </c>
      <c r="FQ3" s="54">
        <f>FO3*FP3</f>
        <v>16436034.858068218</v>
      </c>
      <c r="FR3" s="61">
        <v>67323475.948480397</v>
      </c>
      <c r="FS3" s="17">
        <v>0.97437883999999997</v>
      </c>
      <c r="FT3" s="165">
        <f>FR3*FS3+0.26</f>
        <v>65598570.659448229</v>
      </c>
      <c r="FU3" s="53">
        <v>0</v>
      </c>
      <c r="FV3" s="17"/>
      <c r="FW3" s="165"/>
      <c r="FX3" s="166"/>
      <c r="FY3" s="53">
        <v>16061145.199459501</v>
      </c>
      <c r="FZ3" s="17">
        <v>0.98412288999999997</v>
      </c>
      <c r="GA3" s="54">
        <f>FY3*FZ3</f>
        <v>15806140.63040171</v>
      </c>
      <c r="GB3" s="61">
        <v>67367661.948480397</v>
      </c>
      <c r="GC3" s="17">
        <v>0.97418296000000004</v>
      </c>
      <c r="GD3" s="165">
        <f>GB3*GC3</f>
        <v>65628428.325250007</v>
      </c>
      <c r="GE3" s="53">
        <v>0</v>
      </c>
      <c r="GF3" s="17"/>
      <c r="GG3" s="165"/>
      <c r="GH3" s="166"/>
      <c r="GI3" s="53">
        <v>15502684.2894595</v>
      </c>
      <c r="GJ3" s="17">
        <v>0.98412058000000002</v>
      </c>
      <c r="GK3" s="54">
        <f>GI3*GJ3</f>
        <v>15256510.654499771</v>
      </c>
      <c r="GL3" s="61">
        <v>64219432.148480497</v>
      </c>
      <c r="GM3" s="17">
        <v>0.97352894000000001</v>
      </c>
      <c r="GN3" s="165">
        <f>GL3*GM3+0.26</f>
        <v>62519475.966912143</v>
      </c>
      <c r="GO3" s="53">
        <v>0</v>
      </c>
      <c r="GP3" s="17"/>
      <c r="GQ3" s="165"/>
      <c r="GR3" s="166"/>
      <c r="GS3" s="53">
        <v>14945913.929459499</v>
      </c>
      <c r="GT3" s="17">
        <v>0.98426393000000001</v>
      </c>
      <c r="GU3" s="54">
        <f>GS3*GT3</f>
        <v>14710723.98165155</v>
      </c>
      <c r="GV3" s="61">
        <v>65154323.108480498</v>
      </c>
      <c r="GW3" s="17">
        <v>0.97423152000000002</v>
      </c>
      <c r="GX3" s="165">
        <f>GV3*GW3+0.26</f>
        <v>63475395.496546082</v>
      </c>
      <c r="GY3" s="53">
        <v>0</v>
      </c>
      <c r="GZ3" s="17"/>
      <c r="HA3" s="165"/>
      <c r="HB3" s="166"/>
      <c r="HC3" s="53">
        <v>14945913.929459499</v>
      </c>
      <c r="HD3" s="17">
        <v>0.98426393000000001</v>
      </c>
      <c r="HE3" s="54">
        <f>HC3*HD3</f>
        <v>14710723.98165155</v>
      </c>
      <c r="HF3" s="61">
        <v>65154323.108480498</v>
      </c>
      <c r="HG3" s="17">
        <v>0.97423152000000002</v>
      </c>
      <c r="HH3" s="165">
        <f>HF3*HG3+0.26</f>
        <v>63475395.496546082</v>
      </c>
      <c r="HI3" s="53">
        <v>0</v>
      </c>
      <c r="HJ3" s="17"/>
      <c r="HK3" s="165"/>
      <c r="HL3" s="166"/>
      <c r="HM3" s="53">
        <v>14469814.7094595</v>
      </c>
      <c r="HN3" s="17">
        <v>0.98396810999999995</v>
      </c>
      <c r="HO3" s="54">
        <f>HM3*HN3</f>
        <v>14237836.231717063</v>
      </c>
      <c r="HP3" s="61">
        <v>67650715.398480505</v>
      </c>
      <c r="HQ3" s="17">
        <v>0.97383030000000004</v>
      </c>
      <c r="HR3" s="165">
        <f>HP3*HQ3</f>
        <v>65880316.471716896</v>
      </c>
      <c r="HS3" s="53">
        <v>0</v>
      </c>
      <c r="HT3" s="17"/>
      <c r="HU3" s="165"/>
      <c r="HV3" s="166"/>
      <c r="HW3" s="53">
        <v>14916089.259459499</v>
      </c>
      <c r="HX3" s="17">
        <v>0.98436723999999998</v>
      </c>
      <c r="HY3" s="54">
        <f>HW3*HX3</f>
        <v>14682909.615927791</v>
      </c>
      <c r="HZ3" s="61">
        <v>65586380.548480399</v>
      </c>
      <c r="IA3" s="17">
        <v>0.97336109000000004</v>
      </c>
      <c r="IB3" s="165">
        <f>HZ3*IA3+0.26</f>
        <v>63839231.119823679</v>
      </c>
      <c r="IC3" s="53">
        <v>0</v>
      </c>
      <c r="ID3" s="17"/>
      <c r="IE3" s="165"/>
      <c r="IF3" s="166"/>
      <c r="IG3" s="53">
        <v>15427657.869459501</v>
      </c>
      <c r="IH3" s="17">
        <v>0.98413209000000001</v>
      </c>
      <c r="II3" s="54">
        <f>IG3*IH3</f>
        <v>15182853.182876125</v>
      </c>
      <c r="IJ3" s="61">
        <v>63145782.008480497</v>
      </c>
      <c r="IK3" s="17">
        <v>0.97259954000000004</v>
      </c>
      <c r="IL3" s="165">
        <f>IJ3*IK3+0.26</f>
        <v>61415558.794388406</v>
      </c>
      <c r="IM3" s="53">
        <v>0</v>
      </c>
      <c r="IN3" s="17"/>
      <c r="IO3" s="165"/>
      <c r="IP3" s="166"/>
      <c r="IQ3" s="53">
        <v>16106315.0694595</v>
      </c>
      <c r="IR3" s="17">
        <v>0.98377793000000002</v>
      </c>
      <c r="IS3" s="54">
        <f>IQ3*IR3</f>
        <v>15845037.298960673</v>
      </c>
      <c r="IT3" s="61">
        <v>62871347.498480499</v>
      </c>
      <c r="IU3" s="17">
        <v>0.97081711999999998</v>
      </c>
      <c r="IV3" s="165">
        <f>IT3*IU3</f>
        <v>61036580.508994043</v>
      </c>
      <c r="IW3" s="53">
        <v>0</v>
      </c>
      <c r="IX3" s="17"/>
      <c r="IY3" s="165"/>
      <c r="IZ3" s="166"/>
      <c r="JA3" s="53">
        <v>17731297.869459499</v>
      </c>
      <c r="JB3" s="17">
        <v>0.98272482000000005</v>
      </c>
      <c r="JC3" s="54">
        <f>JA3*JB3</f>
        <v>17424986.507130969</v>
      </c>
      <c r="JD3" s="61">
        <v>61981567.418480404</v>
      </c>
      <c r="JE3" s="17">
        <v>0.97112184999999995</v>
      </c>
      <c r="JF3" s="165">
        <f>JD3*JE3</f>
        <v>60191654.417334408</v>
      </c>
      <c r="JG3" s="53">
        <v>0</v>
      </c>
      <c r="JH3" s="17"/>
      <c r="JI3" s="165"/>
      <c r="JJ3" s="166"/>
      <c r="JK3" s="53">
        <v>17293994.639459498</v>
      </c>
      <c r="JL3" s="17">
        <v>0.98294314999999999</v>
      </c>
      <c r="JM3" s="54">
        <f>JK3*JL3</f>
        <v>16999013.566993434</v>
      </c>
      <c r="JN3" s="61">
        <v>60111265.618480399</v>
      </c>
      <c r="JO3" s="17">
        <v>0.97054573</v>
      </c>
      <c r="JP3" s="165">
        <f>JN3*JO3+0.12</f>
        <v>58340732.290911958</v>
      </c>
      <c r="JQ3" s="53">
        <v>0</v>
      </c>
      <c r="JR3" s="17"/>
      <c r="JS3" s="165"/>
      <c r="JT3" s="166"/>
      <c r="JU3" s="53">
        <v>17642115.669459499</v>
      </c>
      <c r="JV3" s="17">
        <v>0.98257143000000002</v>
      </c>
      <c r="JW3" s="54">
        <f>JU3*JV3</f>
        <v>17334638.821566228</v>
      </c>
      <c r="JX3" s="61">
        <v>62380544.088480398</v>
      </c>
      <c r="JY3" s="17">
        <v>0.97097686000000005</v>
      </c>
      <c r="JZ3" s="165">
        <f>JX3*JY3</f>
        <v>60570064.824124262</v>
      </c>
      <c r="KA3" s="53">
        <v>0</v>
      </c>
      <c r="KB3" s="17"/>
      <c r="KC3" s="165"/>
      <c r="KD3" s="166"/>
      <c r="KE3" s="53">
        <v>17875339.799459498</v>
      </c>
      <c r="KF3" s="17">
        <v>0.98208695000000001</v>
      </c>
      <c r="KG3" s="54">
        <f>KE3*KF3</f>
        <v>17555137.943864789</v>
      </c>
      <c r="KH3" s="61">
        <v>60061768.398480497</v>
      </c>
      <c r="KI3" s="17">
        <v>0.97009332000000004</v>
      </c>
      <c r="KJ3" s="165">
        <f>KH3*KI3</f>
        <v>58265520.310753033</v>
      </c>
      <c r="KK3" s="53">
        <v>0</v>
      </c>
      <c r="KL3" s="17"/>
      <c r="KM3" s="165"/>
      <c r="KN3" s="166"/>
      <c r="KO3" s="53">
        <v>17503954.439459499</v>
      </c>
      <c r="KP3" s="17">
        <v>0.98234317000000004</v>
      </c>
      <c r="KQ3" s="54">
        <f>KO3*KP3</f>
        <v>17194890.091594219</v>
      </c>
      <c r="KR3" s="61">
        <v>60587948.968480498</v>
      </c>
      <c r="KS3" s="17">
        <v>0.97052866000000004</v>
      </c>
      <c r="KT3" s="165">
        <f>KR3*KS3</f>
        <v>58802340.924527764</v>
      </c>
      <c r="KU3" s="53">
        <v>0</v>
      </c>
      <c r="KV3" s="17"/>
      <c r="KW3" s="165"/>
      <c r="KX3" s="166"/>
      <c r="KY3" s="53">
        <v>18971236.3994595</v>
      </c>
      <c r="KZ3" s="17">
        <v>0.98268922999999997</v>
      </c>
      <c r="LA3" s="54">
        <f>KY3*KZ3</f>
        <v>18642829.689532828</v>
      </c>
      <c r="LB3" s="61">
        <v>61266317.668480404</v>
      </c>
      <c r="LC3" s="17">
        <v>0.97124222000000004</v>
      </c>
      <c r="LD3" s="165">
        <f>LB3*LC3</f>
        <v>59504434.383560136</v>
      </c>
      <c r="LE3" s="53">
        <v>0</v>
      </c>
      <c r="LF3" s="17"/>
      <c r="LG3" s="165"/>
      <c r="LH3" s="166"/>
      <c r="LI3" s="53">
        <v>18733273.2894595</v>
      </c>
      <c r="LJ3" s="17">
        <v>0.98309981000000002</v>
      </c>
      <c r="LK3" s="54">
        <f>LI3*LJ3</f>
        <v>18416677.411545709</v>
      </c>
      <c r="LL3" s="61">
        <v>61131310.218480498</v>
      </c>
      <c r="LM3" s="17">
        <v>0.97181065</v>
      </c>
      <c r="LN3" s="165">
        <f>LL3*LM3</f>
        <v>59408058.318773173</v>
      </c>
      <c r="LO3" s="53">
        <v>0</v>
      </c>
      <c r="LP3" s="17"/>
      <c r="LQ3" s="165"/>
      <c r="LR3" s="166"/>
      <c r="LS3" s="53">
        <v>18997187.849459499</v>
      </c>
      <c r="LT3" s="17">
        <v>0.98249405999999995</v>
      </c>
      <c r="LU3" s="54">
        <f>LS3*LT3</f>
        <v>18664624.218798131</v>
      </c>
      <c r="LV3" s="61">
        <v>62336242.508480497</v>
      </c>
      <c r="LW3" s="17">
        <v>0.97156834999999997</v>
      </c>
      <c r="LX3" s="165">
        <f>LV3*LW3+0.25</f>
        <v>60563920.529164255</v>
      </c>
      <c r="LY3" s="53">
        <v>0</v>
      </c>
      <c r="LZ3" s="17"/>
      <c r="MA3" s="165"/>
      <c r="MB3" s="166"/>
      <c r="MC3" s="53">
        <v>19167304.959459499</v>
      </c>
      <c r="MD3" s="17">
        <v>0.98243183999999995</v>
      </c>
      <c r="ME3" s="54">
        <f>MC3*MD3</f>
        <v>18830570.67916292</v>
      </c>
      <c r="MF3" s="61">
        <v>60331271.738480397</v>
      </c>
      <c r="MG3" s="17">
        <v>0.97093258000000005</v>
      </c>
      <c r="MH3" s="165">
        <f>MF3*MG3</f>
        <v>58577597.32372386</v>
      </c>
      <c r="MI3" s="53">
        <v>0</v>
      </c>
      <c r="MJ3" s="17"/>
      <c r="MK3" s="165"/>
      <c r="ML3" s="166"/>
      <c r="MM3" s="53"/>
      <c r="MN3" s="17"/>
      <c r="MO3" s="54">
        <f>MM3*MN3</f>
        <v>0</v>
      </c>
      <c r="MP3" s="61">
        <v>59950945.408480398</v>
      </c>
      <c r="MQ3" s="17">
        <v>0.97126526999999996</v>
      </c>
      <c r="MR3" s="165">
        <f>MP3*MQ3</f>
        <v>58228271.178922974</v>
      </c>
      <c r="MS3" s="53">
        <v>0</v>
      </c>
      <c r="MT3" s="17"/>
      <c r="MU3" s="165"/>
      <c r="MV3" s="166"/>
      <c r="MW3" s="53">
        <v>20207420.619459499</v>
      </c>
      <c r="MX3" s="17">
        <v>0.98278810000000005</v>
      </c>
      <c r="MY3" s="54">
        <f>MW3*MX3</f>
        <v>19859612.516499426</v>
      </c>
      <c r="MZ3" s="61">
        <v>60612865.318480499</v>
      </c>
      <c r="NA3" s="17">
        <v>0.97175999999999996</v>
      </c>
      <c r="NB3" s="165">
        <f>MZ3*NA3</f>
        <v>58901158.001886606</v>
      </c>
      <c r="NC3" s="53">
        <v>0</v>
      </c>
      <c r="ND3" s="17"/>
      <c r="NE3" s="165"/>
      <c r="NF3" s="166"/>
      <c r="NG3" s="53">
        <v>20944163.369459499</v>
      </c>
      <c r="NH3" s="17">
        <v>0.98246051000000001</v>
      </c>
      <c r="NI3" s="54">
        <f>NG3*NH3</f>
        <v>20576813.425482497</v>
      </c>
      <c r="NJ3" s="61">
        <v>60632796.878480397</v>
      </c>
      <c r="NK3" s="17">
        <v>0.97125172000000004</v>
      </c>
      <c r="NL3" s="165">
        <f>NJ3*NK3+0.18</f>
        <v>58889708.436634719</v>
      </c>
      <c r="NM3" s="53">
        <v>0</v>
      </c>
      <c r="NN3" s="17"/>
      <c r="NO3" s="165"/>
      <c r="NP3" s="166"/>
      <c r="NQ3" s="53">
        <v>22009973.449459501</v>
      </c>
      <c r="NR3" s="17">
        <v>0.98212403999999998</v>
      </c>
      <c r="NS3" s="54">
        <f>NQ3*NR3</f>
        <v>21616524.044475902</v>
      </c>
      <c r="NT3" s="61">
        <v>59779143.158480398</v>
      </c>
      <c r="NU3" s="17">
        <v>0.97155199999999997</v>
      </c>
      <c r="NV3" s="165">
        <f>NT3*NU3</f>
        <v>58078546.093907945</v>
      </c>
      <c r="NW3" s="53">
        <v>0</v>
      </c>
      <c r="NX3" s="17"/>
      <c r="NY3" s="165"/>
      <c r="NZ3" s="166"/>
      <c r="OA3" s="53">
        <v>21906969.849459499</v>
      </c>
      <c r="OB3" s="17">
        <v>0.98221685999999997</v>
      </c>
      <c r="OC3" s="54">
        <f>OA3*OB3</f>
        <v>21517395.13765078</v>
      </c>
      <c r="OD3" s="61">
        <v>59116434.748480499</v>
      </c>
      <c r="OE3" s="17">
        <v>0.97126610999999996</v>
      </c>
      <c r="OF3" s="165">
        <f>OD3*OE3</f>
        <v>57417789.615225479</v>
      </c>
      <c r="OG3" s="53">
        <v>0</v>
      </c>
      <c r="OH3" s="17"/>
      <c r="OI3" s="165"/>
      <c r="OJ3" s="166"/>
      <c r="OK3" s="53">
        <v>21906969.849459499</v>
      </c>
      <c r="OL3" s="17">
        <v>0.98221685999999997</v>
      </c>
      <c r="OM3" s="54">
        <f>OK3*OL3</f>
        <v>21517395.13765078</v>
      </c>
      <c r="ON3" s="61">
        <v>59116434.748480499</v>
      </c>
      <c r="OO3" s="17">
        <v>0.97126610999999996</v>
      </c>
      <c r="OP3" s="165">
        <f>ON3*OO3</f>
        <v>57417789.615225479</v>
      </c>
      <c r="OQ3" s="53">
        <v>0</v>
      </c>
      <c r="OR3" s="17"/>
      <c r="OS3" s="165"/>
      <c r="OT3" s="166"/>
      <c r="OU3" s="53">
        <v>22876129.8994595</v>
      </c>
      <c r="OV3" s="17">
        <v>0.98251414999999998</v>
      </c>
      <c r="OW3" s="54">
        <f>OU3*OV3</f>
        <v>22476121.323457036</v>
      </c>
      <c r="OX3" s="61">
        <v>58199206.588480398</v>
      </c>
      <c r="OY3" s="17">
        <v>0.97132686000000001</v>
      </c>
      <c r="OZ3" s="165">
        <f>OX3*OY3</f>
        <v>56530452.590079978</v>
      </c>
      <c r="PA3" s="53">
        <v>0</v>
      </c>
      <c r="PB3" s="17"/>
      <c r="PC3" s="165"/>
      <c r="PD3" s="166"/>
      <c r="PE3" s="53">
        <v>21906969.849459499</v>
      </c>
      <c r="PF3" s="17">
        <v>0.98221685999999997</v>
      </c>
      <c r="PG3" s="54">
        <f>PE3*PF3</f>
        <v>21517395.13765078</v>
      </c>
      <c r="PH3" s="61">
        <v>59116434.748480499</v>
      </c>
      <c r="PI3" s="17">
        <v>0.97126610999999996</v>
      </c>
      <c r="PJ3" s="165">
        <f>PH3*PI3</f>
        <v>57417789.615225479</v>
      </c>
      <c r="PK3" s="53">
        <v>0</v>
      </c>
      <c r="PL3" s="17"/>
      <c r="PM3" s="165"/>
      <c r="PN3" s="166"/>
      <c r="PO3" s="53">
        <v>21906969.849459499</v>
      </c>
      <c r="PP3" s="17">
        <v>0.98221685999999997</v>
      </c>
      <c r="PQ3" s="54">
        <f>PO3*PP3</f>
        <v>21517395.13765078</v>
      </c>
      <c r="PR3" s="61">
        <v>59116434.748480499</v>
      </c>
      <c r="PS3" s="17">
        <v>0.97126610999999996</v>
      </c>
      <c r="PT3" s="165">
        <f>PR3*PS3</f>
        <v>57417789.615225479</v>
      </c>
      <c r="PU3" s="53">
        <v>0</v>
      </c>
      <c r="PV3" s="17"/>
      <c r="PW3" s="165"/>
      <c r="PX3" s="166"/>
      <c r="PY3" s="53">
        <v>21906969.849459499</v>
      </c>
      <c r="PZ3" s="17">
        <v>0.98221685999999997</v>
      </c>
      <c r="QA3" s="54">
        <f>PY3*PZ3</f>
        <v>21517395.13765078</v>
      </c>
      <c r="QB3" s="61">
        <v>59116434.748480499</v>
      </c>
      <c r="QC3" s="17">
        <v>0.97126610999999996</v>
      </c>
      <c r="QD3" s="165">
        <f>QB3*QC3</f>
        <v>57417789.615225479</v>
      </c>
      <c r="QE3" s="53">
        <v>0</v>
      </c>
      <c r="QF3" s="17"/>
      <c r="QG3" s="165"/>
      <c r="QH3" s="166"/>
      <c r="QI3" s="53">
        <v>21906969.849459499</v>
      </c>
      <c r="QJ3" s="17">
        <v>0.98221685999999997</v>
      </c>
      <c r="QK3" s="54">
        <f>QI3*QJ3</f>
        <v>21517395.13765078</v>
      </c>
      <c r="QL3" s="61">
        <v>59116434.748480499</v>
      </c>
      <c r="QM3" s="17">
        <v>0.97126610999999996</v>
      </c>
      <c r="QN3" s="165">
        <f>QL3*QM3</f>
        <v>57417789.615225479</v>
      </c>
      <c r="QO3" s="53">
        <v>0</v>
      </c>
      <c r="QP3" s="17"/>
      <c r="QQ3" s="165"/>
      <c r="QR3" s="166"/>
      <c r="QS3" s="53">
        <v>21906969.849459499</v>
      </c>
      <c r="QT3" s="17">
        <v>0.98221685999999997</v>
      </c>
      <c r="QU3" s="54">
        <f>QS3*QT3</f>
        <v>21517395.13765078</v>
      </c>
      <c r="QV3" s="61">
        <v>59116434.748480499</v>
      </c>
      <c r="QW3" s="17">
        <v>0.97126610999999996</v>
      </c>
      <c r="QX3" s="165">
        <f>QV3*QW3</f>
        <v>57417789.615225479</v>
      </c>
      <c r="QY3" s="53">
        <v>0</v>
      </c>
      <c r="QZ3" s="17"/>
      <c r="RA3" s="165"/>
      <c r="RB3" s="166"/>
      <c r="RC3" s="53">
        <v>21906969.849459499</v>
      </c>
      <c r="RD3" s="17">
        <v>0.98221685999999997</v>
      </c>
      <c r="RE3" s="54">
        <f>RC3*RD3</f>
        <v>21517395.13765078</v>
      </c>
      <c r="RF3" s="61">
        <v>59116434.748480499</v>
      </c>
      <c r="RG3" s="17">
        <v>0.97126610999999996</v>
      </c>
      <c r="RH3" s="165">
        <f>RF3*RG3</f>
        <v>57417789.615225479</v>
      </c>
      <c r="RI3" s="53">
        <v>0</v>
      </c>
      <c r="RJ3" s="17"/>
      <c r="RK3" s="165"/>
      <c r="RL3" s="166"/>
      <c r="RM3" s="53">
        <v>21906969.849459499</v>
      </c>
      <c r="RN3" s="17">
        <v>0.98221685999999997</v>
      </c>
      <c r="RO3" s="54">
        <f>RM3*RN3</f>
        <v>21517395.13765078</v>
      </c>
      <c r="RP3" s="61">
        <v>59116434.748480499</v>
      </c>
      <c r="RQ3" s="17">
        <v>0.97126610999999996</v>
      </c>
      <c r="RR3" s="165">
        <f>RP3*RQ3</f>
        <v>57417789.615225479</v>
      </c>
      <c r="RS3" s="53">
        <v>0</v>
      </c>
      <c r="RT3" s="17"/>
      <c r="RU3" s="165"/>
    </row>
    <row r="4" spans="1:489" x14ac:dyDescent="0.25">
      <c r="A4" s="67" t="s">
        <v>155</v>
      </c>
      <c r="B4" s="46">
        <v>1485784.59</v>
      </c>
      <c r="C4" s="17">
        <v>1</v>
      </c>
      <c r="D4" s="54">
        <f>B4*C4</f>
        <v>1485784.59</v>
      </c>
      <c r="E4" s="61">
        <v>6294595.46</v>
      </c>
      <c r="F4" s="46">
        <v>1</v>
      </c>
      <c r="G4" s="165">
        <f>E4*F4</f>
        <v>6294595.46</v>
      </c>
      <c r="H4" s="53"/>
      <c r="I4" s="17"/>
      <c r="J4" s="165"/>
      <c r="K4" s="53">
        <v>1431768.94</v>
      </c>
      <c r="L4" s="17">
        <v>1</v>
      </c>
      <c r="M4" s="54">
        <f>K4*L4</f>
        <v>1431768.94</v>
      </c>
      <c r="N4" s="61">
        <v>5586293.5599999996</v>
      </c>
      <c r="O4" s="46">
        <v>1</v>
      </c>
      <c r="P4" s="165">
        <f>N4*O4</f>
        <v>5586293.5599999996</v>
      </c>
      <c r="Q4" s="53"/>
      <c r="R4" s="17"/>
      <c r="S4" s="165"/>
      <c r="T4" s="166"/>
      <c r="U4" s="53">
        <v>1409014.1</v>
      </c>
      <c r="V4" s="17">
        <v>1</v>
      </c>
      <c r="W4" s="54">
        <f>U4*V4</f>
        <v>1409014.1</v>
      </c>
      <c r="X4" s="61">
        <v>5441950.7999999998</v>
      </c>
      <c r="Y4" s="46">
        <v>1</v>
      </c>
      <c r="Z4" s="165">
        <f>X4*Y4</f>
        <v>5441950.7999999998</v>
      </c>
      <c r="AA4" s="53"/>
      <c r="AB4" s="17"/>
      <c r="AC4" s="165"/>
      <c r="AD4" s="166"/>
      <c r="AE4" s="53">
        <v>1456929.18</v>
      </c>
      <c r="AF4" s="17">
        <v>1</v>
      </c>
      <c r="AG4" s="54">
        <f>AE4*AF4</f>
        <v>1456929.18</v>
      </c>
      <c r="AH4" s="61">
        <v>5992137.7599999998</v>
      </c>
      <c r="AI4" s="46">
        <v>1</v>
      </c>
      <c r="AJ4" s="165">
        <f>AH4*AI4</f>
        <v>5992137.7599999998</v>
      </c>
      <c r="AK4" s="53"/>
      <c r="AL4" s="17"/>
      <c r="AM4" s="165"/>
      <c r="AN4" s="166"/>
      <c r="AO4" s="53">
        <v>1456929.18</v>
      </c>
      <c r="AP4" s="17">
        <v>1</v>
      </c>
      <c r="AQ4" s="54">
        <f>AO4*AP4</f>
        <v>1456929.18</v>
      </c>
      <c r="AR4" s="61">
        <v>5992137.7599999998</v>
      </c>
      <c r="AS4" s="46">
        <v>1</v>
      </c>
      <c r="AT4" s="165">
        <f>AR4*AS4</f>
        <v>5992137.7599999998</v>
      </c>
      <c r="AU4" s="53"/>
      <c r="AV4" s="17"/>
      <c r="AW4" s="165"/>
      <c r="AX4" s="166"/>
      <c r="AY4" s="53">
        <v>1415885.59</v>
      </c>
      <c r="AZ4" s="17">
        <v>1</v>
      </c>
      <c r="BA4" s="54">
        <f>AY4*AZ4</f>
        <v>1415885.59</v>
      </c>
      <c r="BB4" s="61">
        <v>6688748.0199999996</v>
      </c>
      <c r="BC4" s="46">
        <v>1</v>
      </c>
      <c r="BD4" s="165">
        <f>BB4*BC4</f>
        <v>6688748.0199999996</v>
      </c>
      <c r="BE4" s="53"/>
      <c r="BF4" s="17"/>
      <c r="BG4" s="165"/>
      <c r="BH4" s="166"/>
      <c r="BI4" s="53">
        <v>586766.39</v>
      </c>
      <c r="BJ4" s="17">
        <v>1</v>
      </c>
      <c r="BK4" s="54">
        <f>BI4*BJ4</f>
        <v>586766.39</v>
      </c>
      <c r="BL4" s="61">
        <v>7417340.2999999998</v>
      </c>
      <c r="BM4" s="46">
        <v>1</v>
      </c>
      <c r="BN4" s="165">
        <f>BL4*BM4</f>
        <v>7417340.2999999998</v>
      </c>
      <c r="BO4" s="53"/>
      <c r="BP4" s="17"/>
      <c r="BQ4" s="165"/>
      <c r="BR4" s="166"/>
      <c r="BS4" s="53">
        <v>586106.52</v>
      </c>
      <c r="BT4" s="17">
        <v>1</v>
      </c>
      <c r="BU4" s="54">
        <f>BS4*BT4</f>
        <v>586106.52</v>
      </c>
      <c r="BV4" s="61">
        <v>6706418.2599999998</v>
      </c>
      <c r="BW4" s="46">
        <v>1</v>
      </c>
      <c r="BX4" s="165">
        <f>BV4*BW4</f>
        <v>6706418.2599999998</v>
      </c>
      <c r="BY4" s="53"/>
      <c r="BZ4" s="17"/>
      <c r="CA4" s="165"/>
      <c r="CB4" s="166"/>
      <c r="CC4" s="53">
        <v>1552421.77</v>
      </c>
      <c r="CD4" s="17">
        <v>1</v>
      </c>
      <c r="CE4" s="54">
        <f>CC4*CD4</f>
        <v>1552421.77</v>
      </c>
      <c r="CF4" s="61">
        <v>6934678.5800000001</v>
      </c>
      <c r="CG4" s="46">
        <v>1</v>
      </c>
      <c r="CH4" s="165">
        <f>CF4*CG4</f>
        <v>6934678.5800000001</v>
      </c>
      <c r="CI4" s="53"/>
      <c r="CJ4" s="17"/>
      <c r="CK4" s="165"/>
      <c r="CL4" s="166"/>
      <c r="CM4" s="53">
        <v>1585974.92</v>
      </c>
      <c r="CN4" s="17">
        <v>1</v>
      </c>
      <c r="CO4" s="54">
        <f>CM4*CN4</f>
        <v>1585974.92</v>
      </c>
      <c r="CP4" s="61">
        <v>6364599.4800000004</v>
      </c>
      <c r="CQ4" s="46">
        <v>1</v>
      </c>
      <c r="CR4" s="165">
        <f>CP4*CQ4</f>
        <v>6364599.4800000004</v>
      </c>
      <c r="CS4" s="53">
        <v>0</v>
      </c>
      <c r="CT4" s="17"/>
      <c r="CU4" s="165"/>
      <c r="CV4" s="166"/>
      <c r="CW4" s="53">
        <v>1590923.5</v>
      </c>
      <c r="CX4" s="17">
        <v>1</v>
      </c>
      <c r="CY4" s="54">
        <f>CW4*CX4</f>
        <v>1590923.5</v>
      </c>
      <c r="CZ4" s="61">
        <v>7816206.8799999999</v>
      </c>
      <c r="DA4" s="46">
        <v>1</v>
      </c>
      <c r="DB4" s="165">
        <f>CZ4*DA4</f>
        <v>7816206.8799999999</v>
      </c>
      <c r="DC4" s="53">
        <v>0</v>
      </c>
      <c r="DD4" s="17"/>
      <c r="DE4" s="165"/>
      <c r="DF4" s="166"/>
      <c r="DG4" s="53">
        <v>530232.49</v>
      </c>
      <c r="DH4" s="17">
        <v>1</v>
      </c>
      <c r="DI4" s="54">
        <f>DG4*DH4</f>
        <v>530232.49</v>
      </c>
      <c r="DJ4" s="61">
        <v>6605500.4400000004</v>
      </c>
      <c r="DK4" s="46">
        <v>1</v>
      </c>
      <c r="DL4" s="165">
        <f>DJ4*DK4</f>
        <v>6605500.4400000004</v>
      </c>
      <c r="DM4" s="53">
        <v>0</v>
      </c>
      <c r="DN4" s="17"/>
      <c r="DO4" s="165"/>
      <c r="DP4" s="166"/>
      <c r="DQ4" s="53">
        <v>635381.34</v>
      </c>
      <c r="DR4" s="17">
        <v>1</v>
      </c>
      <c r="DS4" s="54">
        <f>DQ4*DR4</f>
        <v>635381.34</v>
      </c>
      <c r="DT4" s="61">
        <v>6302611.8899999997</v>
      </c>
      <c r="DU4" s="46">
        <v>1</v>
      </c>
      <c r="DV4" s="165">
        <f>DT4*DU4</f>
        <v>6302611.8899999997</v>
      </c>
      <c r="DW4" s="53">
        <v>0</v>
      </c>
      <c r="DX4" s="17"/>
      <c r="DY4" s="165"/>
      <c r="DZ4" s="166"/>
      <c r="EA4" s="53">
        <v>751838.94</v>
      </c>
      <c r="EB4" s="17">
        <v>1</v>
      </c>
      <c r="EC4" s="54">
        <f>EA4*EB4</f>
        <v>751838.94</v>
      </c>
      <c r="ED4" s="61">
        <v>7213947.4500000002</v>
      </c>
      <c r="EE4" s="46">
        <v>1</v>
      </c>
      <c r="EF4" s="165">
        <f>ED4*EE4</f>
        <v>7213947.4500000002</v>
      </c>
      <c r="EG4" s="53">
        <v>0</v>
      </c>
      <c r="EH4" s="17"/>
      <c r="EI4" s="165"/>
      <c r="EJ4" s="166"/>
      <c r="EK4" s="53">
        <v>835696.26</v>
      </c>
      <c r="EL4" s="17">
        <v>1</v>
      </c>
      <c r="EM4" s="54">
        <f>EK4*EL4</f>
        <v>835696.26</v>
      </c>
      <c r="EN4" s="61">
        <v>5913868.4400000004</v>
      </c>
      <c r="EO4" s="46">
        <v>1</v>
      </c>
      <c r="EP4" s="165">
        <f>EN4*EO4</f>
        <v>5913868.4400000004</v>
      </c>
      <c r="EQ4" s="53">
        <v>0</v>
      </c>
      <c r="ER4" s="17"/>
      <c r="ES4" s="165"/>
      <c r="ET4" s="166"/>
      <c r="EU4" s="53">
        <v>778651</v>
      </c>
      <c r="EV4" s="17">
        <v>1</v>
      </c>
      <c r="EW4" s="54">
        <f>EU4*EV4</f>
        <v>778651</v>
      </c>
      <c r="EX4" s="61">
        <v>5717517.0899999999</v>
      </c>
      <c r="EY4" s="46">
        <v>1</v>
      </c>
      <c r="EZ4" s="165">
        <f>EX4*EY4</f>
        <v>5717517.0899999999</v>
      </c>
      <c r="FA4" s="53">
        <v>0</v>
      </c>
      <c r="FB4" s="17"/>
      <c r="FC4" s="165"/>
      <c r="FD4" s="166"/>
      <c r="FE4" s="53">
        <v>711262.7</v>
      </c>
      <c r="FF4" s="17">
        <v>1</v>
      </c>
      <c r="FG4" s="54">
        <f>FE4*FF4</f>
        <v>711262.7</v>
      </c>
      <c r="FH4" s="61">
        <v>5804648.5700000003</v>
      </c>
      <c r="FI4" s="46">
        <v>1</v>
      </c>
      <c r="FJ4" s="165">
        <f>FH4*FI4</f>
        <v>5804648.5700000003</v>
      </c>
      <c r="FK4" s="53">
        <v>0</v>
      </c>
      <c r="FL4" s="17"/>
      <c r="FM4" s="165"/>
      <c r="FN4" s="166"/>
      <c r="FO4" s="53">
        <v>752461.52</v>
      </c>
      <c r="FP4" s="17">
        <v>1</v>
      </c>
      <c r="FQ4" s="54">
        <f>FO4*FP4</f>
        <v>752461.52</v>
      </c>
      <c r="FR4" s="61">
        <v>6543707.8700000001</v>
      </c>
      <c r="FS4" s="46">
        <v>1</v>
      </c>
      <c r="FT4" s="165">
        <f>FR4*FS4</f>
        <v>6543707.8700000001</v>
      </c>
      <c r="FU4" s="53">
        <v>0</v>
      </c>
      <c r="FV4" s="17"/>
      <c r="FW4" s="165"/>
      <c r="FX4" s="166"/>
      <c r="FY4" s="53">
        <v>870165.08</v>
      </c>
      <c r="FZ4" s="17">
        <v>1</v>
      </c>
      <c r="GA4" s="54">
        <f>FY4*FZ4</f>
        <v>870165.08</v>
      </c>
      <c r="GB4" s="61">
        <v>6539945.1399999997</v>
      </c>
      <c r="GC4" s="46">
        <v>1</v>
      </c>
      <c r="GD4" s="165">
        <f>GB4*GC4</f>
        <v>6539945.1399999997</v>
      </c>
      <c r="GE4" s="53">
        <v>0</v>
      </c>
      <c r="GF4" s="17"/>
      <c r="GG4" s="165"/>
      <c r="GH4" s="166"/>
      <c r="GI4" s="53">
        <v>889248.81</v>
      </c>
      <c r="GJ4" s="17">
        <v>1</v>
      </c>
      <c r="GK4" s="54">
        <f>GI4*GJ4</f>
        <v>889248.81</v>
      </c>
      <c r="GL4" s="61">
        <v>7285083</v>
      </c>
      <c r="GM4" s="46">
        <v>1</v>
      </c>
      <c r="GN4" s="165">
        <f>GL4*GM4</f>
        <v>7285083</v>
      </c>
      <c r="GO4" s="53">
        <v>0</v>
      </c>
      <c r="GP4" s="17"/>
      <c r="GQ4" s="165"/>
      <c r="GR4" s="166"/>
      <c r="GS4" s="53">
        <v>632558.41</v>
      </c>
      <c r="GT4" s="17">
        <v>1</v>
      </c>
      <c r="GU4" s="54">
        <f>GS4*GT4</f>
        <v>632558.41</v>
      </c>
      <c r="GV4" s="61">
        <v>6015860.4100000001</v>
      </c>
      <c r="GW4" s="46">
        <v>1</v>
      </c>
      <c r="GX4" s="165">
        <f>GV4*GW4</f>
        <v>6015860.4100000001</v>
      </c>
      <c r="GY4" s="53">
        <v>0</v>
      </c>
      <c r="GZ4" s="17"/>
      <c r="HA4" s="165"/>
      <c r="HB4" s="166"/>
      <c r="HC4" s="53">
        <v>632558.41</v>
      </c>
      <c r="HD4" s="17">
        <v>1</v>
      </c>
      <c r="HE4" s="54">
        <f>HC4*HD4</f>
        <v>632558.41</v>
      </c>
      <c r="HF4" s="61">
        <v>6015860.4100000001</v>
      </c>
      <c r="HG4" s="46">
        <v>1</v>
      </c>
      <c r="HH4" s="165">
        <f>HF4*HG4</f>
        <v>6015860.4100000001</v>
      </c>
      <c r="HI4" s="53">
        <v>0</v>
      </c>
      <c r="HJ4" s="17"/>
      <c r="HK4" s="165"/>
      <c r="HL4" s="166"/>
      <c r="HM4" s="53">
        <v>635668.57999999996</v>
      </c>
      <c r="HN4" s="17">
        <v>1</v>
      </c>
      <c r="HO4" s="54">
        <f>HM4*HN4</f>
        <v>635668.57999999996</v>
      </c>
      <c r="HP4" s="61">
        <v>5983992.4900000002</v>
      </c>
      <c r="HQ4" s="46">
        <v>1</v>
      </c>
      <c r="HR4" s="165">
        <f>HP4*HQ4</f>
        <v>5983992.4900000002</v>
      </c>
      <c r="HS4" s="53">
        <v>0</v>
      </c>
      <c r="HT4" s="17"/>
      <c r="HU4" s="165"/>
      <c r="HV4" s="166"/>
      <c r="HW4" s="53">
        <v>638008.88</v>
      </c>
      <c r="HX4" s="17">
        <v>1</v>
      </c>
      <c r="HY4" s="54">
        <f>HW4*HX4</f>
        <v>638008.88</v>
      </c>
      <c r="HZ4" s="61">
        <v>5848597.7300000004</v>
      </c>
      <c r="IA4" s="46">
        <v>1</v>
      </c>
      <c r="IB4" s="165">
        <f>HZ4*IA4</f>
        <v>5848597.7300000004</v>
      </c>
      <c r="IC4" s="53">
        <v>0</v>
      </c>
      <c r="ID4" s="17"/>
      <c r="IE4" s="165"/>
      <c r="IF4" s="166"/>
      <c r="IG4" s="53">
        <v>798432.77</v>
      </c>
      <c r="IH4" s="17">
        <v>1</v>
      </c>
      <c r="II4" s="54">
        <f>IG4*IH4</f>
        <v>798432.77</v>
      </c>
      <c r="IJ4" s="61">
        <v>5948945.9400000004</v>
      </c>
      <c r="IK4" s="46">
        <v>1</v>
      </c>
      <c r="IL4" s="165">
        <f>IJ4*IK4</f>
        <v>5948945.9400000004</v>
      </c>
      <c r="IM4" s="53">
        <v>0</v>
      </c>
      <c r="IN4" s="17"/>
      <c r="IO4" s="165"/>
      <c r="IP4" s="166"/>
      <c r="IQ4" s="53">
        <v>774565</v>
      </c>
      <c r="IR4" s="17">
        <v>1</v>
      </c>
      <c r="IS4" s="54">
        <f>IQ4*IR4</f>
        <v>774565</v>
      </c>
      <c r="IT4" s="61">
        <v>6968361.4000000004</v>
      </c>
      <c r="IU4" s="46">
        <v>1</v>
      </c>
      <c r="IV4" s="165">
        <f>IT4*IU4</f>
        <v>6968361.4000000004</v>
      </c>
      <c r="IW4" s="53">
        <v>0</v>
      </c>
      <c r="IX4" s="17"/>
      <c r="IY4" s="165"/>
      <c r="IZ4" s="166"/>
      <c r="JA4" s="53">
        <v>768178.34</v>
      </c>
      <c r="JB4" s="17">
        <v>1</v>
      </c>
      <c r="JC4" s="54">
        <f>JA4*JB4</f>
        <v>768178.34</v>
      </c>
      <c r="JD4" s="61">
        <v>5639334.3399999999</v>
      </c>
      <c r="JE4" s="46">
        <v>1</v>
      </c>
      <c r="JF4" s="165">
        <f>JD4*JE4</f>
        <v>5639334.3399999999</v>
      </c>
      <c r="JG4" s="53">
        <v>0</v>
      </c>
      <c r="JH4" s="17"/>
      <c r="JI4" s="165"/>
      <c r="JJ4" s="166"/>
      <c r="JK4" s="53">
        <v>651249.96</v>
      </c>
      <c r="JL4" s="17">
        <v>1</v>
      </c>
      <c r="JM4" s="54">
        <f>JK4*JL4</f>
        <v>651249.96</v>
      </c>
      <c r="JN4" s="61">
        <v>5458611.2699999996</v>
      </c>
      <c r="JO4" s="46">
        <v>1</v>
      </c>
      <c r="JP4" s="165">
        <f>JN4*JO4</f>
        <v>5458611.2699999996</v>
      </c>
      <c r="JQ4" s="53">
        <v>0</v>
      </c>
      <c r="JR4" s="17"/>
      <c r="JS4" s="165"/>
      <c r="JT4" s="166"/>
      <c r="JU4" s="53">
        <v>590009.26</v>
      </c>
      <c r="JV4" s="17">
        <v>1</v>
      </c>
      <c r="JW4" s="54">
        <f>JU4*JV4</f>
        <v>590009.26</v>
      </c>
      <c r="JX4" s="61">
        <v>5655085.9800000004</v>
      </c>
      <c r="JY4" s="46">
        <v>1</v>
      </c>
      <c r="JZ4" s="165">
        <f>JX4*JY4</f>
        <v>5655085.9800000004</v>
      </c>
      <c r="KA4" s="53">
        <v>0</v>
      </c>
      <c r="KB4" s="17"/>
      <c r="KC4" s="165"/>
      <c r="KD4" s="166"/>
      <c r="KE4" s="53">
        <v>623939.01</v>
      </c>
      <c r="KF4" s="17">
        <v>1</v>
      </c>
      <c r="KG4" s="54">
        <f>KE4*KF4</f>
        <v>623939.01</v>
      </c>
      <c r="KH4" s="61">
        <v>6487923.4500000002</v>
      </c>
      <c r="KI4" s="46">
        <v>1</v>
      </c>
      <c r="KJ4" s="165">
        <f>KH4*KI4</f>
        <v>6487923.4500000002</v>
      </c>
      <c r="KK4" s="53">
        <v>0</v>
      </c>
      <c r="KL4" s="17"/>
      <c r="KM4" s="165"/>
      <c r="KN4" s="166"/>
      <c r="KO4" s="53">
        <v>632335.11</v>
      </c>
      <c r="KP4" s="17">
        <v>1</v>
      </c>
      <c r="KQ4" s="54">
        <f>KO4*KP4</f>
        <v>632335.11</v>
      </c>
      <c r="KR4" s="61">
        <v>5969960.9900000002</v>
      </c>
      <c r="KS4" s="46">
        <v>1</v>
      </c>
      <c r="KT4" s="165">
        <f>KR4*KS4</f>
        <v>5969960.9900000002</v>
      </c>
      <c r="KU4" s="53">
        <v>0</v>
      </c>
      <c r="KV4" s="17"/>
      <c r="KW4" s="165"/>
      <c r="KX4" s="166"/>
      <c r="KY4" s="53">
        <v>569862.15</v>
      </c>
      <c r="KZ4" s="17">
        <v>1</v>
      </c>
      <c r="LA4" s="54">
        <f>KY4*KZ4</f>
        <v>569862.15</v>
      </c>
      <c r="LB4" s="61">
        <v>5030986.3</v>
      </c>
      <c r="LC4" s="46">
        <v>1</v>
      </c>
      <c r="LD4" s="165">
        <f>LB4*LC4</f>
        <v>5030986.3</v>
      </c>
      <c r="LE4" s="53">
        <v>0</v>
      </c>
      <c r="LF4" s="17"/>
      <c r="LG4" s="165"/>
      <c r="LH4" s="166"/>
      <c r="LI4" s="53">
        <v>592236.98</v>
      </c>
      <c r="LJ4" s="17">
        <v>1</v>
      </c>
      <c r="LK4" s="54">
        <f>LI4*LJ4</f>
        <v>592236.98</v>
      </c>
      <c r="LL4" s="61">
        <v>4868227.01</v>
      </c>
      <c r="LM4" s="46">
        <v>1</v>
      </c>
      <c r="LN4" s="165">
        <f>LL4*LM4</f>
        <v>4868227.01</v>
      </c>
      <c r="LO4" s="53">
        <v>0</v>
      </c>
      <c r="LP4" s="17"/>
      <c r="LQ4" s="165"/>
      <c r="LR4" s="166"/>
      <c r="LS4" s="53">
        <v>615418.43000000005</v>
      </c>
      <c r="LT4" s="17">
        <v>1</v>
      </c>
      <c r="LU4" s="54">
        <f>LS4*LT4</f>
        <v>615418.43000000005</v>
      </c>
      <c r="LV4" s="61">
        <v>3867157.8</v>
      </c>
      <c r="LW4" s="46">
        <v>1</v>
      </c>
      <c r="LX4" s="165">
        <f>LV4*LW4</f>
        <v>3867157.8</v>
      </c>
      <c r="LY4" s="53">
        <v>0</v>
      </c>
      <c r="LZ4" s="17"/>
      <c r="MA4" s="165"/>
      <c r="MB4" s="166"/>
      <c r="MC4" s="53">
        <v>740159.62</v>
      </c>
      <c r="MD4" s="17">
        <v>1</v>
      </c>
      <c r="ME4" s="54">
        <f>MC4*MD4</f>
        <v>740159.62</v>
      </c>
      <c r="MF4" s="61">
        <v>4987892.0999999996</v>
      </c>
      <c r="MG4" s="46">
        <v>1</v>
      </c>
      <c r="MH4" s="165">
        <f>MF4*MG4</f>
        <v>4987892.0999999996</v>
      </c>
      <c r="MI4" s="53">
        <v>0</v>
      </c>
      <c r="MJ4" s="17"/>
      <c r="MK4" s="165"/>
      <c r="ML4" s="166"/>
      <c r="MM4" s="53"/>
      <c r="MN4" s="17"/>
      <c r="MO4" s="54">
        <f>MM4*MN4</f>
        <v>0</v>
      </c>
      <c r="MP4" s="61">
        <v>4546318.16</v>
      </c>
      <c r="MQ4" s="46">
        <v>1</v>
      </c>
      <c r="MR4" s="165">
        <f>MP4*MQ4</f>
        <v>4546318.16</v>
      </c>
      <c r="MS4" s="53">
        <v>0</v>
      </c>
      <c r="MT4" s="17"/>
      <c r="MU4" s="165"/>
      <c r="MV4" s="166"/>
      <c r="MW4" s="53">
        <v>688847.42</v>
      </c>
      <c r="MX4" s="17">
        <v>1</v>
      </c>
      <c r="MY4" s="54">
        <f>MW4*MX4</f>
        <v>688847.42</v>
      </c>
      <c r="MZ4" s="61">
        <v>4028758.32</v>
      </c>
      <c r="NA4" s="46">
        <v>1</v>
      </c>
      <c r="NB4" s="165">
        <f>MZ4*NA4</f>
        <v>4028758.32</v>
      </c>
      <c r="NC4" s="53">
        <v>0</v>
      </c>
      <c r="ND4" s="17"/>
      <c r="NE4" s="165"/>
      <c r="NF4" s="166"/>
      <c r="NG4" s="53">
        <v>705467.64</v>
      </c>
      <c r="NH4" s="17">
        <v>1</v>
      </c>
      <c r="NI4" s="54">
        <f>NG4*NH4</f>
        <v>705467.64</v>
      </c>
      <c r="NJ4" s="61">
        <v>3911917.52</v>
      </c>
      <c r="NK4" s="46">
        <v>1</v>
      </c>
      <c r="NL4" s="165">
        <f>NJ4*NK4</f>
        <v>3911917.52</v>
      </c>
      <c r="NM4" s="53">
        <v>0</v>
      </c>
      <c r="NN4" s="17"/>
      <c r="NO4" s="165"/>
      <c r="NP4" s="166"/>
      <c r="NQ4" s="53">
        <v>640085.71</v>
      </c>
      <c r="NR4" s="17">
        <v>1</v>
      </c>
      <c r="NS4" s="54">
        <f>NQ4*NR4</f>
        <v>640085.71</v>
      </c>
      <c r="NT4" s="61">
        <v>3113479.51</v>
      </c>
      <c r="NU4" s="46">
        <v>1</v>
      </c>
      <c r="NV4" s="165">
        <f>NT4*NU4</f>
        <v>3113479.51</v>
      </c>
      <c r="NW4" s="53">
        <v>0</v>
      </c>
      <c r="NX4" s="17"/>
      <c r="NY4" s="165"/>
      <c r="NZ4" s="166"/>
      <c r="OA4" s="53">
        <v>641545.72</v>
      </c>
      <c r="OB4" s="17">
        <v>1</v>
      </c>
      <c r="OC4" s="54">
        <f>OA4*OB4</f>
        <v>641545.72</v>
      </c>
      <c r="OD4" s="61">
        <v>3842483.55</v>
      </c>
      <c r="OE4" s="46">
        <v>1</v>
      </c>
      <c r="OF4" s="165">
        <f>OD4*OE4</f>
        <v>3842483.55</v>
      </c>
      <c r="OG4" s="53">
        <v>0</v>
      </c>
      <c r="OH4" s="17"/>
      <c r="OI4" s="165"/>
      <c r="OJ4" s="166"/>
      <c r="OK4" s="53">
        <v>641545.72</v>
      </c>
      <c r="OL4" s="17">
        <v>1</v>
      </c>
      <c r="OM4" s="54">
        <f>OK4*OL4</f>
        <v>641545.72</v>
      </c>
      <c r="ON4" s="61">
        <v>3842483.55</v>
      </c>
      <c r="OO4" s="46">
        <v>1</v>
      </c>
      <c r="OP4" s="165">
        <f>ON4*OO4</f>
        <v>3842483.55</v>
      </c>
      <c r="OQ4" s="53">
        <v>0</v>
      </c>
      <c r="OR4" s="17"/>
      <c r="OS4" s="165"/>
      <c r="OT4" s="166"/>
      <c r="OU4" s="53">
        <v>613405.12</v>
      </c>
      <c r="OV4" s="17">
        <v>1</v>
      </c>
      <c r="OW4" s="54">
        <f>OU4*OV4</f>
        <v>613405.12</v>
      </c>
      <c r="OX4" s="61">
        <v>4025247.68</v>
      </c>
      <c r="OY4" s="46">
        <v>1</v>
      </c>
      <c r="OZ4" s="165">
        <f>OX4*OY4</f>
        <v>4025247.68</v>
      </c>
      <c r="PA4" s="53">
        <v>0</v>
      </c>
      <c r="PB4" s="17"/>
      <c r="PC4" s="165"/>
      <c r="PD4" s="166"/>
      <c r="PE4" s="53">
        <v>641545.72</v>
      </c>
      <c r="PF4" s="17">
        <v>1</v>
      </c>
      <c r="PG4" s="54">
        <f>PE4*PF4</f>
        <v>641545.72</v>
      </c>
      <c r="PH4" s="61">
        <v>3842483.55</v>
      </c>
      <c r="PI4" s="46">
        <v>1</v>
      </c>
      <c r="PJ4" s="165">
        <f>PH4*PI4</f>
        <v>3842483.55</v>
      </c>
      <c r="PK4" s="53">
        <v>0</v>
      </c>
      <c r="PL4" s="17"/>
      <c r="PM4" s="165"/>
      <c r="PN4" s="166"/>
      <c r="PO4" s="53">
        <v>641545.72</v>
      </c>
      <c r="PP4" s="17">
        <v>1</v>
      </c>
      <c r="PQ4" s="54">
        <f>PO4*PP4</f>
        <v>641545.72</v>
      </c>
      <c r="PR4" s="61">
        <v>3842483.55</v>
      </c>
      <c r="PS4" s="46">
        <v>1</v>
      </c>
      <c r="PT4" s="165">
        <f>PR4*PS4</f>
        <v>3842483.55</v>
      </c>
      <c r="PU4" s="53">
        <v>0</v>
      </c>
      <c r="PV4" s="17"/>
      <c r="PW4" s="165"/>
      <c r="PX4" s="166"/>
      <c r="PY4" s="53">
        <v>641545.72</v>
      </c>
      <c r="PZ4" s="17">
        <v>1</v>
      </c>
      <c r="QA4" s="54">
        <f>PY4*PZ4</f>
        <v>641545.72</v>
      </c>
      <c r="QB4" s="61">
        <v>3842483.55</v>
      </c>
      <c r="QC4" s="46">
        <v>1</v>
      </c>
      <c r="QD4" s="165">
        <f>QB4*QC4</f>
        <v>3842483.55</v>
      </c>
      <c r="QE4" s="53">
        <v>0</v>
      </c>
      <c r="QF4" s="17"/>
      <c r="QG4" s="165"/>
      <c r="QH4" s="166"/>
      <c r="QI4" s="53">
        <v>641545.72</v>
      </c>
      <c r="QJ4" s="17">
        <v>1</v>
      </c>
      <c r="QK4" s="54">
        <f>QI4*QJ4</f>
        <v>641545.72</v>
      </c>
      <c r="QL4" s="61">
        <v>3842483.55</v>
      </c>
      <c r="QM4" s="46">
        <v>1</v>
      </c>
      <c r="QN4" s="165">
        <f>QL4*QM4</f>
        <v>3842483.55</v>
      </c>
      <c r="QO4" s="53">
        <v>0</v>
      </c>
      <c r="QP4" s="17"/>
      <c r="QQ4" s="165"/>
      <c r="QR4" s="166"/>
      <c r="QS4" s="53">
        <v>641545.72</v>
      </c>
      <c r="QT4" s="17">
        <v>1</v>
      </c>
      <c r="QU4" s="54">
        <f>QS4*QT4</f>
        <v>641545.72</v>
      </c>
      <c r="QV4" s="61">
        <v>3842483.55</v>
      </c>
      <c r="QW4" s="46">
        <v>1</v>
      </c>
      <c r="QX4" s="165">
        <f>QV4*QW4</f>
        <v>3842483.55</v>
      </c>
      <c r="QY4" s="53">
        <v>0</v>
      </c>
      <c r="QZ4" s="17"/>
      <c r="RA4" s="165"/>
      <c r="RB4" s="166"/>
      <c r="RC4" s="53">
        <v>641545.72</v>
      </c>
      <c r="RD4" s="17">
        <v>1</v>
      </c>
      <c r="RE4" s="54">
        <f>RC4*RD4</f>
        <v>641545.72</v>
      </c>
      <c r="RF4" s="61">
        <v>3842483.55</v>
      </c>
      <c r="RG4" s="46">
        <v>1</v>
      </c>
      <c r="RH4" s="165">
        <f>RF4*RG4</f>
        <v>3842483.55</v>
      </c>
      <c r="RI4" s="53">
        <v>0</v>
      </c>
      <c r="RJ4" s="17"/>
      <c r="RK4" s="165"/>
      <c r="RL4" s="166"/>
      <c r="RM4" s="53">
        <v>641545.72</v>
      </c>
      <c r="RN4" s="17">
        <v>1</v>
      </c>
      <c r="RO4" s="54">
        <f>RM4*RN4</f>
        <v>641545.72</v>
      </c>
      <c r="RP4" s="61">
        <v>3842483.55</v>
      </c>
      <c r="RQ4" s="46">
        <v>1</v>
      </c>
      <c r="RR4" s="165">
        <f>RP4*RQ4</f>
        <v>3842483.55</v>
      </c>
      <c r="RS4" s="53">
        <v>0</v>
      </c>
      <c r="RT4" s="17"/>
      <c r="RU4" s="165"/>
    </row>
    <row r="5" spans="1:489" ht="15" hidden="1" customHeight="1" x14ac:dyDescent="0.25">
      <c r="A5" s="67" t="s">
        <v>156</v>
      </c>
      <c r="B5" s="46"/>
      <c r="C5" s="17"/>
      <c r="D5" s="54"/>
      <c r="E5" s="61"/>
      <c r="F5" s="46"/>
      <c r="G5" s="165"/>
      <c r="H5" s="53"/>
      <c r="I5" s="17"/>
      <c r="J5" s="165"/>
      <c r="K5" s="53"/>
      <c r="L5" s="17"/>
      <c r="M5" s="54"/>
      <c r="N5" s="61"/>
      <c r="O5" s="46"/>
      <c r="P5" s="165"/>
      <c r="Q5" s="53"/>
      <c r="R5" s="17"/>
      <c r="S5" s="165"/>
      <c r="T5" s="166"/>
      <c r="U5" s="53"/>
      <c r="V5" s="17"/>
      <c r="W5" s="54"/>
      <c r="X5" s="61"/>
      <c r="Y5" s="46"/>
      <c r="Z5" s="165"/>
      <c r="AA5" s="53"/>
      <c r="AB5" s="17"/>
      <c r="AC5" s="165"/>
      <c r="AD5" s="166"/>
      <c r="AE5" s="53"/>
      <c r="AF5" s="17"/>
      <c r="AG5" s="54"/>
      <c r="AH5" s="61"/>
      <c r="AI5" s="46"/>
      <c r="AJ5" s="165"/>
      <c r="AK5" s="53"/>
      <c r="AL5" s="17"/>
      <c r="AM5" s="165"/>
      <c r="AN5" s="166"/>
      <c r="AO5" s="53"/>
      <c r="AP5" s="17"/>
      <c r="AQ5" s="54"/>
      <c r="AR5" s="61"/>
      <c r="AS5" s="46"/>
      <c r="AT5" s="165"/>
      <c r="AU5" s="53"/>
      <c r="AV5" s="17"/>
      <c r="AW5" s="165"/>
      <c r="AX5" s="166"/>
      <c r="AY5" s="53"/>
      <c r="AZ5" s="17"/>
      <c r="BA5" s="54"/>
      <c r="BB5" s="61"/>
      <c r="BC5" s="46"/>
      <c r="BD5" s="165"/>
      <c r="BE5" s="53"/>
      <c r="BF5" s="17"/>
      <c r="BG5" s="165"/>
      <c r="BH5" s="166"/>
      <c r="BI5" s="53"/>
      <c r="BJ5" s="17"/>
      <c r="BK5" s="54"/>
      <c r="BL5" s="61"/>
      <c r="BM5" s="46"/>
      <c r="BN5" s="165"/>
      <c r="BO5" s="53"/>
      <c r="BP5" s="17"/>
      <c r="BQ5" s="165"/>
      <c r="BR5" s="166"/>
      <c r="BS5" s="53"/>
      <c r="BT5" s="17"/>
      <c r="BU5" s="54"/>
      <c r="BV5" s="61"/>
      <c r="BW5" s="46"/>
      <c r="BX5" s="165"/>
      <c r="BY5" s="53"/>
      <c r="BZ5" s="17"/>
      <c r="CA5" s="165"/>
      <c r="CB5" s="166"/>
      <c r="CC5" s="53"/>
      <c r="CD5" s="17"/>
      <c r="CE5" s="54"/>
      <c r="CF5" s="61">
        <v>6934678.5800000001</v>
      </c>
      <c r="CG5" s="46"/>
      <c r="CH5" s="165"/>
      <c r="CI5" s="53"/>
      <c r="CJ5" s="17"/>
      <c r="CK5" s="165"/>
      <c r="CL5" s="166"/>
      <c r="CM5" s="53"/>
      <c r="CN5" s="17"/>
      <c r="CO5" s="54"/>
      <c r="CP5" s="61">
        <v>6934678.5800000001</v>
      </c>
      <c r="CQ5" s="46"/>
      <c r="CR5" s="165"/>
      <c r="CS5" s="53"/>
      <c r="CT5" s="17"/>
      <c r="CU5" s="165"/>
      <c r="CV5" s="166"/>
      <c r="CW5" s="53"/>
      <c r="CX5" s="17"/>
      <c r="CY5" s="54"/>
      <c r="CZ5" s="61">
        <v>6934678.5800000001</v>
      </c>
      <c r="DA5" s="46"/>
      <c r="DB5" s="165"/>
      <c r="DC5" s="53"/>
      <c r="DD5" s="17"/>
      <c r="DE5" s="165"/>
      <c r="DF5" s="166"/>
      <c r="DG5" s="53"/>
      <c r="DH5" s="17"/>
      <c r="DI5" s="54"/>
      <c r="DJ5" s="61">
        <v>6934678.5800000001</v>
      </c>
      <c r="DK5" s="46"/>
      <c r="DL5" s="165"/>
      <c r="DM5" s="53"/>
      <c r="DN5" s="17"/>
      <c r="DO5" s="165"/>
      <c r="DP5" s="166"/>
      <c r="DQ5" s="53"/>
      <c r="DR5" s="17"/>
      <c r="DS5" s="54"/>
      <c r="DT5" s="61">
        <v>6934678.5800000001</v>
      </c>
      <c r="DU5" s="46"/>
      <c r="DV5" s="165"/>
      <c r="DW5" s="53"/>
      <c r="DX5" s="17"/>
      <c r="DY5" s="165"/>
      <c r="DZ5" s="166"/>
      <c r="EA5" s="53"/>
      <c r="EB5" s="17"/>
      <c r="EC5" s="54"/>
      <c r="ED5" s="61">
        <v>6934678.5800000001</v>
      </c>
      <c r="EE5" s="46"/>
      <c r="EF5" s="165"/>
      <c r="EG5" s="53"/>
      <c r="EH5" s="17"/>
      <c r="EI5" s="165"/>
      <c r="EJ5" s="166"/>
      <c r="EK5" s="53"/>
      <c r="EL5" s="17"/>
      <c r="EM5" s="54"/>
      <c r="EN5" s="61">
        <v>6934678.5800000001</v>
      </c>
      <c r="EO5" s="46"/>
      <c r="EP5" s="165"/>
      <c r="EQ5" s="53"/>
      <c r="ER5" s="17"/>
      <c r="ES5" s="165"/>
      <c r="ET5" s="166"/>
      <c r="EU5" s="53"/>
      <c r="EV5" s="17"/>
      <c r="EW5" s="54"/>
      <c r="EX5" s="61">
        <v>6934678.5800000001</v>
      </c>
      <c r="EY5" s="46"/>
      <c r="EZ5" s="165"/>
      <c r="FA5" s="53"/>
      <c r="FB5" s="17"/>
      <c r="FC5" s="165"/>
      <c r="FD5" s="166"/>
      <c r="FE5" s="53"/>
      <c r="FF5" s="17"/>
      <c r="FG5" s="54"/>
      <c r="FH5" s="61">
        <v>6934678.5800000001</v>
      </c>
      <c r="FI5" s="46"/>
      <c r="FJ5" s="165"/>
      <c r="FK5" s="53"/>
      <c r="FL5" s="17"/>
      <c r="FM5" s="165"/>
      <c r="FN5" s="166"/>
      <c r="FO5" s="53"/>
      <c r="FP5" s="17"/>
      <c r="FQ5" s="54"/>
      <c r="FR5" s="61">
        <v>6934678.5800000001</v>
      </c>
      <c r="FS5" s="46"/>
      <c r="FT5" s="165"/>
      <c r="FU5" s="53"/>
      <c r="FV5" s="17"/>
      <c r="FW5" s="165"/>
      <c r="FX5" s="166"/>
      <c r="FY5" s="53"/>
      <c r="FZ5" s="17"/>
      <c r="GA5" s="54"/>
      <c r="GB5" s="61">
        <v>6934678.5800000001</v>
      </c>
      <c r="GC5" s="46"/>
      <c r="GD5" s="165"/>
      <c r="GE5" s="53"/>
      <c r="GF5" s="17"/>
      <c r="GG5" s="165"/>
      <c r="GH5" s="166"/>
      <c r="GI5" s="53"/>
      <c r="GJ5" s="17"/>
      <c r="GK5" s="54"/>
      <c r="GL5" s="61">
        <v>6934678.5800000001</v>
      </c>
      <c r="GM5" s="46"/>
      <c r="GN5" s="165"/>
      <c r="GO5" s="53"/>
      <c r="GP5" s="17"/>
      <c r="GQ5" s="165"/>
      <c r="GR5" s="166"/>
      <c r="GS5" s="53"/>
      <c r="GT5" s="17"/>
      <c r="GU5" s="54"/>
      <c r="GV5" s="61">
        <v>6934678.5800000001</v>
      </c>
      <c r="GW5" s="46"/>
      <c r="GX5" s="165"/>
      <c r="GY5" s="53"/>
      <c r="GZ5" s="17"/>
      <c r="HA5" s="165"/>
      <c r="HB5" s="166"/>
      <c r="HC5" s="53"/>
      <c r="HD5" s="17"/>
      <c r="HE5" s="54"/>
      <c r="HF5" s="61">
        <v>6934678.5800000001</v>
      </c>
      <c r="HG5" s="46"/>
      <c r="HH5" s="165"/>
      <c r="HI5" s="53"/>
      <c r="HJ5" s="17"/>
      <c r="HK5" s="165"/>
      <c r="HL5" s="166"/>
      <c r="HM5" s="53"/>
      <c r="HN5" s="17"/>
      <c r="HO5" s="54"/>
      <c r="HP5" s="61">
        <v>6934678.5800000001</v>
      </c>
      <c r="HQ5" s="46"/>
      <c r="HR5" s="165"/>
      <c r="HS5" s="53"/>
      <c r="HT5" s="17"/>
      <c r="HU5" s="165"/>
      <c r="HV5" s="166"/>
      <c r="HW5" s="53"/>
      <c r="HX5" s="17"/>
      <c r="HY5" s="54"/>
      <c r="HZ5" s="61">
        <v>6934678.5800000001</v>
      </c>
      <c r="IA5" s="46"/>
      <c r="IB5" s="165"/>
      <c r="IC5" s="53"/>
      <c r="ID5" s="17"/>
      <c r="IE5" s="165"/>
      <c r="IF5" s="166"/>
      <c r="IG5" s="53"/>
      <c r="IH5" s="17"/>
      <c r="II5" s="54"/>
      <c r="IJ5" s="61">
        <v>6934678.5800000001</v>
      </c>
      <c r="IK5" s="46"/>
      <c r="IL5" s="165"/>
      <c r="IM5" s="53"/>
      <c r="IN5" s="17"/>
      <c r="IO5" s="165"/>
      <c r="IP5" s="166"/>
      <c r="IQ5" s="53"/>
      <c r="IR5" s="17"/>
      <c r="IS5" s="54"/>
      <c r="IT5" s="61">
        <v>6934678.5800000001</v>
      </c>
      <c r="IU5" s="46"/>
      <c r="IV5" s="165"/>
      <c r="IW5" s="53"/>
      <c r="IX5" s="17"/>
      <c r="IY5" s="165"/>
      <c r="IZ5" s="166"/>
      <c r="JA5" s="53"/>
      <c r="JB5" s="17"/>
      <c r="JC5" s="54"/>
      <c r="JD5" s="61">
        <v>6934678.5800000001</v>
      </c>
      <c r="JE5" s="46"/>
      <c r="JF5" s="165"/>
      <c r="JG5" s="53"/>
      <c r="JH5" s="17"/>
      <c r="JI5" s="165"/>
      <c r="JJ5" s="166"/>
      <c r="JK5" s="53"/>
      <c r="JL5" s="17"/>
      <c r="JM5" s="54"/>
      <c r="JN5" s="61">
        <v>6934678.5800000001</v>
      </c>
      <c r="JO5" s="46"/>
      <c r="JP5" s="165"/>
      <c r="JQ5" s="53"/>
      <c r="JR5" s="17"/>
      <c r="JS5" s="165"/>
      <c r="JT5" s="166"/>
      <c r="JU5" s="53"/>
      <c r="JV5" s="17"/>
      <c r="JW5" s="54"/>
      <c r="JX5" s="61">
        <v>6934678.5800000001</v>
      </c>
      <c r="JY5" s="46"/>
      <c r="JZ5" s="165"/>
      <c r="KA5" s="53"/>
      <c r="KB5" s="17"/>
      <c r="KC5" s="165"/>
      <c r="KD5" s="166"/>
      <c r="KE5" s="53"/>
      <c r="KF5" s="17"/>
      <c r="KG5" s="54"/>
      <c r="KH5" s="61">
        <v>6934678.5800000001</v>
      </c>
      <c r="KI5" s="46"/>
      <c r="KJ5" s="165"/>
      <c r="KK5" s="53"/>
      <c r="KL5" s="17"/>
      <c r="KM5" s="165"/>
      <c r="KN5" s="166"/>
      <c r="KO5" s="53"/>
      <c r="KP5" s="17"/>
      <c r="KQ5" s="54"/>
      <c r="KR5" s="61">
        <v>6934678.5800000001</v>
      </c>
      <c r="KS5" s="46"/>
      <c r="KT5" s="165"/>
      <c r="KU5" s="53"/>
      <c r="KV5" s="17"/>
      <c r="KW5" s="165"/>
      <c r="KX5" s="166"/>
      <c r="KY5" s="53"/>
      <c r="KZ5" s="17"/>
      <c r="LA5" s="54"/>
      <c r="LB5" s="61">
        <v>6934678.5800000001</v>
      </c>
      <c r="LC5" s="46"/>
      <c r="LD5" s="165"/>
      <c r="LE5" s="53"/>
      <c r="LF5" s="17"/>
      <c r="LG5" s="165"/>
      <c r="LH5" s="166"/>
      <c r="LI5" s="53"/>
      <c r="LJ5" s="17"/>
      <c r="LK5" s="54"/>
      <c r="LL5" s="61">
        <v>6934678.5800000001</v>
      </c>
      <c r="LM5" s="46"/>
      <c r="LN5" s="165"/>
      <c r="LO5" s="53"/>
      <c r="LP5" s="17"/>
      <c r="LQ5" s="165"/>
      <c r="LR5" s="166"/>
      <c r="LS5" s="53"/>
      <c r="LT5" s="17"/>
      <c r="LU5" s="54"/>
      <c r="LV5" s="61">
        <v>6934678.5800000001</v>
      </c>
      <c r="LW5" s="46"/>
      <c r="LX5" s="165"/>
      <c r="LY5" s="53"/>
      <c r="LZ5" s="17"/>
      <c r="MA5" s="165"/>
      <c r="MB5" s="166"/>
      <c r="MC5" s="53"/>
      <c r="MD5" s="17"/>
      <c r="ME5" s="54"/>
      <c r="MF5" s="61">
        <v>6934678.5800000001</v>
      </c>
      <c r="MG5" s="46"/>
      <c r="MH5" s="165"/>
      <c r="MI5" s="53"/>
      <c r="MJ5" s="17"/>
      <c r="MK5" s="165"/>
      <c r="ML5" s="166"/>
      <c r="MM5" s="53"/>
      <c r="MN5" s="17"/>
      <c r="MO5" s="54"/>
      <c r="MP5" s="61"/>
      <c r="MQ5" s="46"/>
      <c r="MR5" s="165"/>
      <c r="MS5" s="53"/>
      <c r="MT5" s="17"/>
      <c r="MU5" s="165"/>
      <c r="MV5" s="166"/>
      <c r="MW5" s="53"/>
      <c r="MX5" s="17"/>
      <c r="MY5" s="54"/>
      <c r="MZ5" s="61"/>
      <c r="NA5" s="46"/>
      <c r="NB5" s="165"/>
      <c r="NC5" s="53"/>
      <c r="ND5" s="17"/>
      <c r="NE5" s="165"/>
      <c r="NF5" s="166"/>
      <c r="NG5" s="53"/>
      <c r="NH5" s="17"/>
      <c r="NI5" s="54"/>
      <c r="NJ5" s="61"/>
      <c r="NK5" s="46"/>
      <c r="NL5" s="165"/>
      <c r="NM5" s="53"/>
      <c r="NN5" s="17"/>
      <c r="NO5" s="165"/>
      <c r="NP5" s="166"/>
      <c r="NQ5" s="53"/>
      <c r="NR5" s="17"/>
      <c r="NS5" s="54"/>
      <c r="NT5" s="61"/>
      <c r="NU5" s="46"/>
      <c r="NV5" s="165"/>
      <c r="NW5" s="53"/>
      <c r="NX5" s="17"/>
      <c r="NY5" s="165"/>
      <c r="NZ5" s="166"/>
      <c r="OA5" s="53"/>
      <c r="OB5" s="17"/>
      <c r="OC5" s="54"/>
      <c r="OD5" s="61"/>
      <c r="OE5" s="46"/>
      <c r="OF5" s="165"/>
      <c r="OG5" s="53"/>
      <c r="OH5" s="17"/>
      <c r="OI5" s="165"/>
      <c r="OJ5" s="166"/>
      <c r="OK5" s="53"/>
      <c r="OL5" s="17"/>
      <c r="OM5" s="54"/>
      <c r="ON5" s="61"/>
      <c r="OO5" s="46"/>
      <c r="OP5" s="165"/>
      <c r="OQ5" s="53"/>
      <c r="OR5" s="17"/>
      <c r="OS5" s="165"/>
      <c r="OT5" s="166"/>
      <c r="OU5" s="53"/>
      <c r="OV5" s="17"/>
      <c r="OW5" s="54"/>
      <c r="OX5" s="61"/>
      <c r="OY5" s="46"/>
      <c r="OZ5" s="165"/>
      <c r="PA5" s="53"/>
      <c r="PB5" s="17"/>
      <c r="PC5" s="165"/>
      <c r="PD5" s="166"/>
      <c r="PE5" s="53"/>
      <c r="PF5" s="17"/>
      <c r="PG5" s="54"/>
      <c r="PH5" s="61"/>
      <c r="PI5" s="46"/>
      <c r="PJ5" s="165"/>
      <c r="PK5" s="53"/>
      <c r="PL5" s="17"/>
      <c r="PM5" s="165"/>
      <c r="PN5" s="166"/>
      <c r="PO5" s="53"/>
      <c r="PP5" s="17"/>
      <c r="PQ5" s="54"/>
      <c r="PR5" s="61"/>
      <c r="PS5" s="46"/>
      <c r="PT5" s="165"/>
      <c r="PU5" s="53"/>
      <c r="PV5" s="17"/>
      <c r="PW5" s="165"/>
      <c r="PX5" s="166"/>
      <c r="PY5" s="53"/>
      <c r="PZ5" s="17"/>
      <c r="QA5" s="54"/>
      <c r="QB5" s="61"/>
      <c r="QC5" s="46"/>
      <c r="QD5" s="165"/>
      <c r="QE5" s="53"/>
      <c r="QF5" s="17"/>
      <c r="QG5" s="165"/>
      <c r="QH5" s="166"/>
      <c r="QI5" s="53"/>
      <c r="QJ5" s="17"/>
      <c r="QK5" s="54"/>
      <c r="QL5" s="61"/>
      <c r="QM5" s="46"/>
      <c r="QN5" s="165"/>
      <c r="QO5" s="53"/>
      <c r="QP5" s="17"/>
      <c r="QQ5" s="165"/>
      <c r="QR5" s="166"/>
      <c r="QS5" s="53"/>
      <c r="QT5" s="17"/>
      <c r="QU5" s="54"/>
      <c r="QV5" s="61"/>
      <c r="QW5" s="46"/>
      <c r="QX5" s="165"/>
      <c r="QY5" s="53"/>
      <c r="QZ5" s="17"/>
      <c r="RA5" s="165"/>
      <c r="RB5" s="166"/>
      <c r="RC5" s="53"/>
      <c r="RD5" s="17"/>
      <c r="RE5" s="54"/>
      <c r="RF5" s="61"/>
      <c r="RG5" s="46"/>
      <c r="RH5" s="165"/>
      <c r="RI5" s="53"/>
      <c r="RJ5" s="17"/>
      <c r="RK5" s="165"/>
      <c r="RL5" s="166"/>
      <c r="RM5" s="53"/>
      <c r="RN5" s="17"/>
      <c r="RO5" s="54"/>
      <c r="RP5" s="61"/>
      <c r="RQ5" s="46"/>
      <c r="RR5" s="165"/>
      <c r="RS5" s="53"/>
      <c r="RT5" s="17"/>
      <c r="RU5" s="165"/>
    </row>
    <row r="6" spans="1:489" x14ac:dyDescent="0.25">
      <c r="A6" s="67" t="s">
        <v>157</v>
      </c>
      <c r="B6" s="17">
        <v>155</v>
      </c>
      <c r="C6" s="46">
        <v>9871.4968819299993</v>
      </c>
      <c r="D6" s="54">
        <f>B6*C6</f>
        <v>1530082.01669915</v>
      </c>
      <c r="E6" s="61"/>
      <c r="F6" s="46"/>
      <c r="G6" s="165"/>
      <c r="H6" s="53"/>
      <c r="I6" s="17"/>
      <c r="J6" s="165"/>
      <c r="K6" s="53"/>
      <c r="L6" s="17"/>
      <c r="M6" s="54"/>
      <c r="N6" s="61"/>
      <c r="O6" s="46"/>
      <c r="P6" s="165"/>
      <c r="Q6" s="53"/>
      <c r="R6" s="17"/>
      <c r="S6" s="165"/>
      <c r="T6" s="166"/>
      <c r="U6" s="53">
        <v>149</v>
      </c>
      <c r="V6" s="46">
        <v>9876.41570202</v>
      </c>
      <c r="W6" s="54">
        <f>U6*V6</f>
        <v>1471585.9396009799</v>
      </c>
      <c r="X6" s="61"/>
      <c r="Y6" s="46"/>
      <c r="Z6" s="165"/>
      <c r="AA6" s="53">
        <v>21</v>
      </c>
      <c r="AB6" s="46">
        <v>9876.41570202</v>
      </c>
      <c r="AC6" s="167">
        <f>AA6*AB6</f>
        <v>207404.72974241999</v>
      </c>
      <c r="AD6" s="166"/>
      <c r="AE6" s="53">
        <v>151</v>
      </c>
      <c r="AF6" s="46">
        <v>9878.87601937</v>
      </c>
      <c r="AG6" s="54">
        <f>AE6*AF6</f>
        <v>1491710.2789248701</v>
      </c>
      <c r="AH6" s="61"/>
      <c r="AI6" s="46"/>
      <c r="AJ6" s="165"/>
      <c r="AK6" s="53">
        <v>21</v>
      </c>
      <c r="AL6" s="46">
        <v>9878.87601937</v>
      </c>
      <c r="AM6" s="167">
        <f>AK6*AL6</f>
        <v>207456.39640676999</v>
      </c>
      <c r="AN6" s="166"/>
      <c r="AO6" s="53">
        <v>151</v>
      </c>
      <c r="AP6" s="46">
        <v>9878.87601937</v>
      </c>
      <c r="AQ6" s="54">
        <f>AO6*AP6</f>
        <v>1491710.2789248701</v>
      </c>
      <c r="AR6" s="61"/>
      <c r="AS6" s="46"/>
      <c r="AT6" s="165"/>
      <c r="AU6" s="53">
        <v>21</v>
      </c>
      <c r="AV6" s="46">
        <v>9878.87601937</v>
      </c>
      <c r="AW6" s="167">
        <f>AU6*AV6</f>
        <v>207456.39640676999</v>
      </c>
      <c r="AX6" s="166"/>
      <c r="AY6" s="53">
        <v>507</v>
      </c>
      <c r="AZ6" s="46">
        <v>9876.3409255299994</v>
      </c>
      <c r="BA6" s="54">
        <f>AY6*AZ6</f>
        <v>5007304.8492437098</v>
      </c>
      <c r="BB6" s="61"/>
      <c r="BC6" s="46"/>
      <c r="BD6" s="165"/>
      <c r="BE6" s="53"/>
      <c r="BF6" s="46"/>
      <c r="BG6" s="167">
        <f>BE6*BF6</f>
        <v>0</v>
      </c>
      <c r="BH6" s="166"/>
      <c r="BI6" s="53">
        <v>147</v>
      </c>
      <c r="BJ6" s="46">
        <v>9886.2606035499994</v>
      </c>
      <c r="BK6" s="54">
        <f>BI6*BJ6</f>
        <v>1453280.3087218499</v>
      </c>
      <c r="BL6" s="61"/>
      <c r="BM6" s="46"/>
      <c r="BN6" s="165"/>
      <c r="BO6" s="53"/>
      <c r="BP6" s="46"/>
      <c r="BQ6" s="167">
        <f>BO6*BP6</f>
        <v>0</v>
      </c>
      <c r="BR6" s="166"/>
      <c r="BS6" s="53">
        <v>55</v>
      </c>
      <c r="BT6" s="46">
        <v>9888.7233423300004</v>
      </c>
      <c r="BU6" s="54">
        <f>BS6*BT6</f>
        <v>543879.78382815002</v>
      </c>
      <c r="BV6" s="61"/>
      <c r="BW6" s="46"/>
      <c r="BX6" s="165"/>
      <c r="BY6" s="53">
        <v>28</v>
      </c>
      <c r="BZ6" s="46">
        <v>9888.7233423300004</v>
      </c>
      <c r="CA6" s="167">
        <f>BY6*BZ6</f>
        <v>276884.25358523999</v>
      </c>
      <c r="CB6" s="166"/>
      <c r="CC6" s="53"/>
      <c r="CD6" s="46"/>
      <c r="CE6" s="54">
        <f>CC6*CD6</f>
        <v>0</v>
      </c>
      <c r="CF6" s="61"/>
      <c r="CG6" s="46"/>
      <c r="CH6" s="165"/>
      <c r="CI6" s="53"/>
      <c r="CJ6" s="46"/>
      <c r="CK6" s="167">
        <f>CI6*CJ6</f>
        <v>0</v>
      </c>
      <c r="CL6" s="166"/>
      <c r="CM6" s="53">
        <v>44</v>
      </c>
      <c r="CN6" s="46">
        <v>9893.6506364600009</v>
      </c>
      <c r="CO6" s="54">
        <f>CM6*CN6</f>
        <v>435320.62800424005</v>
      </c>
      <c r="CP6" s="61">
        <v>0</v>
      </c>
      <c r="CQ6" s="46">
        <f>CN6</f>
        <v>9893.6506364600009</v>
      </c>
      <c r="CR6" s="165"/>
      <c r="CS6" s="53">
        <v>28</v>
      </c>
      <c r="CT6" s="46">
        <f t="shared" ref="CT6:CT11" si="0">CN6</f>
        <v>9893.6506364600009</v>
      </c>
      <c r="CU6" s="167">
        <f>CS6*CT6</f>
        <v>277022.21782088</v>
      </c>
      <c r="CV6" s="166"/>
      <c r="CW6" s="53">
        <v>0</v>
      </c>
      <c r="CX6" s="46">
        <v>9893.6506364600009</v>
      </c>
      <c r="CY6" s="54">
        <f>CW6*CX6</f>
        <v>0</v>
      </c>
      <c r="CZ6" s="61">
        <v>0</v>
      </c>
      <c r="DA6" s="46">
        <f>CX6</f>
        <v>9893.6506364600009</v>
      </c>
      <c r="DB6" s="165"/>
      <c r="DC6" s="53">
        <v>28</v>
      </c>
      <c r="DD6" s="46">
        <f t="shared" ref="DD6:DD11" si="1">CX6</f>
        <v>9893.6506364600009</v>
      </c>
      <c r="DE6" s="167">
        <f>DC6*DD6</f>
        <v>277022.21782088</v>
      </c>
      <c r="DF6" s="166"/>
      <c r="DG6" s="53">
        <v>37</v>
      </c>
      <c r="DH6" s="46">
        <v>9898.5803550199998</v>
      </c>
      <c r="DI6" s="54">
        <f>DG6*DH6</f>
        <v>366247.47313573997</v>
      </c>
      <c r="DJ6" s="61">
        <v>0</v>
      </c>
      <c r="DK6" s="46">
        <f>DH6</f>
        <v>9898.5803550199998</v>
      </c>
      <c r="DL6" s="165"/>
      <c r="DM6" s="53">
        <v>28</v>
      </c>
      <c r="DN6" s="46">
        <f t="shared" ref="DN6:DN11" si="2">DH6</f>
        <v>9898.5803550199998</v>
      </c>
      <c r="DO6" s="167">
        <f>DM6*DN6-0.01</f>
        <v>277160.23994055996</v>
      </c>
      <c r="DP6" s="166"/>
      <c r="DQ6" s="53">
        <v>67</v>
      </c>
      <c r="DR6" s="46">
        <v>9901.04612309</v>
      </c>
      <c r="DS6" s="54">
        <f>DQ6*DR6</f>
        <v>663370.09024703002</v>
      </c>
      <c r="DT6" s="61">
        <v>0</v>
      </c>
      <c r="DU6" s="46">
        <f>DR6</f>
        <v>9901.04612309</v>
      </c>
      <c r="DV6" s="165"/>
      <c r="DW6" s="53">
        <v>28</v>
      </c>
      <c r="DX6" s="46">
        <f t="shared" ref="DX6:DX11" si="3">DR6</f>
        <v>9901.04612309</v>
      </c>
      <c r="DY6" s="167">
        <f>DW6*DX6-0.01</f>
        <v>277229.28144652001</v>
      </c>
      <c r="DZ6" s="166"/>
      <c r="EA6" s="53">
        <v>46</v>
      </c>
      <c r="EB6" s="46">
        <v>9903.5124980000001</v>
      </c>
      <c r="EC6" s="54">
        <f>EA6*EB6</f>
        <v>455561.57490800001</v>
      </c>
      <c r="ED6" s="61">
        <v>0</v>
      </c>
      <c r="EE6" s="46">
        <f>EB6</f>
        <v>9903.5124980000001</v>
      </c>
      <c r="EF6" s="165"/>
      <c r="EG6" s="53">
        <v>28</v>
      </c>
      <c r="EH6" s="46">
        <f t="shared" ref="EH6:EH11" si="4">EB6</f>
        <v>9903.5124980000001</v>
      </c>
      <c r="EI6" s="167">
        <f>EG6*EH6-0.01</f>
        <v>277298.33994400001</v>
      </c>
      <c r="EJ6" s="166"/>
      <c r="EK6" s="53">
        <v>38</v>
      </c>
      <c r="EL6" s="46">
        <v>9905.9794787800001</v>
      </c>
      <c r="EM6" s="54">
        <f>EK6*EL6</f>
        <v>376427.22019363998</v>
      </c>
      <c r="EN6" s="61">
        <v>0</v>
      </c>
      <c r="EO6" s="46">
        <f>EL6</f>
        <v>9905.9794787800001</v>
      </c>
      <c r="EP6" s="165"/>
      <c r="EQ6" s="53">
        <v>28</v>
      </c>
      <c r="ER6" s="46">
        <f t="shared" ref="ER6:ER11" si="5">EL6</f>
        <v>9905.9794787800001</v>
      </c>
      <c r="ES6" s="167">
        <f>EQ6*ER6-0.01</f>
        <v>277367.41540583997</v>
      </c>
      <c r="ET6" s="166"/>
      <c r="EU6" s="53"/>
      <c r="EV6" s="46">
        <v>9905.9794787800001</v>
      </c>
      <c r="EW6" s="54">
        <f>EU6*EV6</f>
        <v>0</v>
      </c>
      <c r="EX6" s="61">
        <v>0</v>
      </c>
      <c r="EY6" s="46">
        <f>EV6</f>
        <v>9905.9794787800001</v>
      </c>
      <c r="EZ6" s="165"/>
      <c r="FA6" s="53"/>
      <c r="FB6" s="46">
        <f>EV6</f>
        <v>9905.9794787800001</v>
      </c>
      <c r="FC6" s="167">
        <f>FA6*FB6-0.01</f>
        <v>-0.01</v>
      </c>
      <c r="FD6" s="166"/>
      <c r="FE6" s="53">
        <v>64</v>
      </c>
      <c r="FF6" s="46">
        <v>9910.9152618799999</v>
      </c>
      <c r="FG6" s="54">
        <f>FE6*FF6</f>
        <v>634298.57676031999</v>
      </c>
      <c r="FH6" s="61">
        <v>0</v>
      </c>
      <c r="FI6" s="46">
        <f>FF6</f>
        <v>9910.9152618799999</v>
      </c>
      <c r="FJ6" s="165"/>
      <c r="FK6" s="53">
        <v>28</v>
      </c>
      <c r="FL6" s="46">
        <f>FF6</f>
        <v>9910.9152618799999</v>
      </c>
      <c r="FM6" s="167">
        <f>FK6*FL6</f>
        <v>277505.62733264</v>
      </c>
      <c r="FN6" s="166"/>
      <c r="FO6" s="53">
        <v>64</v>
      </c>
      <c r="FP6" s="46">
        <v>9913.38406321</v>
      </c>
      <c r="FQ6" s="54">
        <f>FO6*FP6</f>
        <v>634456.58004544</v>
      </c>
      <c r="FR6" s="61">
        <v>0</v>
      </c>
      <c r="FS6" s="46">
        <f>FP6</f>
        <v>9913.38406321</v>
      </c>
      <c r="FT6" s="165"/>
      <c r="FU6" s="53">
        <v>28</v>
      </c>
      <c r="FV6" s="46">
        <v>9913.38406321</v>
      </c>
      <c r="FW6" s="167">
        <f>FU6*FV6-0.01</f>
        <v>277574.74376987998</v>
      </c>
      <c r="FX6" s="166"/>
      <c r="FY6" s="53">
        <v>45</v>
      </c>
      <c r="FZ6" s="46">
        <v>9915.8534723899993</v>
      </c>
      <c r="GA6" s="54">
        <f>FY6*FZ6</f>
        <v>446213.40625754994</v>
      </c>
      <c r="GB6" s="61">
        <v>0</v>
      </c>
      <c r="GC6" s="46">
        <f>FZ6</f>
        <v>9915.8534723899993</v>
      </c>
      <c r="GD6" s="165"/>
      <c r="GE6" s="53">
        <v>28</v>
      </c>
      <c r="GF6" s="46">
        <f>FZ6</f>
        <v>9915.8534723899993</v>
      </c>
      <c r="GG6" s="167">
        <f>GE6*GF6-0.01</f>
        <v>277643.88722691999</v>
      </c>
      <c r="GH6" s="166"/>
      <c r="GI6" s="53">
        <v>57</v>
      </c>
      <c r="GJ6" s="46">
        <v>9918.3234884199992</v>
      </c>
      <c r="GK6" s="54">
        <f>GI6*GJ6</f>
        <v>565344.43883994</v>
      </c>
      <c r="GL6" s="53">
        <v>0</v>
      </c>
      <c r="GM6" s="46">
        <f>GJ6</f>
        <v>9918.3234884199992</v>
      </c>
      <c r="GN6" s="55">
        <f t="shared" ref="GN6:GN11" si="6">GL6*GM6</f>
        <v>0</v>
      </c>
      <c r="GO6" s="53">
        <v>28</v>
      </c>
      <c r="GP6" s="46">
        <f>GJ6</f>
        <v>9918.3234884199992</v>
      </c>
      <c r="GQ6" s="167">
        <f>GO6*GP6</f>
        <v>277713.05767576001</v>
      </c>
      <c r="GR6" s="166"/>
      <c r="GS6" s="53">
        <v>44</v>
      </c>
      <c r="GT6" s="46">
        <v>9920.7941112999997</v>
      </c>
      <c r="GU6" s="54">
        <f>GS6*GT6</f>
        <v>436514.94089719997</v>
      </c>
      <c r="GV6" s="53">
        <v>0</v>
      </c>
      <c r="GW6" s="46">
        <f>GT6</f>
        <v>9920.7941112999997</v>
      </c>
      <c r="GX6" s="55">
        <f t="shared" ref="GX6:GX11" si="7">GV6*GW6</f>
        <v>0</v>
      </c>
      <c r="GY6" s="53">
        <v>28</v>
      </c>
      <c r="GZ6" s="46">
        <f>GT6</f>
        <v>9920.7941112999997</v>
      </c>
      <c r="HA6" s="167">
        <f>GY6*GZ6</f>
        <v>277782.2351164</v>
      </c>
      <c r="HB6" s="166"/>
      <c r="HC6" s="53">
        <v>44</v>
      </c>
      <c r="HD6" s="46">
        <v>9920.7941112999997</v>
      </c>
      <c r="HE6" s="54">
        <f>HC6*HD6</f>
        <v>436514.94089719997</v>
      </c>
      <c r="HF6" s="53">
        <v>0</v>
      </c>
      <c r="HG6" s="46">
        <f>HD6</f>
        <v>9920.7941112999997</v>
      </c>
      <c r="HH6" s="55">
        <f t="shared" ref="HH6:HH11" si="8">HF6*HG6</f>
        <v>0</v>
      </c>
      <c r="HI6" s="53">
        <v>28</v>
      </c>
      <c r="HJ6" s="46">
        <f>HD6</f>
        <v>9920.7941112999997</v>
      </c>
      <c r="HK6" s="167">
        <f>HI6*HJ6</f>
        <v>277782.2351164</v>
      </c>
      <c r="HL6" s="166"/>
      <c r="HM6" s="53">
        <v>37</v>
      </c>
      <c r="HN6" s="46">
        <v>9923.2653430200007</v>
      </c>
      <c r="HO6" s="54">
        <f>HM6*HN6</f>
        <v>367160.81769174</v>
      </c>
      <c r="HP6" s="53">
        <v>0</v>
      </c>
      <c r="HQ6" s="46">
        <f>HN6</f>
        <v>9923.2653430200007</v>
      </c>
      <c r="HR6" s="55">
        <f t="shared" ref="HR6:HR11" si="9">HP6*HQ6</f>
        <v>0</v>
      </c>
      <c r="HS6" s="53">
        <v>28</v>
      </c>
      <c r="HT6" s="46">
        <f>HN6</f>
        <v>9923.2653430200007</v>
      </c>
      <c r="HU6" s="167">
        <f>HS6*HT6</f>
        <v>277851.42960456002</v>
      </c>
      <c r="HV6" s="166"/>
      <c r="HW6" s="53">
        <v>34</v>
      </c>
      <c r="HX6" s="46">
        <v>9925</v>
      </c>
      <c r="HY6" s="54">
        <f>HW6*HX6</f>
        <v>337450</v>
      </c>
      <c r="HZ6" s="53">
        <v>0</v>
      </c>
      <c r="IA6" s="46">
        <f>HX6</f>
        <v>9925</v>
      </c>
      <c r="IB6" s="55">
        <f t="shared" ref="IB6:IB11" si="10">HZ6*IA6</f>
        <v>0</v>
      </c>
      <c r="IC6" s="53">
        <v>28</v>
      </c>
      <c r="ID6" s="46">
        <f>HX6</f>
        <v>9925</v>
      </c>
      <c r="IE6" s="167">
        <f>IC6*ID6</f>
        <v>277900</v>
      </c>
      <c r="IF6" s="166"/>
      <c r="IG6" s="53">
        <v>42</v>
      </c>
      <c r="IH6" s="46">
        <v>9928.2096280200003</v>
      </c>
      <c r="II6" s="54">
        <f>IG6*IH6</f>
        <v>416984.80437684001</v>
      </c>
      <c r="IJ6" s="53">
        <v>0</v>
      </c>
      <c r="IK6" s="46">
        <f>IH6</f>
        <v>9928.2096280200003</v>
      </c>
      <c r="IL6" s="55">
        <f t="shared" ref="IL6:IL11" si="11">IJ6*IK6</f>
        <v>0</v>
      </c>
      <c r="IM6" s="53">
        <v>24</v>
      </c>
      <c r="IN6" s="46">
        <f>IH6</f>
        <v>9928.2096280200003</v>
      </c>
      <c r="IO6" s="167">
        <f>IM6*IN6</f>
        <v>238277.03107248002</v>
      </c>
      <c r="IP6" s="166"/>
      <c r="IQ6" s="53">
        <v>69</v>
      </c>
      <c r="IR6" s="46">
        <v>9930.6826822900002</v>
      </c>
      <c r="IS6" s="54">
        <f>IQ6*IR6</f>
        <v>685217.10507801</v>
      </c>
      <c r="IT6" s="53">
        <v>0</v>
      </c>
      <c r="IU6" s="46">
        <f>IR6</f>
        <v>9930.6826822900002</v>
      </c>
      <c r="IV6" s="55">
        <f t="shared" ref="IV6:IV11" si="12">IT6*IU6</f>
        <v>0</v>
      </c>
      <c r="IW6" s="53">
        <v>24</v>
      </c>
      <c r="IX6" s="46">
        <f>IR6</f>
        <v>9930.6826822900002</v>
      </c>
      <c r="IY6" s="167">
        <f>IW6*IX6</f>
        <v>238336.38437496001</v>
      </c>
      <c r="IZ6" s="166"/>
      <c r="JA6" s="53">
        <v>38</v>
      </c>
      <c r="JB6" s="46">
        <v>9933.1563454099996</v>
      </c>
      <c r="JC6" s="54">
        <f>JA6*JB6</f>
        <v>377459.94112557999</v>
      </c>
      <c r="JD6" s="53">
        <v>0</v>
      </c>
      <c r="JE6" s="46">
        <f>JB6</f>
        <v>9933.1563454099996</v>
      </c>
      <c r="JF6" s="55">
        <f t="shared" ref="JF6:JF11" si="13">JD6*JE6</f>
        <v>0</v>
      </c>
      <c r="JG6" s="53">
        <v>24</v>
      </c>
      <c r="JH6" s="46">
        <f>JB6</f>
        <v>9933.1563454099996</v>
      </c>
      <c r="JI6" s="167">
        <f>JG6*JH6</f>
        <v>238395.75228983999</v>
      </c>
      <c r="JJ6" s="166"/>
      <c r="JK6" s="53">
        <v>36</v>
      </c>
      <c r="JL6" s="46">
        <v>9935.6306163699992</v>
      </c>
      <c r="JM6" s="54">
        <f>JK6*JL6</f>
        <v>357682.70218932</v>
      </c>
      <c r="JN6" s="53">
        <v>0</v>
      </c>
      <c r="JO6" s="46">
        <f>JL6</f>
        <v>9935.6306163699992</v>
      </c>
      <c r="JP6" s="55">
        <f t="shared" ref="JP6:JP11" si="14">JN6*JO6</f>
        <v>0</v>
      </c>
      <c r="JQ6" s="53">
        <v>32</v>
      </c>
      <c r="JR6" s="46">
        <f>JL6</f>
        <v>9935.6306163699992</v>
      </c>
      <c r="JS6" s="167">
        <f>JQ6*JR6</f>
        <v>317940.17972383997</v>
      </c>
      <c r="JT6" s="166"/>
      <c r="JU6" s="53">
        <v>42</v>
      </c>
      <c r="JV6" s="46">
        <v>9938.10549618</v>
      </c>
      <c r="JW6" s="54">
        <f>JU6*JV6</f>
        <v>417400.43083955999</v>
      </c>
      <c r="JX6" s="53">
        <v>0</v>
      </c>
      <c r="JY6" s="46">
        <f>JV6</f>
        <v>9938.10549618</v>
      </c>
      <c r="JZ6" s="55">
        <f t="shared" ref="JZ6:JZ11" si="15">JX6*JY6</f>
        <v>0</v>
      </c>
      <c r="KA6" s="53">
        <v>0</v>
      </c>
      <c r="KB6" s="46">
        <f t="shared" ref="KB6:KB11" si="16">JV6</f>
        <v>9938.10549618</v>
      </c>
      <c r="KC6" s="167">
        <f>KA6*KB6</f>
        <v>0</v>
      </c>
      <c r="KD6" s="166"/>
      <c r="KE6" s="53">
        <v>41</v>
      </c>
      <c r="KF6" s="46">
        <v>9940.5809838299992</v>
      </c>
      <c r="KG6" s="54">
        <f>KE6*KF6</f>
        <v>407563.82033702999</v>
      </c>
      <c r="KH6" s="53">
        <v>0</v>
      </c>
      <c r="KI6" s="46">
        <f>KF6</f>
        <v>9940.5809838299992</v>
      </c>
      <c r="KJ6" s="55">
        <f t="shared" ref="KJ6:KJ11" si="17">KH6*KI6</f>
        <v>0</v>
      </c>
      <c r="KK6" s="53"/>
      <c r="KL6" s="46">
        <f t="shared" ref="KL6:KL11" si="18">KF6</f>
        <v>9940.5809838299992</v>
      </c>
      <c r="KM6" s="167">
        <f>KK6*KL6</f>
        <v>0</v>
      </c>
      <c r="KN6" s="166"/>
      <c r="KO6" s="53">
        <v>42</v>
      </c>
      <c r="KP6" s="46">
        <v>9943.0570813199993</v>
      </c>
      <c r="KQ6" s="54">
        <f>KO6*KP6</f>
        <v>417608.39741543995</v>
      </c>
      <c r="KR6" s="53">
        <v>0</v>
      </c>
      <c r="KS6" s="46">
        <f>KP6</f>
        <v>9943.0570813199993</v>
      </c>
      <c r="KT6" s="55">
        <f t="shared" ref="KT6:KT11" si="19">KR6*KS6</f>
        <v>0</v>
      </c>
      <c r="KU6" s="53">
        <v>0</v>
      </c>
      <c r="KV6" s="46">
        <f t="shared" ref="KV6:KV11" si="20">KP6</f>
        <v>9943.0570813199993</v>
      </c>
      <c r="KW6" s="167">
        <f>KU6*KV6</f>
        <v>0</v>
      </c>
      <c r="KX6" s="166"/>
      <c r="KY6" s="53">
        <v>25</v>
      </c>
      <c r="KZ6" s="46">
        <v>9945.5337866499995</v>
      </c>
      <c r="LA6" s="54">
        <f>KY6*KZ6</f>
        <v>248638.34466624999</v>
      </c>
      <c r="LB6" s="53">
        <v>0</v>
      </c>
      <c r="LC6" s="46">
        <f>KZ6</f>
        <v>9945.5337866499995</v>
      </c>
      <c r="LD6" s="55">
        <f t="shared" ref="LD6:LD11" si="21">LB6*LC6</f>
        <v>0</v>
      </c>
      <c r="LE6" s="53">
        <v>32</v>
      </c>
      <c r="LF6" s="46">
        <f>KZ6</f>
        <v>9945.5337866499995</v>
      </c>
      <c r="LG6" s="167">
        <f>LE6*LF6</f>
        <v>318257.08117279998</v>
      </c>
      <c r="LH6" s="166"/>
      <c r="LI6" s="53">
        <v>43</v>
      </c>
      <c r="LJ6" s="46">
        <v>9948.0111008299991</v>
      </c>
      <c r="LK6" s="54">
        <f>LI6*LJ6</f>
        <v>427764.47733568994</v>
      </c>
      <c r="LL6" s="53">
        <v>0</v>
      </c>
      <c r="LM6" s="46">
        <f>LJ6</f>
        <v>9948.0111008299991</v>
      </c>
      <c r="LN6" s="55">
        <f t="shared" ref="LN6:LN11" si="22">LL6*LM6</f>
        <v>0</v>
      </c>
      <c r="LO6" s="53">
        <v>32</v>
      </c>
      <c r="LP6" s="46">
        <f>LJ6</f>
        <v>9948.0111008299991</v>
      </c>
      <c r="LQ6" s="167">
        <f>LO6*LP6</f>
        <v>318336.35522655997</v>
      </c>
      <c r="LR6" s="166"/>
      <c r="LS6" s="53">
        <v>35</v>
      </c>
      <c r="LT6" s="46">
        <v>9950.4890248499996</v>
      </c>
      <c r="LU6" s="54">
        <f>LS6*LT6</f>
        <v>348267.11586974998</v>
      </c>
      <c r="LV6" s="53">
        <v>0</v>
      </c>
      <c r="LW6" s="46">
        <f>LT6</f>
        <v>9950.4890248499996</v>
      </c>
      <c r="LX6" s="55">
        <f t="shared" ref="LX6:LX11" si="23">LV6*LW6</f>
        <v>0</v>
      </c>
      <c r="LY6" s="53">
        <v>35</v>
      </c>
      <c r="LZ6" s="46">
        <f>LT6</f>
        <v>9950.4890248499996</v>
      </c>
      <c r="MA6" s="167">
        <f>LY6*LZ6</f>
        <v>348267.11586974998</v>
      </c>
      <c r="MB6" s="166"/>
      <c r="MC6" s="53">
        <v>37</v>
      </c>
      <c r="MD6" s="46">
        <v>9952.9675590000006</v>
      </c>
      <c r="ME6" s="54">
        <f>MC6*MD6</f>
        <v>368259.79968300002</v>
      </c>
      <c r="MF6" s="53">
        <v>0</v>
      </c>
      <c r="MG6" s="46">
        <f>MD6</f>
        <v>9952.9675590000006</v>
      </c>
      <c r="MH6" s="55">
        <f t="shared" ref="MH6:MH11" si="24">MF6*MG6</f>
        <v>0</v>
      </c>
      <c r="MI6" s="53">
        <v>0</v>
      </c>
      <c r="MJ6" s="46">
        <f t="shared" ref="MJ6:MJ11" si="25">MD6</f>
        <v>9952.9675590000006</v>
      </c>
      <c r="MK6" s="167">
        <f>MI6*MJ6</f>
        <v>0</v>
      </c>
      <c r="ML6" s="166"/>
      <c r="MM6" s="53"/>
      <c r="MN6" s="46"/>
      <c r="MO6" s="54">
        <f>MM6*MN6</f>
        <v>0</v>
      </c>
      <c r="MP6" s="53"/>
      <c r="MQ6" s="46"/>
      <c r="MR6" s="55">
        <f t="shared" ref="MR6:MR11" si="26">MP6*MQ6</f>
        <v>0</v>
      </c>
      <c r="MS6" s="53">
        <v>24</v>
      </c>
      <c r="MT6" s="46">
        <f>MN6</f>
        <v>0</v>
      </c>
      <c r="MU6" s="167">
        <f>MS6*MT6</f>
        <v>0</v>
      </c>
      <c r="MV6" s="166"/>
      <c r="MW6" s="53">
        <v>112</v>
      </c>
      <c r="MX6" s="46">
        <v>9957.9264529400007</v>
      </c>
      <c r="MY6" s="54">
        <f>MW6*MX6</f>
        <v>1115287.7627292802</v>
      </c>
      <c r="MZ6" s="53"/>
      <c r="NA6" s="46"/>
      <c r="NB6" s="55">
        <f t="shared" ref="NB6:NB11" si="27">MZ6*NA6</f>
        <v>0</v>
      </c>
      <c r="NC6" s="53">
        <v>35</v>
      </c>
      <c r="ND6" s="46">
        <v>9957.9264529400007</v>
      </c>
      <c r="NE6" s="167">
        <f>NC6*ND6</f>
        <v>348527.42585290002</v>
      </c>
      <c r="NF6" s="166"/>
      <c r="NG6" s="53">
        <v>46</v>
      </c>
      <c r="NH6" s="46">
        <v>9960.4068153099997</v>
      </c>
      <c r="NI6" s="54">
        <f>NG6*NH6</f>
        <v>458178.71350426</v>
      </c>
      <c r="NJ6" s="53"/>
      <c r="NK6" s="46"/>
      <c r="NL6" s="55">
        <f t="shared" ref="NL6:NL11" si="28">NJ6*NK6</f>
        <v>0</v>
      </c>
      <c r="NM6" s="53">
        <v>0</v>
      </c>
      <c r="NN6" s="46">
        <f t="shared" ref="NN6:NN11" si="29">NH6</f>
        <v>9960.4068153099997</v>
      </c>
      <c r="NO6" s="167">
        <f>NM6*NN6</f>
        <v>0</v>
      </c>
      <c r="NP6" s="166"/>
      <c r="NQ6" s="53">
        <v>38</v>
      </c>
      <c r="NR6" s="46">
        <v>9962.8877875199996</v>
      </c>
      <c r="NS6" s="54">
        <f>NQ6*NR6-0.01</f>
        <v>378589.72592575999</v>
      </c>
      <c r="NT6" s="53"/>
      <c r="NU6" s="46"/>
      <c r="NV6" s="55">
        <f t="shared" ref="NV6:NV11" si="30">NT6*NU6</f>
        <v>0</v>
      </c>
      <c r="NW6" s="53">
        <v>34</v>
      </c>
      <c r="NX6" s="46">
        <f>NR6</f>
        <v>9962.8877875199996</v>
      </c>
      <c r="NY6" s="167">
        <f>NW6*NX6</f>
        <v>338738.18477568001</v>
      </c>
      <c r="NZ6" s="166"/>
      <c r="OA6" s="53">
        <v>45</v>
      </c>
      <c r="OB6" s="46">
        <v>9965.3693695599995</v>
      </c>
      <c r="OC6" s="54">
        <f>OA6*OB6</f>
        <v>448441.62163019995</v>
      </c>
      <c r="OD6" s="53"/>
      <c r="OE6" s="46"/>
      <c r="OF6" s="55">
        <f t="shared" ref="OF6:OF11" si="31">OD6*OE6</f>
        <v>0</v>
      </c>
      <c r="OG6" s="53">
        <v>33</v>
      </c>
      <c r="OH6" s="46">
        <f>OB6</f>
        <v>9965.3693695599995</v>
      </c>
      <c r="OI6" s="167">
        <f>OG6*OH6</f>
        <v>328857.18919547996</v>
      </c>
      <c r="OJ6" s="166"/>
      <c r="OK6" s="53">
        <v>45</v>
      </c>
      <c r="OL6" s="46">
        <v>9965.3693695599995</v>
      </c>
      <c r="OM6" s="54">
        <f>OK6*OL6</f>
        <v>448441.62163019995</v>
      </c>
      <c r="ON6" s="53"/>
      <c r="OO6" s="46"/>
      <c r="OP6" s="55">
        <f t="shared" ref="OP6:OP11" si="32">ON6*OO6</f>
        <v>0</v>
      </c>
      <c r="OQ6" s="53">
        <v>24</v>
      </c>
      <c r="OR6" s="46">
        <f>OL6</f>
        <v>9965.3693695599995</v>
      </c>
      <c r="OS6" s="167">
        <f>OQ6*OR6</f>
        <v>239168.86486943997</v>
      </c>
      <c r="OT6" s="166"/>
      <c r="OU6" s="53">
        <v>45</v>
      </c>
      <c r="OV6" s="46">
        <v>9970.3343641600004</v>
      </c>
      <c r="OW6" s="54">
        <f>OU6*OV6</f>
        <v>448665.04638720001</v>
      </c>
      <c r="OX6" s="53"/>
      <c r="OY6" s="46"/>
      <c r="OZ6" s="55">
        <f t="shared" ref="OZ6:OZ11" si="33">OX6*OY6</f>
        <v>0</v>
      </c>
      <c r="PA6" s="53">
        <v>24</v>
      </c>
      <c r="PB6" s="46">
        <f>OV6</f>
        <v>9970.3343641600004</v>
      </c>
      <c r="PC6" s="167">
        <f>PA6*PB6</f>
        <v>239288.02473984001</v>
      </c>
      <c r="PD6" s="166"/>
      <c r="PE6" s="53">
        <v>45</v>
      </c>
      <c r="PF6" s="46">
        <v>9965.3693695599995</v>
      </c>
      <c r="PG6" s="54">
        <f>PE6*PF6</f>
        <v>448441.62163019995</v>
      </c>
      <c r="PH6" s="53"/>
      <c r="PI6" s="46"/>
      <c r="PJ6" s="55">
        <f t="shared" ref="PJ6:PJ11" si="34">PH6*PI6</f>
        <v>0</v>
      </c>
      <c r="PK6" s="53">
        <v>24</v>
      </c>
      <c r="PL6" s="46">
        <f>PF6</f>
        <v>9965.3693695599995</v>
      </c>
      <c r="PM6" s="167">
        <f>PK6*PL6</f>
        <v>239168.86486943997</v>
      </c>
      <c r="PN6" s="166"/>
      <c r="PO6" s="53">
        <v>45</v>
      </c>
      <c r="PP6" s="46">
        <v>9965.3693695599995</v>
      </c>
      <c r="PQ6" s="54">
        <f>PO6*PP6</f>
        <v>448441.62163019995</v>
      </c>
      <c r="PR6" s="53"/>
      <c r="PS6" s="46"/>
      <c r="PT6" s="55">
        <f t="shared" ref="PT6:PT11" si="35">PR6*PS6</f>
        <v>0</v>
      </c>
      <c r="PU6" s="53">
        <v>24</v>
      </c>
      <c r="PV6" s="46">
        <f>PP6</f>
        <v>9965.3693695599995</v>
      </c>
      <c r="PW6" s="167">
        <f>PU6*PV6</f>
        <v>239168.86486943997</v>
      </c>
      <c r="PX6" s="166"/>
      <c r="PY6" s="53">
        <v>45</v>
      </c>
      <c r="PZ6" s="46">
        <v>9965.3693695599995</v>
      </c>
      <c r="QA6" s="54">
        <f>PY6*PZ6</f>
        <v>448441.62163019995</v>
      </c>
      <c r="QB6" s="53"/>
      <c r="QC6" s="46"/>
      <c r="QD6" s="55">
        <f t="shared" ref="QD6:QD11" si="36">QB6*QC6</f>
        <v>0</v>
      </c>
      <c r="QE6" s="53">
        <v>24</v>
      </c>
      <c r="QF6" s="46">
        <f>PZ6</f>
        <v>9965.3693695599995</v>
      </c>
      <c r="QG6" s="167">
        <f>QE6*QF6</f>
        <v>239168.86486943997</v>
      </c>
      <c r="QH6" s="166"/>
      <c r="QI6" s="53">
        <v>45</v>
      </c>
      <c r="QJ6" s="46">
        <v>9965.3693695599995</v>
      </c>
      <c r="QK6" s="54">
        <f>QI6*QJ6</f>
        <v>448441.62163019995</v>
      </c>
      <c r="QL6" s="53"/>
      <c r="QM6" s="46"/>
      <c r="QN6" s="55">
        <f t="shared" ref="QN6:QN11" si="37">QL6*QM6</f>
        <v>0</v>
      </c>
      <c r="QO6" s="53">
        <v>24</v>
      </c>
      <c r="QP6" s="46">
        <f>QJ6</f>
        <v>9965.3693695599995</v>
      </c>
      <c r="QQ6" s="167">
        <f>QO6*QP6</f>
        <v>239168.86486943997</v>
      </c>
      <c r="QR6" s="166"/>
      <c r="QS6" s="53">
        <v>45</v>
      </c>
      <c r="QT6" s="46">
        <v>9965.3693695599995</v>
      </c>
      <c r="QU6" s="54">
        <f>QS6*QT6</f>
        <v>448441.62163019995</v>
      </c>
      <c r="QV6" s="53"/>
      <c r="QW6" s="46"/>
      <c r="QX6" s="55">
        <f t="shared" ref="QX6:QX11" si="38">QV6*QW6</f>
        <v>0</v>
      </c>
      <c r="QY6" s="53">
        <v>24</v>
      </c>
      <c r="QZ6" s="46">
        <f>QT6</f>
        <v>9965.3693695599995</v>
      </c>
      <c r="RA6" s="167">
        <f>QY6*QZ6</f>
        <v>239168.86486943997</v>
      </c>
      <c r="RB6" s="166"/>
      <c r="RC6" s="53">
        <v>45</v>
      </c>
      <c r="RD6" s="46">
        <v>9965.3693695599995</v>
      </c>
      <c r="RE6" s="54">
        <f>RC6*RD6</f>
        <v>448441.62163019995</v>
      </c>
      <c r="RF6" s="53"/>
      <c r="RG6" s="46"/>
      <c r="RH6" s="55">
        <f t="shared" ref="RH6:RH11" si="39">RF6*RG6</f>
        <v>0</v>
      </c>
      <c r="RI6" s="53">
        <v>24</v>
      </c>
      <c r="RJ6" s="46">
        <f>RD6</f>
        <v>9965.3693695599995</v>
      </c>
      <c r="RK6" s="167">
        <f>RI6*RJ6</f>
        <v>239168.86486943997</v>
      </c>
      <c r="RL6" s="166"/>
      <c r="RM6" s="53">
        <v>45</v>
      </c>
      <c r="RN6" s="46">
        <v>9965.3693695599995</v>
      </c>
      <c r="RO6" s="54">
        <f>RM6*RN6</f>
        <v>448441.62163019995</v>
      </c>
      <c r="RP6" s="53"/>
      <c r="RQ6" s="46"/>
      <c r="RR6" s="55">
        <f t="shared" ref="RR6:RR11" si="40">RP6*RQ6</f>
        <v>0</v>
      </c>
      <c r="RS6" s="53">
        <v>24</v>
      </c>
      <c r="RT6" s="46">
        <f>RN6</f>
        <v>9965.3693695599995</v>
      </c>
      <c r="RU6" s="167">
        <f>RS6*RT6</f>
        <v>239168.86486943997</v>
      </c>
    </row>
    <row r="7" spans="1:489" x14ac:dyDescent="0.25">
      <c r="A7" s="67" t="s">
        <v>157</v>
      </c>
      <c r="B7" s="17"/>
      <c r="C7" s="46"/>
      <c r="D7" s="54"/>
      <c r="E7" s="61"/>
      <c r="F7" s="46"/>
      <c r="G7" s="165"/>
      <c r="H7" s="53"/>
      <c r="I7" s="17"/>
      <c r="J7" s="165"/>
      <c r="K7" s="53"/>
      <c r="L7" s="17"/>
      <c r="M7" s="54"/>
      <c r="N7" s="61"/>
      <c r="O7" s="46"/>
      <c r="P7" s="165"/>
      <c r="Q7" s="53"/>
      <c r="R7" s="17"/>
      <c r="S7" s="165"/>
      <c r="T7" s="166"/>
      <c r="U7" s="53"/>
      <c r="V7" s="46"/>
      <c r="W7" s="54"/>
      <c r="X7" s="61"/>
      <c r="Y7" s="46"/>
      <c r="Z7" s="165"/>
      <c r="AA7" s="53"/>
      <c r="AB7" s="46"/>
      <c r="AC7" s="167"/>
      <c r="AD7" s="166"/>
      <c r="AE7" s="53"/>
      <c r="AF7" s="46"/>
      <c r="AG7" s="54"/>
      <c r="AH7" s="61"/>
      <c r="AI7" s="46"/>
      <c r="AJ7" s="165"/>
      <c r="AK7" s="53"/>
      <c r="AL7" s="46"/>
      <c r="AM7" s="167"/>
      <c r="AN7" s="166"/>
      <c r="AO7" s="53"/>
      <c r="AP7" s="46"/>
      <c r="AQ7" s="54"/>
      <c r="AR7" s="61"/>
      <c r="AS7" s="46"/>
      <c r="AT7" s="165"/>
      <c r="AU7" s="53"/>
      <c r="AV7" s="46"/>
      <c r="AW7" s="167"/>
      <c r="AX7" s="166"/>
      <c r="AY7" s="53">
        <v>115</v>
      </c>
      <c r="AZ7" s="46">
        <v>9883.7984706299994</v>
      </c>
      <c r="BA7" s="54">
        <f>AY7*AZ7</f>
        <v>1136636.8241224498</v>
      </c>
      <c r="BB7" s="61"/>
      <c r="BC7" s="46"/>
      <c r="BD7" s="165"/>
      <c r="BE7" s="53">
        <v>28</v>
      </c>
      <c r="BF7" s="46">
        <v>9883.7984706299994</v>
      </c>
      <c r="BG7" s="167">
        <f>BE7*BF7</f>
        <v>276746.35717763996</v>
      </c>
      <c r="BH7" s="166"/>
      <c r="BI7" s="53"/>
      <c r="BJ7" s="46"/>
      <c r="BK7" s="54">
        <f>BI7*BJ7</f>
        <v>0</v>
      </c>
      <c r="BL7" s="61"/>
      <c r="BM7" s="46"/>
      <c r="BN7" s="165"/>
      <c r="BO7" s="53">
        <v>28</v>
      </c>
      <c r="BP7" s="46">
        <v>9886.2606035499994</v>
      </c>
      <c r="BQ7" s="167">
        <f>BO7*BP7</f>
        <v>276815.29689939995</v>
      </c>
      <c r="BR7" s="166"/>
      <c r="BS7" s="53"/>
      <c r="BT7" s="46"/>
      <c r="BU7" s="54">
        <f>BS7*BT7</f>
        <v>0</v>
      </c>
      <c r="BV7" s="61"/>
      <c r="BW7" s="46"/>
      <c r="BX7" s="165"/>
      <c r="BY7" s="53"/>
      <c r="BZ7" s="46"/>
      <c r="CA7" s="167">
        <f>BY7*BZ7</f>
        <v>0</v>
      </c>
      <c r="CB7" s="166"/>
      <c r="CC7" s="53"/>
      <c r="CD7" s="46"/>
      <c r="CE7" s="54">
        <f>CC7*CD7</f>
        <v>0</v>
      </c>
      <c r="CF7" s="61"/>
      <c r="CG7" s="46"/>
      <c r="CH7" s="165"/>
      <c r="CI7" s="53"/>
      <c r="CJ7" s="46"/>
      <c r="CK7" s="167">
        <f>CI7*CJ7</f>
        <v>0</v>
      </c>
      <c r="CL7" s="166"/>
      <c r="CM7" s="53">
        <v>0</v>
      </c>
      <c r="CN7" s="46">
        <v>0</v>
      </c>
      <c r="CO7" s="54">
        <f>CM7*CN7</f>
        <v>0</v>
      </c>
      <c r="CP7" s="53">
        <v>0</v>
      </c>
      <c r="CQ7" s="46">
        <f>CN7</f>
        <v>0</v>
      </c>
      <c r="CR7" s="165"/>
      <c r="CS7" s="53">
        <v>0</v>
      </c>
      <c r="CT7" s="46">
        <f t="shared" si="0"/>
        <v>0</v>
      </c>
      <c r="CU7" s="167">
        <f>CS7*CT7</f>
        <v>0</v>
      </c>
      <c r="CV7" s="166"/>
      <c r="CW7" s="53">
        <v>0</v>
      </c>
      <c r="CX7" s="46">
        <v>0</v>
      </c>
      <c r="CY7" s="54">
        <f>CW7*CX7</f>
        <v>0</v>
      </c>
      <c r="CZ7" s="53">
        <v>0</v>
      </c>
      <c r="DA7" s="46">
        <f>CX7</f>
        <v>0</v>
      </c>
      <c r="DB7" s="165"/>
      <c r="DC7" s="53">
        <v>0</v>
      </c>
      <c r="DD7" s="46">
        <f t="shared" si="1"/>
        <v>0</v>
      </c>
      <c r="DE7" s="167">
        <f>DC7*DD7</f>
        <v>0</v>
      </c>
      <c r="DF7" s="166"/>
      <c r="DG7" s="53">
        <v>0</v>
      </c>
      <c r="DH7" s="46">
        <v>0</v>
      </c>
      <c r="DI7" s="54">
        <f>DG7*DH7</f>
        <v>0</v>
      </c>
      <c r="DJ7" s="53">
        <v>0</v>
      </c>
      <c r="DK7" s="46">
        <f>DH7</f>
        <v>0</v>
      </c>
      <c r="DL7" s="165"/>
      <c r="DM7" s="53">
        <v>0</v>
      </c>
      <c r="DN7" s="46">
        <f t="shared" si="2"/>
        <v>0</v>
      </c>
      <c r="DO7" s="167">
        <f>DM7*DN7</f>
        <v>0</v>
      </c>
      <c r="DP7" s="166"/>
      <c r="DQ7" s="53">
        <v>0</v>
      </c>
      <c r="DR7" s="46">
        <v>0</v>
      </c>
      <c r="DS7" s="54">
        <f>DQ7*DR7</f>
        <v>0</v>
      </c>
      <c r="DT7" s="53">
        <v>0</v>
      </c>
      <c r="DU7" s="46">
        <f>DR7</f>
        <v>0</v>
      </c>
      <c r="DV7" s="165"/>
      <c r="DW7" s="53">
        <v>0</v>
      </c>
      <c r="DX7" s="46">
        <f t="shared" si="3"/>
        <v>0</v>
      </c>
      <c r="DY7" s="167">
        <f>DW7*DX7</f>
        <v>0</v>
      </c>
      <c r="DZ7" s="166"/>
      <c r="EA7" s="53">
        <v>0</v>
      </c>
      <c r="EB7" s="46">
        <v>0</v>
      </c>
      <c r="EC7" s="54">
        <f>EA7*EB7</f>
        <v>0</v>
      </c>
      <c r="ED7" s="53">
        <v>0</v>
      </c>
      <c r="EE7" s="46">
        <f>EB7</f>
        <v>0</v>
      </c>
      <c r="EF7" s="165"/>
      <c r="EG7" s="53">
        <v>0</v>
      </c>
      <c r="EH7" s="46">
        <f t="shared" si="4"/>
        <v>0</v>
      </c>
      <c r="EI7" s="167">
        <f>EG7*EH7</f>
        <v>0</v>
      </c>
      <c r="EJ7" s="166"/>
      <c r="EK7" s="53">
        <v>0</v>
      </c>
      <c r="EL7" s="46">
        <v>0</v>
      </c>
      <c r="EM7" s="54">
        <f>EK7*EL7</f>
        <v>0</v>
      </c>
      <c r="EN7" s="53">
        <v>0</v>
      </c>
      <c r="EO7" s="46">
        <f>EL7</f>
        <v>0</v>
      </c>
      <c r="EP7" s="165"/>
      <c r="EQ7" s="53">
        <v>0</v>
      </c>
      <c r="ER7" s="46">
        <f t="shared" si="5"/>
        <v>0</v>
      </c>
      <c r="ES7" s="167">
        <f>EQ7*ER7</f>
        <v>0</v>
      </c>
      <c r="ET7" s="166"/>
      <c r="EU7" s="53">
        <v>0</v>
      </c>
      <c r="EV7" s="46">
        <v>0</v>
      </c>
      <c r="EW7" s="54">
        <f>EU7*EV7</f>
        <v>0</v>
      </c>
      <c r="EX7" s="53">
        <v>0</v>
      </c>
      <c r="EY7" s="46">
        <f>EV7</f>
        <v>0</v>
      </c>
      <c r="EZ7" s="165"/>
      <c r="FA7" s="53">
        <v>0</v>
      </c>
      <c r="FB7" s="46">
        <f>EV7</f>
        <v>0</v>
      </c>
      <c r="FC7" s="167">
        <f>FA7*FB7</f>
        <v>0</v>
      </c>
      <c r="FD7" s="166"/>
      <c r="FE7" s="53">
        <v>0</v>
      </c>
      <c r="FF7" s="46">
        <v>0</v>
      </c>
      <c r="FG7" s="54">
        <f>FE7*FF7</f>
        <v>0</v>
      </c>
      <c r="FH7" s="53">
        <v>0</v>
      </c>
      <c r="FI7" s="46">
        <f>FF7</f>
        <v>0</v>
      </c>
      <c r="FJ7" s="165"/>
      <c r="FK7" s="53">
        <v>0</v>
      </c>
      <c r="FL7" s="46">
        <f>FF7</f>
        <v>0</v>
      </c>
      <c r="FM7" s="167">
        <f>FK7*FL7</f>
        <v>0</v>
      </c>
      <c r="FN7" s="166"/>
      <c r="FO7" s="53">
        <v>0</v>
      </c>
      <c r="FP7" s="46">
        <v>0</v>
      </c>
      <c r="FQ7" s="54">
        <f>FO7*FP7</f>
        <v>0</v>
      </c>
      <c r="FR7" s="53">
        <v>0</v>
      </c>
      <c r="FS7" s="46">
        <f>FP7</f>
        <v>0</v>
      </c>
      <c r="FT7" s="165"/>
      <c r="FU7" s="53">
        <v>0</v>
      </c>
      <c r="FV7" s="46">
        <f>FP7</f>
        <v>0</v>
      </c>
      <c r="FW7" s="167">
        <f>FU7*FV7</f>
        <v>0</v>
      </c>
      <c r="FX7" s="166"/>
      <c r="FY7" s="53">
        <v>0</v>
      </c>
      <c r="FZ7" s="46">
        <v>0</v>
      </c>
      <c r="GA7" s="54">
        <f>FY7*FZ7</f>
        <v>0</v>
      </c>
      <c r="GB7" s="53">
        <v>0</v>
      </c>
      <c r="GC7" s="46">
        <f>FZ7</f>
        <v>0</v>
      </c>
      <c r="GD7" s="165"/>
      <c r="GE7" s="53">
        <v>0</v>
      </c>
      <c r="GF7" s="46">
        <f>FZ7</f>
        <v>0</v>
      </c>
      <c r="GG7" s="167">
        <f>GE7*GF7</f>
        <v>0</v>
      </c>
      <c r="GH7" s="166"/>
      <c r="GI7" s="53">
        <v>0</v>
      </c>
      <c r="GJ7" s="46">
        <v>0</v>
      </c>
      <c r="GK7" s="54">
        <f>GI7*GJ7</f>
        <v>0</v>
      </c>
      <c r="GL7" s="53">
        <v>0</v>
      </c>
      <c r="GM7" s="46">
        <f>GJ7</f>
        <v>0</v>
      </c>
      <c r="GN7" s="55">
        <f t="shared" si="6"/>
        <v>0</v>
      </c>
      <c r="GO7" s="53">
        <v>0</v>
      </c>
      <c r="GP7" s="46">
        <f>GJ7</f>
        <v>0</v>
      </c>
      <c r="GQ7" s="167">
        <f>GO7*GP7</f>
        <v>0</v>
      </c>
      <c r="GR7" s="166"/>
      <c r="GS7" s="53">
        <v>0</v>
      </c>
      <c r="GT7" s="46">
        <v>0</v>
      </c>
      <c r="GU7" s="54">
        <f>GS7*GT7</f>
        <v>0</v>
      </c>
      <c r="GV7" s="53">
        <v>0</v>
      </c>
      <c r="GW7" s="46">
        <f>GT7</f>
        <v>0</v>
      </c>
      <c r="GX7" s="55">
        <f t="shared" si="7"/>
        <v>0</v>
      </c>
      <c r="GY7" s="53">
        <v>0</v>
      </c>
      <c r="GZ7" s="46">
        <f>GT7</f>
        <v>0</v>
      </c>
      <c r="HA7" s="167">
        <f>GY7*GZ7</f>
        <v>0</v>
      </c>
      <c r="HB7" s="166"/>
      <c r="HC7" s="53">
        <v>0</v>
      </c>
      <c r="HD7" s="46">
        <v>0</v>
      </c>
      <c r="HE7" s="54">
        <f>HC7*HD7</f>
        <v>0</v>
      </c>
      <c r="HF7" s="53">
        <v>0</v>
      </c>
      <c r="HG7" s="46">
        <f>HD7</f>
        <v>0</v>
      </c>
      <c r="HH7" s="55">
        <f t="shared" si="8"/>
        <v>0</v>
      </c>
      <c r="HI7" s="53">
        <v>0</v>
      </c>
      <c r="HJ7" s="46">
        <f>HD7</f>
        <v>0</v>
      </c>
      <c r="HK7" s="167">
        <f>HI7*HJ7</f>
        <v>0</v>
      </c>
      <c r="HL7" s="166"/>
      <c r="HM7" s="53">
        <v>0</v>
      </c>
      <c r="HN7" s="46">
        <v>0</v>
      </c>
      <c r="HO7" s="54">
        <f>HM7*HN7</f>
        <v>0</v>
      </c>
      <c r="HP7" s="53">
        <v>0</v>
      </c>
      <c r="HQ7" s="46">
        <f>HN7</f>
        <v>0</v>
      </c>
      <c r="HR7" s="55">
        <f t="shared" si="9"/>
        <v>0</v>
      </c>
      <c r="HS7" s="53">
        <v>0</v>
      </c>
      <c r="HT7" s="46">
        <f>HN7</f>
        <v>0</v>
      </c>
      <c r="HU7" s="167">
        <f>HS7*HT7</f>
        <v>0</v>
      </c>
      <c r="HV7" s="166"/>
      <c r="HW7" s="53">
        <v>0</v>
      </c>
      <c r="HX7" s="46">
        <v>0</v>
      </c>
      <c r="HY7" s="54">
        <f>HW7*HX7</f>
        <v>0</v>
      </c>
      <c r="HZ7" s="53">
        <v>0</v>
      </c>
      <c r="IA7" s="46">
        <f>HX7</f>
        <v>0</v>
      </c>
      <c r="IB7" s="55">
        <f t="shared" si="10"/>
        <v>0</v>
      </c>
      <c r="IC7" s="53">
        <v>0</v>
      </c>
      <c r="ID7" s="46">
        <f>HX7</f>
        <v>0</v>
      </c>
      <c r="IE7" s="167">
        <f>IC7*ID7</f>
        <v>0</v>
      </c>
      <c r="IF7" s="166"/>
      <c r="IG7" s="53">
        <v>0</v>
      </c>
      <c r="IH7" s="46">
        <v>0</v>
      </c>
      <c r="II7" s="54">
        <f>IG7*IH7</f>
        <v>0</v>
      </c>
      <c r="IJ7" s="53">
        <v>0</v>
      </c>
      <c r="IK7" s="46">
        <f>IH7</f>
        <v>0</v>
      </c>
      <c r="IL7" s="55">
        <f t="shared" si="11"/>
        <v>0</v>
      </c>
      <c r="IM7" s="53">
        <v>0</v>
      </c>
      <c r="IN7" s="46">
        <f>IH7</f>
        <v>0</v>
      </c>
      <c r="IO7" s="167">
        <f>IM7*IN7</f>
        <v>0</v>
      </c>
      <c r="IP7" s="166"/>
      <c r="IQ7" s="53">
        <v>0</v>
      </c>
      <c r="IR7" s="46">
        <v>0</v>
      </c>
      <c r="IS7" s="54">
        <f>IQ7*IR7</f>
        <v>0</v>
      </c>
      <c r="IT7" s="53">
        <v>0</v>
      </c>
      <c r="IU7" s="46">
        <f>IR7</f>
        <v>0</v>
      </c>
      <c r="IV7" s="55">
        <f t="shared" si="12"/>
        <v>0</v>
      </c>
      <c r="IW7" s="53">
        <v>0</v>
      </c>
      <c r="IX7" s="46">
        <f>IR7</f>
        <v>0</v>
      </c>
      <c r="IY7" s="167">
        <f>IW7*IX7</f>
        <v>0</v>
      </c>
      <c r="IZ7" s="166"/>
      <c r="JA7" s="53">
        <v>0</v>
      </c>
      <c r="JB7" s="46">
        <v>0</v>
      </c>
      <c r="JC7" s="54">
        <f>JA7*JB7</f>
        <v>0</v>
      </c>
      <c r="JD7" s="53">
        <v>0</v>
      </c>
      <c r="JE7" s="46">
        <f>JB7</f>
        <v>0</v>
      </c>
      <c r="JF7" s="55">
        <f t="shared" si="13"/>
        <v>0</v>
      </c>
      <c r="JG7" s="53">
        <v>0</v>
      </c>
      <c r="JH7" s="46">
        <f>JB7</f>
        <v>0</v>
      </c>
      <c r="JI7" s="167">
        <f>JG7*JH7</f>
        <v>0</v>
      </c>
      <c r="JJ7" s="166"/>
      <c r="JK7" s="53">
        <v>0</v>
      </c>
      <c r="JL7" s="46">
        <v>0</v>
      </c>
      <c r="JM7" s="54">
        <f>JK7*JL7</f>
        <v>0</v>
      </c>
      <c r="JN7" s="53">
        <v>0</v>
      </c>
      <c r="JO7" s="46">
        <f>JL7</f>
        <v>0</v>
      </c>
      <c r="JP7" s="55">
        <f t="shared" si="14"/>
        <v>0</v>
      </c>
      <c r="JQ7" s="53">
        <v>0</v>
      </c>
      <c r="JR7" s="46">
        <f>JL7</f>
        <v>0</v>
      </c>
      <c r="JS7" s="167">
        <f>JQ7*JR7</f>
        <v>0</v>
      </c>
      <c r="JT7" s="166"/>
      <c r="JU7" s="53">
        <v>0</v>
      </c>
      <c r="JV7" s="46">
        <v>0</v>
      </c>
      <c r="JW7" s="54">
        <f>JU7*JV7</f>
        <v>0</v>
      </c>
      <c r="JX7" s="53">
        <v>0</v>
      </c>
      <c r="JY7" s="46">
        <f>JV7</f>
        <v>0</v>
      </c>
      <c r="JZ7" s="55">
        <f t="shared" si="15"/>
        <v>0</v>
      </c>
      <c r="KA7" s="53">
        <v>0</v>
      </c>
      <c r="KB7" s="46">
        <f t="shared" si="16"/>
        <v>0</v>
      </c>
      <c r="KC7" s="167">
        <f>KA7*KB7</f>
        <v>0</v>
      </c>
      <c r="KD7" s="166"/>
      <c r="KE7" s="53">
        <v>0</v>
      </c>
      <c r="KF7" s="46">
        <v>0</v>
      </c>
      <c r="KG7" s="54">
        <f>KE7*KF7</f>
        <v>0</v>
      </c>
      <c r="KH7" s="53">
        <v>0</v>
      </c>
      <c r="KI7" s="46">
        <f>KF7</f>
        <v>0</v>
      </c>
      <c r="KJ7" s="55">
        <f t="shared" si="17"/>
        <v>0</v>
      </c>
      <c r="KK7" s="53">
        <v>0</v>
      </c>
      <c r="KL7" s="46">
        <f t="shared" si="18"/>
        <v>0</v>
      </c>
      <c r="KM7" s="167">
        <f>KK7*KL7</f>
        <v>0</v>
      </c>
      <c r="KN7" s="166"/>
      <c r="KO7" s="53">
        <v>0</v>
      </c>
      <c r="KP7" s="46">
        <v>0</v>
      </c>
      <c r="KQ7" s="54">
        <f>KO7*KP7</f>
        <v>0</v>
      </c>
      <c r="KR7" s="53">
        <v>0</v>
      </c>
      <c r="KS7" s="46">
        <f>KP7</f>
        <v>0</v>
      </c>
      <c r="KT7" s="55">
        <f t="shared" si="19"/>
        <v>0</v>
      </c>
      <c r="KU7" s="53">
        <v>0</v>
      </c>
      <c r="KV7" s="46">
        <f t="shared" si="20"/>
        <v>0</v>
      </c>
      <c r="KW7" s="167">
        <f>KU7*KV7</f>
        <v>0</v>
      </c>
      <c r="KX7" s="166"/>
      <c r="KY7" s="53">
        <v>0</v>
      </c>
      <c r="KZ7" s="46">
        <v>0</v>
      </c>
      <c r="LA7" s="54">
        <f>KY7*KZ7</f>
        <v>0</v>
      </c>
      <c r="LB7" s="53">
        <v>0</v>
      </c>
      <c r="LC7" s="46">
        <f>KZ7</f>
        <v>0</v>
      </c>
      <c r="LD7" s="55">
        <f t="shared" si="21"/>
        <v>0</v>
      </c>
      <c r="LE7" s="53">
        <v>0</v>
      </c>
      <c r="LF7" s="46">
        <f>KZ7</f>
        <v>0</v>
      </c>
      <c r="LG7" s="167">
        <f>LE7*LF7</f>
        <v>0</v>
      </c>
      <c r="LH7" s="166"/>
      <c r="LI7" s="53">
        <v>0</v>
      </c>
      <c r="LJ7" s="46">
        <v>0</v>
      </c>
      <c r="LK7" s="54">
        <f>LI7*LJ7</f>
        <v>0</v>
      </c>
      <c r="LL7" s="53">
        <v>0</v>
      </c>
      <c r="LM7" s="46">
        <f>LJ7</f>
        <v>0</v>
      </c>
      <c r="LN7" s="55">
        <f t="shared" si="22"/>
        <v>0</v>
      </c>
      <c r="LO7" s="53">
        <v>0</v>
      </c>
      <c r="LP7" s="46">
        <f>LJ7</f>
        <v>0</v>
      </c>
      <c r="LQ7" s="167">
        <f>LO7*LP7</f>
        <v>0</v>
      </c>
      <c r="LR7" s="166"/>
      <c r="LS7" s="53">
        <v>0</v>
      </c>
      <c r="LT7" s="46">
        <v>0</v>
      </c>
      <c r="LU7" s="54">
        <f>LS7*LT7</f>
        <v>0</v>
      </c>
      <c r="LV7" s="53">
        <v>0</v>
      </c>
      <c r="LW7" s="46">
        <f>LT7</f>
        <v>0</v>
      </c>
      <c r="LX7" s="55">
        <f t="shared" si="23"/>
        <v>0</v>
      </c>
      <c r="LY7" s="53">
        <v>0</v>
      </c>
      <c r="LZ7" s="46">
        <f>LT7</f>
        <v>0</v>
      </c>
      <c r="MA7" s="167">
        <f>LY7*LZ7</f>
        <v>0</v>
      </c>
      <c r="MB7" s="166"/>
      <c r="MC7" s="53">
        <v>0</v>
      </c>
      <c r="MD7" s="46">
        <v>0</v>
      </c>
      <c r="ME7" s="54">
        <f>MC7*MD7</f>
        <v>0</v>
      </c>
      <c r="MF7" s="53">
        <v>0</v>
      </c>
      <c r="MG7" s="46">
        <f>MD7</f>
        <v>0</v>
      </c>
      <c r="MH7" s="55">
        <f t="shared" si="24"/>
        <v>0</v>
      </c>
      <c r="MI7" s="53">
        <v>0</v>
      </c>
      <c r="MJ7" s="46">
        <f t="shared" si="25"/>
        <v>0</v>
      </c>
      <c r="MK7" s="167">
        <f>MI7*MJ7</f>
        <v>0</v>
      </c>
      <c r="ML7" s="166"/>
      <c r="MM7" s="53"/>
      <c r="MN7" s="46"/>
      <c r="MO7" s="54">
        <f>MM7*MN7</f>
        <v>0</v>
      </c>
      <c r="MP7" s="53"/>
      <c r="MQ7" s="46"/>
      <c r="MR7" s="55">
        <f t="shared" si="26"/>
        <v>0</v>
      </c>
      <c r="MS7" s="53">
        <v>0</v>
      </c>
      <c r="MT7" s="46">
        <f>MN7</f>
        <v>0</v>
      </c>
      <c r="MU7" s="167">
        <f>MS7*MT7</f>
        <v>0</v>
      </c>
      <c r="MV7" s="166"/>
      <c r="MW7" s="53"/>
      <c r="MX7" s="46"/>
      <c r="MY7" s="54">
        <f>MW7*MX7</f>
        <v>0</v>
      </c>
      <c r="MZ7" s="53"/>
      <c r="NA7" s="46"/>
      <c r="NB7" s="55">
        <f t="shared" si="27"/>
        <v>0</v>
      </c>
      <c r="NC7" s="53">
        <v>0</v>
      </c>
      <c r="ND7" s="46">
        <f>MX7</f>
        <v>0</v>
      </c>
      <c r="NE7" s="167">
        <f>NC7*ND7</f>
        <v>0</v>
      </c>
      <c r="NF7" s="166"/>
      <c r="NG7" s="53"/>
      <c r="NH7" s="46"/>
      <c r="NI7" s="54">
        <f>NG7*NH7</f>
        <v>0</v>
      </c>
      <c r="NJ7" s="53"/>
      <c r="NK7" s="46"/>
      <c r="NL7" s="55">
        <f t="shared" si="28"/>
        <v>0</v>
      </c>
      <c r="NM7" s="53">
        <v>0</v>
      </c>
      <c r="NN7" s="46">
        <f t="shared" si="29"/>
        <v>0</v>
      </c>
      <c r="NO7" s="167">
        <f>NM7*NN7</f>
        <v>0</v>
      </c>
      <c r="NP7" s="166"/>
      <c r="NQ7" s="53"/>
      <c r="NR7" s="46"/>
      <c r="NS7" s="54">
        <f>NQ7*NR7</f>
        <v>0</v>
      </c>
      <c r="NT7" s="53"/>
      <c r="NU7" s="46"/>
      <c r="NV7" s="55">
        <f t="shared" si="30"/>
        <v>0</v>
      </c>
      <c r="NW7" s="53">
        <v>0</v>
      </c>
      <c r="NX7" s="46">
        <f>NR7</f>
        <v>0</v>
      </c>
      <c r="NY7" s="167">
        <f>NW7*NX7</f>
        <v>0</v>
      </c>
      <c r="NZ7" s="166"/>
      <c r="OA7" s="53"/>
      <c r="OB7" s="46"/>
      <c r="OC7" s="54">
        <f>OA7*OB7</f>
        <v>0</v>
      </c>
      <c r="OD7" s="53"/>
      <c r="OE7" s="46"/>
      <c r="OF7" s="55">
        <f t="shared" si="31"/>
        <v>0</v>
      </c>
      <c r="OG7" s="53">
        <v>0</v>
      </c>
      <c r="OH7" s="46">
        <f>OB7</f>
        <v>0</v>
      </c>
      <c r="OI7" s="167">
        <f>OG7*OH7</f>
        <v>0</v>
      </c>
      <c r="OJ7" s="166"/>
      <c r="OK7" s="53"/>
      <c r="OL7" s="46"/>
      <c r="OM7" s="54">
        <f>OK7*OL7</f>
        <v>0</v>
      </c>
      <c r="ON7" s="53"/>
      <c r="OO7" s="46"/>
      <c r="OP7" s="55">
        <f t="shared" si="32"/>
        <v>0</v>
      </c>
      <c r="OQ7" s="53">
        <v>0</v>
      </c>
      <c r="OR7" s="46">
        <f>OL7</f>
        <v>0</v>
      </c>
      <c r="OS7" s="167">
        <f>OQ7*OR7</f>
        <v>0</v>
      </c>
      <c r="OT7" s="166"/>
      <c r="OU7" s="53"/>
      <c r="OV7" s="46"/>
      <c r="OW7" s="54">
        <f>OU7*OV7</f>
        <v>0</v>
      </c>
      <c r="OX7" s="53"/>
      <c r="OY7" s="46"/>
      <c r="OZ7" s="55">
        <f t="shared" si="33"/>
        <v>0</v>
      </c>
      <c r="PA7" s="53">
        <v>0</v>
      </c>
      <c r="PB7" s="46">
        <f>OV7</f>
        <v>0</v>
      </c>
      <c r="PC7" s="167">
        <f>PA7*PB7</f>
        <v>0</v>
      </c>
      <c r="PD7" s="166"/>
      <c r="PE7" s="53"/>
      <c r="PF7" s="46"/>
      <c r="PG7" s="54">
        <f>PE7*PF7</f>
        <v>0</v>
      </c>
      <c r="PH7" s="53"/>
      <c r="PI7" s="46"/>
      <c r="PJ7" s="55">
        <f t="shared" si="34"/>
        <v>0</v>
      </c>
      <c r="PK7" s="53">
        <v>0</v>
      </c>
      <c r="PL7" s="46">
        <f>PF7</f>
        <v>0</v>
      </c>
      <c r="PM7" s="167">
        <f>PK7*PL7</f>
        <v>0</v>
      </c>
      <c r="PN7" s="166"/>
      <c r="PO7" s="53"/>
      <c r="PP7" s="46"/>
      <c r="PQ7" s="54">
        <f>PO7*PP7</f>
        <v>0</v>
      </c>
      <c r="PR7" s="53"/>
      <c r="PS7" s="46"/>
      <c r="PT7" s="55">
        <f t="shared" si="35"/>
        <v>0</v>
      </c>
      <c r="PU7" s="53">
        <v>0</v>
      </c>
      <c r="PV7" s="46">
        <f>PP7</f>
        <v>0</v>
      </c>
      <c r="PW7" s="167">
        <f>PU7*PV7</f>
        <v>0</v>
      </c>
      <c r="PX7" s="166"/>
      <c r="PY7" s="53"/>
      <c r="PZ7" s="46"/>
      <c r="QA7" s="54">
        <f>PY7*PZ7</f>
        <v>0</v>
      </c>
      <c r="QB7" s="53"/>
      <c r="QC7" s="46"/>
      <c r="QD7" s="55">
        <f t="shared" si="36"/>
        <v>0</v>
      </c>
      <c r="QE7" s="53">
        <v>0</v>
      </c>
      <c r="QF7" s="46">
        <f>PZ7</f>
        <v>0</v>
      </c>
      <c r="QG7" s="167">
        <f>QE7*QF7</f>
        <v>0</v>
      </c>
      <c r="QH7" s="166"/>
      <c r="QI7" s="53"/>
      <c r="QJ7" s="46"/>
      <c r="QK7" s="54">
        <f>QI7*QJ7</f>
        <v>0</v>
      </c>
      <c r="QL7" s="53"/>
      <c r="QM7" s="46"/>
      <c r="QN7" s="55">
        <f t="shared" si="37"/>
        <v>0</v>
      </c>
      <c r="QO7" s="53">
        <v>0</v>
      </c>
      <c r="QP7" s="46">
        <f>QJ7</f>
        <v>0</v>
      </c>
      <c r="QQ7" s="167">
        <f>QO7*QP7</f>
        <v>0</v>
      </c>
      <c r="QR7" s="166"/>
      <c r="QS7" s="53"/>
      <c r="QT7" s="46"/>
      <c r="QU7" s="54">
        <f>QS7*QT7</f>
        <v>0</v>
      </c>
      <c r="QV7" s="53"/>
      <c r="QW7" s="46"/>
      <c r="QX7" s="55">
        <f t="shared" si="38"/>
        <v>0</v>
      </c>
      <c r="QY7" s="53">
        <v>0</v>
      </c>
      <c r="QZ7" s="46">
        <f>QT7</f>
        <v>0</v>
      </c>
      <c r="RA7" s="167">
        <f>QY7*QZ7</f>
        <v>0</v>
      </c>
      <c r="RB7" s="166"/>
      <c r="RC7" s="53"/>
      <c r="RD7" s="46"/>
      <c r="RE7" s="54">
        <f>RC7*RD7</f>
        <v>0</v>
      </c>
      <c r="RF7" s="53"/>
      <c r="RG7" s="46"/>
      <c r="RH7" s="55">
        <f t="shared" si="39"/>
        <v>0</v>
      </c>
      <c r="RI7" s="53">
        <v>0</v>
      </c>
      <c r="RJ7" s="46">
        <f>RD7</f>
        <v>0</v>
      </c>
      <c r="RK7" s="167">
        <f>RI7*RJ7</f>
        <v>0</v>
      </c>
      <c r="RL7" s="166"/>
      <c r="RM7" s="53"/>
      <c r="RN7" s="46"/>
      <c r="RO7" s="54">
        <f>RM7*RN7</f>
        <v>0</v>
      </c>
      <c r="RP7" s="53"/>
      <c r="RQ7" s="46"/>
      <c r="RR7" s="55">
        <f t="shared" si="40"/>
        <v>0</v>
      </c>
      <c r="RS7" s="53">
        <v>0</v>
      </c>
      <c r="RT7" s="46">
        <f>RN7</f>
        <v>0</v>
      </c>
      <c r="RU7" s="167">
        <f>RS7*RT7</f>
        <v>0</v>
      </c>
    </row>
    <row r="8" spans="1:489" x14ac:dyDescent="0.25">
      <c r="A8" s="67" t="s">
        <v>158</v>
      </c>
      <c r="B8" s="17"/>
      <c r="C8" s="46"/>
      <c r="D8" s="54">
        <f>B8*C8</f>
        <v>0</v>
      </c>
      <c r="E8" s="61">
        <v>0</v>
      </c>
      <c r="F8" s="46">
        <v>0</v>
      </c>
      <c r="G8" s="55">
        <f>E8*F8</f>
        <v>0</v>
      </c>
      <c r="H8" s="47">
        <v>21</v>
      </c>
      <c r="I8" s="46">
        <v>9871.4968819299993</v>
      </c>
      <c r="J8" s="167">
        <f>H8*I8</f>
        <v>207301.43452052999</v>
      </c>
      <c r="K8" s="53">
        <v>1241</v>
      </c>
      <c r="L8" s="46">
        <v>1035.53487283</v>
      </c>
      <c r="M8" s="54">
        <f>K8*L8</f>
        <v>1285098.77718203</v>
      </c>
      <c r="N8" s="61">
        <v>0</v>
      </c>
      <c r="O8" s="46"/>
      <c r="P8" s="55">
        <f>N8*O8</f>
        <v>0</v>
      </c>
      <c r="Q8" s="47">
        <v>205</v>
      </c>
      <c r="R8" s="46">
        <v>1035.53487283</v>
      </c>
      <c r="S8" s="167">
        <f>Q8*R8</f>
        <v>212284.64893015</v>
      </c>
      <c r="T8" s="168"/>
      <c r="U8" s="53"/>
      <c r="V8" s="46"/>
      <c r="W8" s="54">
        <f>U8*V8</f>
        <v>0</v>
      </c>
      <c r="X8" s="61">
        <v>0</v>
      </c>
      <c r="Y8" s="46"/>
      <c r="Z8" s="55">
        <f>X8*Y8</f>
        <v>0</v>
      </c>
      <c r="AA8" s="47">
        <v>205</v>
      </c>
      <c r="AB8" s="46"/>
      <c r="AC8" s="167">
        <f>AA8*AB8</f>
        <v>0</v>
      </c>
      <c r="AD8" s="168"/>
      <c r="AE8" s="53"/>
      <c r="AF8" s="46"/>
      <c r="AG8" s="54">
        <f>AE8*AF8</f>
        <v>0</v>
      </c>
      <c r="AH8" s="61">
        <v>0</v>
      </c>
      <c r="AI8" s="46"/>
      <c r="AJ8" s="55">
        <f>AH8*AI8</f>
        <v>0</v>
      </c>
      <c r="AK8" s="47"/>
      <c r="AL8" s="46"/>
      <c r="AM8" s="167">
        <f>AK8*AL8</f>
        <v>0</v>
      </c>
      <c r="AN8" s="168"/>
      <c r="AO8" s="53"/>
      <c r="AP8" s="46"/>
      <c r="AQ8" s="54">
        <f>AO8*AP8</f>
        <v>0</v>
      </c>
      <c r="AR8" s="61">
        <v>0</v>
      </c>
      <c r="AS8" s="46"/>
      <c r="AT8" s="55">
        <f>AR8*AS8</f>
        <v>0</v>
      </c>
      <c r="AU8" s="47"/>
      <c r="AV8" s="46"/>
      <c r="AW8" s="167">
        <f>AU8*AV8</f>
        <v>0</v>
      </c>
      <c r="AX8" s="168"/>
      <c r="AY8" s="53"/>
      <c r="AZ8" s="46"/>
      <c r="BA8" s="54">
        <f>AY8*AZ8</f>
        <v>0</v>
      </c>
      <c r="BB8" s="61">
        <v>0</v>
      </c>
      <c r="BC8" s="46"/>
      <c r="BD8" s="55">
        <f>BB8*BC8</f>
        <v>0</v>
      </c>
      <c r="BE8" s="47"/>
      <c r="BF8" s="46"/>
      <c r="BG8" s="167">
        <f>BE8*BF8</f>
        <v>0</v>
      </c>
      <c r="BH8" s="168"/>
      <c r="BI8" s="53"/>
      <c r="BJ8" s="46"/>
      <c r="BK8" s="54">
        <f>BI8*BJ8</f>
        <v>0</v>
      </c>
      <c r="BL8" s="61">
        <v>0</v>
      </c>
      <c r="BM8" s="46"/>
      <c r="BN8" s="55">
        <f>BL8*BM8</f>
        <v>0</v>
      </c>
      <c r="BO8" s="47"/>
      <c r="BP8" s="46"/>
      <c r="BQ8" s="167">
        <f>BO8*BP8</f>
        <v>0</v>
      </c>
      <c r="BR8" s="168"/>
      <c r="BS8" s="53"/>
      <c r="BT8" s="46"/>
      <c r="BU8" s="54">
        <f>BS8*BT8</f>
        <v>0</v>
      </c>
      <c r="BV8" s="61">
        <v>0</v>
      </c>
      <c r="BW8" s="46"/>
      <c r="BX8" s="55">
        <f>BV8*BW8</f>
        <v>0</v>
      </c>
      <c r="BY8" s="47"/>
      <c r="BZ8" s="46"/>
      <c r="CA8" s="167">
        <f>BY8*BZ8</f>
        <v>0</v>
      </c>
      <c r="CB8" s="168"/>
      <c r="CC8" s="53">
        <v>340</v>
      </c>
      <c r="CD8" s="46">
        <v>1025.32646613</v>
      </c>
      <c r="CE8" s="54">
        <f>CC8*CD8</f>
        <v>348610.99848419998</v>
      </c>
      <c r="CF8" s="61">
        <v>0</v>
      </c>
      <c r="CG8" s="46"/>
      <c r="CH8" s="55">
        <f>CF8*CG8</f>
        <v>0</v>
      </c>
      <c r="CI8" s="47">
        <v>275</v>
      </c>
      <c r="CJ8" s="46">
        <v>1025.32646613</v>
      </c>
      <c r="CK8" s="167">
        <f>CI8*CJ8</f>
        <v>281964.77818575001</v>
      </c>
      <c r="CL8" s="168"/>
      <c r="CM8" s="53">
        <v>0</v>
      </c>
      <c r="CN8" s="46">
        <v>0</v>
      </c>
      <c r="CO8" s="54">
        <f>CM8*CN8</f>
        <v>0</v>
      </c>
      <c r="CP8" s="53">
        <v>0</v>
      </c>
      <c r="CQ8" s="46">
        <f>CN8</f>
        <v>0</v>
      </c>
      <c r="CR8" s="55">
        <f>CP8*CQ8</f>
        <v>0</v>
      </c>
      <c r="CS8" s="53">
        <v>0</v>
      </c>
      <c r="CT8" s="46">
        <f t="shared" si="0"/>
        <v>0</v>
      </c>
      <c r="CU8" s="167">
        <f>CS8*CT8</f>
        <v>0</v>
      </c>
      <c r="CV8" s="168"/>
      <c r="CW8" s="53">
        <v>387</v>
      </c>
      <c r="CX8" s="46">
        <v>1024.1582636000001</v>
      </c>
      <c r="CY8" s="54">
        <f>CW8*CX8</f>
        <v>396349.24801320001</v>
      </c>
      <c r="CZ8" s="53">
        <v>0</v>
      </c>
      <c r="DA8" s="46">
        <f>CX8</f>
        <v>1024.1582636000001</v>
      </c>
      <c r="DB8" s="55">
        <f>CZ8*DA8</f>
        <v>0</v>
      </c>
      <c r="DC8" s="53">
        <v>0</v>
      </c>
      <c r="DD8" s="46">
        <f t="shared" si="1"/>
        <v>1024.1582636000001</v>
      </c>
      <c r="DE8" s="167">
        <f>DC8*DD8</f>
        <v>0</v>
      </c>
      <c r="DF8" s="168"/>
      <c r="DG8" s="53"/>
      <c r="DH8" s="46">
        <v>1024.1582636000001</v>
      </c>
      <c r="DI8" s="54">
        <f>DG8*DH8</f>
        <v>0</v>
      </c>
      <c r="DJ8" s="53">
        <v>0</v>
      </c>
      <c r="DK8" s="46">
        <f>DH8</f>
        <v>1024.1582636000001</v>
      </c>
      <c r="DL8" s="55">
        <f>DJ8*DK8</f>
        <v>0</v>
      </c>
      <c r="DM8" s="53">
        <v>0</v>
      </c>
      <c r="DN8" s="46">
        <f t="shared" si="2"/>
        <v>1024.1582636000001</v>
      </c>
      <c r="DO8" s="167">
        <f>DM8*DN8</f>
        <v>0</v>
      </c>
      <c r="DP8" s="168"/>
      <c r="DQ8" s="53"/>
      <c r="DR8" s="46">
        <v>1024.1582636000001</v>
      </c>
      <c r="DS8" s="54">
        <f>DQ8*DR8</f>
        <v>0</v>
      </c>
      <c r="DT8" s="53">
        <v>0</v>
      </c>
      <c r="DU8" s="46">
        <f>DR8</f>
        <v>1024.1582636000001</v>
      </c>
      <c r="DV8" s="55">
        <f>DT8*DU8</f>
        <v>0</v>
      </c>
      <c r="DW8" s="53">
        <v>0</v>
      </c>
      <c r="DX8" s="46">
        <f t="shared" si="3"/>
        <v>1024.1582636000001</v>
      </c>
      <c r="DY8" s="167">
        <f>DW8*DX8</f>
        <v>0</v>
      </c>
      <c r="DZ8" s="168"/>
      <c r="EA8" s="53"/>
      <c r="EB8" s="46">
        <v>1024.1582636000001</v>
      </c>
      <c r="EC8" s="54">
        <f>EA8*EB8</f>
        <v>0</v>
      </c>
      <c r="ED8" s="53">
        <v>0</v>
      </c>
      <c r="EE8" s="46">
        <f>EB8</f>
        <v>1024.1582636000001</v>
      </c>
      <c r="EF8" s="55">
        <f>ED8*EE8</f>
        <v>0</v>
      </c>
      <c r="EG8" s="53">
        <v>0</v>
      </c>
      <c r="EH8" s="46">
        <f t="shared" si="4"/>
        <v>1024.1582636000001</v>
      </c>
      <c r="EI8" s="167">
        <f>EG8*EH8</f>
        <v>0</v>
      </c>
      <c r="EJ8" s="168"/>
      <c r="EK8" s="53"/>
      <c r="EL8" s="46">
        <v>1024.1582636000001</v>
      </c>
      <c r="EM8" s="54">
        <f>EK8*EL8</f>
        <v>0</v>
      </c>
      <c r="EN8" s="53">
        <v>0</v>
      </c>
      <c r="EO8" s="46">
        <f>EL8</f>
        <v>1024.1582636000001</v>
      </c>
      <c r="EP8" s="55">
        <f>EN8*EO8</f>
        <v>0</v>
      </c>
      <c r="EQ8" s="53">
        <v>0</v>
      </c>
      <c r="ER8" s="46">
        <f t="shared" si="5"/>
        <v>1024.1582636000001</v>
      </c>
      <c r="ES8" s="167">
        <f>EQ8*ER8</f>
        <v>0</v>
      </c>
      <c r="ET8" s="168"/>
      <c r="EU8" s="53">
        <v>136</v>
      </c>
      <c r="EV8" s="46">
        <v>1042.5784864300001</v>
      </c>
      <c r="EW8" s="54">
        <f>EU8*EV8</f>
        <v>141790.67415448002</v>
      </c>
      <c r="EX8" s="53">
        <v>0</v>
      </c>
      <c r="EY8" s="46">
        <f>EV8</f>
        <v>1042.5784864300001</v>
      </c>
      <c r="EZ8" s="55">
        <f>EX8*EY8</f>
        <v>0</v>
      </c>
      <c r="FA8" s="53">
        <v>271</v>
      </c>
      <c r="FB8" s="46">
        <v>1042.5784864300001</v>
      </c>
      <c r="FC8" s="167">
        <f>FA8*FB8</f>
        <v>282538.76982253004</v>
      </c>
      <c r="FD8" s="168"/>
      <c r="FE8" s="53">
        <v>0</v>
      </c>
      <c r="FF8" s="46">
        <v>1042.5784864300001</v>
      </c>
      <c r="FG8" s="54">
        <f>FE8*FF8</f>
        <v>0</v>
      </c>
      <c r="FH8" s="53">
        <v>0</v>
      </c>
      <c r="FI8" s="46">
        <f>FF8</f>
        <v>1042.5784864300001</v>
      </c>
      <c r="FJ8" s="55">
        <f>FH8*FI8</f>
        <v>0</v>
      </c>
      <c r="FK8" s="53">
        <v>0</v>
      </c>
      <c r="FL8" s="46">
        <v>1042.5784864300001</v>
      </c>
      <c r="FM8" s="167">
        <f>FK8*FL8</f>
        <v>0</v>
      </c>
      <c r="FN8" s="168"/>
      <c r="FO8" s="53">
        <v>0</v>
      </c>
      <c r="FP8" s="46">
        <v>1042.5784864300001</v>
      </c>
      <c r="FQ8" s="54">
        <f>FO8*FP8</f>
        <v>0</v>
      </c>
      <c r="FR8" s="53">
        <v>0</v>
      </c>
      <c r="FS8" s="46">
        <f>FP8</f>
        <v>1042.5784864300001</v>
      </c>
      <c r="FT8" s="55">
        <f>FR8*FS8</f>
        <v>0</v>
      </c>
      <c r="FU8" s="53">
        <v>0</v>
      </c>
      <c r="FV8" s="46">
        <v>1042.5784864300001</v>
      </c>
      <c r="FW8" s="167">
        <f>FU8*FV8</f>
        <v>0</v>
      </c>
      <c r="FX8" s="168"/>
      <c r="FY8" s="53">
        <v>0</v>
      </c>
      <c r="FZ8" s="46">
        <v>1042.5784864300001</v>
      </c>
      <c r="GA8" s="54">
        <f>FY8*FZ8</f>
        <v>0</v>
      </c>
      <c r="GB8" s="53">
        <v>0</v>
      </c>
      <c r="GC8" s="46">
        <f>FZ8</f>
        <v>1042.5784864300001</v>
      </c>
      <c r="GD8" s="55">
        <f>GB8*GC8</f>
        <v>0</v>
      </c>
      <c r="GE8" s="53">
        <v>0</v>
      </c>
      <c r="GF8" s="46">
        <v>1042.5784864300001</v>
      </c>
      <c r="GG8" s="167">
        <f>GE8*GF8</f>
        <v>0</v>
      </c>
      <c r="GH8" s="168"/>
      <c r="GI8" s="53">
        <v>0</v>
      </c>
      <c r="GJ8" s="46">
        <v>1042.5784864300001</v>
      </c>
      <c r="GK8" s="54">
        <f>GI8*GJ8</f>
        <v>0</v>
      </c>
      <c r="GL8" s="53">
        <v>0</v>
      </c>
      <c r="GM8" s="46">
        <f>GJ8</f>
        <v>1042.5784864300001</v>
      </c>
      <c r="GN8" s="55">
        <f t="shared" si="6"/>
        <v>0</v>
      </c>
      <c r="GO8" s="53">
        <v>0</v>
      </c>
      <c r="GP8" s="46">
        <v>1042.5784864300001</v>
      </c>
      <c r="GQ8" s="167">
        <f>GO8*GP8</f>
        <v>0</v>
      </c>
      <c r="GR8" s="168"/>
      <c r="GS8" s="53">
        <v>0</v>
      </c>
      <c r="GT8" s="46">
        <v>1042.5784864300001</v>
      </c>
      <c r="GU8" s="54">
        <f>GS8*GT8</f>
        <v>0</v>
      </c>
      <c r="GV8" s="53">
        <v>0</v>
      </c>
      <c r="GW8" s="46">
        <f>GT8</f>
        <v>1042.5784864300001</v>
      </c>
      <c r="GX8" s="55">
        <f t="shared" si="7"/>
        <v>0</v>
      </c>
      <c r="GY8" s="53">
        <v>0</v>
      </c>
      <c r="GZ8" s="46">
        <v>1042.5784864300001</v>
      </c>
      <c r="HA8" s="167">
        <f>GY8*GZ8</f>
        <v>0</v>
      </c>
      <c r="HB8" s="168"/>
      <c r="HC8" s="53">
        <v>0</v>
      </c>
      <c r="HD8" s="46">
        <v>1042.5784864300001</v>
      </c>
      <c r="HE8" s="54">
        <f>HC8*HD8</f>
        <v>0</v>
      </c>
      <c r="HF8" s="53">
        <v>0</v>
      </c>
      <c r="HG8" s="46">
        <f>HD8</f>
        <v>1042.5784864300001</v>
      </c>
      <c r="HH8" s="55">
        <f t="shared" si="8"/>
        <v>0</v>
      </c>
      <c r="HI8" s="53">
        <v>0</v>
      </c>
      <c r="HJ8" s="46">
        <v>1042.5784864300001</v>
      </c>
      <c r="HK8" s="167">
        <f>HI8*HJ8</f>
        <v>0</v>
      </c>
      <c r="HL8" s="168"/>
      <c r="HM8" s="53">
        <v>0</v>
      </c>
      <c r="HN8" s="46">
        <v>1042.5784864300001</v>
      </c>
      <c r="HO8" s="54">
        <f>HM8*HN8</f>
        <v>0</v>
      </c>
      <c r="HP8" s="53">
        <v>0</v>
      </c>
      <c r="HQ8" s="46">
        <f>HN8</f>
        <v>1042.5784864300001</v>
      </c>
      <c r="HR8" s="55">
        <f t="shared" si="9"/>
        <v>0</v>
      </c>
      <c r="HS8" s="53">
        <v>0</v>
      </c>
      <c r="HT8" s="46">
        <v>1042.5784864300001</v>
      </c>
      <c r="HU8" s="167">
        <f>HS8*HT8</f>
        <v>0</v>
      </c>
      <c r="HV8" s="168"/>
      <c r="HW8" s="53">
        <v>0</v>
      </c>
      <c r="HX8" s="46">
        <v>1042.5784864300001</v>
      </c>
      <c r="HY8" s="54">
        <f>HW8*HX8</f>
        <v>0</v>
      </c>
      <c r="HZ8" s="53">
        <v>0</v>
      </c>
      <c r="IA8" s="46">
        <f>HX8</f>
        <v>1042.5784864300001</v>
      </c>
      <c r="IB8" s="55">
        <f t="shared" si="10"/>
        <v>0</v>
      </c>
      <c r="IC8" s="53">
        <v>0</v>
      </c>
      <c r="ID8" s="46">
        <v>1042.5784864300001</v>
      </c>
      <c r="IE8" s="167">
        <f>IC8*ID8</f>
        <v>0</v>
      </c>
      <c r="IF8" s="168"/>
      <c r="IG8" s="53">
        <v>0</v>
      </c>
      <c r="IH8" s="46">
        <v>1042.5784864300001</v>
      </c>
      <c r="II8" s="54">
        <f>IG8*IH8</f>
        <v>0</v>
      </c>
      <c r="IJ8" s="53">
        <v>0</v>
      </c>
      <c r="IK8" s="46">
        <f>IH8</f>
        <v>1042.5784864300001</v>
      </c>
      <c r="IL8" s="55">
        <f t="shared" si="11"/>
        <v>0</v>
      </c>
      <c r="IM8" s="53">
        <v>0</v>
      </c>
      <c r="IN8" s="46">
        <v>1042.5784864300001</v>
      </c>
      <c r="IO8" s="167">
        <f>IM8*IN8</f>
        <v>0</v>
      </c>
      <c r="IP8" s="168"/>
      <c r="IQ8" s="53">
        <v>0</v>
      </c>
      <c r="IR8" s="46">
        <v>1042.5784864300001</v>
      </c>
      <c r="IS8" s="54">
        <f>IQ8*IR8</f>
        <v>0</v>
      </c>
      <c r="IT8" s="53">
        <v>0</v>
      </c>
      <c r="IU8" s="46">
        <f>IR8</f>
        <v>1042.5784864300001</v>
      </c>
      <c r="IV8" s="55">
        <f t="shared" si="12"/>
        <v>0</v>
      </c>
      <c r="IW8" s="53">
        <v>0</v>
      </c>
      <c r="IX8" s="46">
        <v>1042.5784864300001</v>
      </c>
      <c r="IY8" s="167">
        <f>IW8*IX8</f>
        <v>0</v>
      </c>
      <c r="IZ8" s="168"/>
      <c r="JA8" s="53">
        <v>0</v>
      </c>
      <c r="JB8" s="46">
        <v>1042.5784864300001</v>
      </c>
      <c r="JC8" s="54">
        <f>JA8*JB8</f>
        <v>0</v>
      </c>
      <c r="JD8" s="53">
        <v>0</v>
      </c>
      <c r="JE8" s="46">
        <f>JB8</f>
        <v>1042.5784864300001</v>
      </c>
      <c r="JF8" s="55">
        <f t="shared" si="13"/>
        <v>0</v>
      </c>
      <c r="JG8" s="53">
        <v>0</v>
      </c>
      <c r="JH8" s="46">
        <v>1042.5784864300001</v>
      </c>
      <c r="JI8" s="167">
        <f>JG8*JH8</f>
        <v>0</v>
      </c>
      <c r="JJ8" s="168"/>
      <c r="JK8" s="53">
        <v>0</v>
      </c>
      <c r="JL8" s="46">
        <v>1042.5784864300001</v>
      </c>
      <c r="JM8" s="54">
        <f>JK8*JL8</f>
        <v>0</v>
      </c>
      <c r="JN8" s="53">
        <v>0</v>
      </c>
      <c r="JO8" s="46">
        <f>JL8</f>
        <v>1042.5784864300001</v>
      </c>
      <c r="JP8" s="55">
        <f t="shared" si="14"/>
        <v>0</v>
      </c>
      <c r="JQ8" s="53">
        <v>0</v>
      </c>
      <c r="JR8" s="46">
        <v>1042.5784864300001</v>
      </c>
      <c r="JS8" s="167">
        <f>JQ8*JR8</f>
        <v>0</v>
      </c>
      <c r="JT8" s="168"/>
      <c r="JU8" s="53">
        <v>0</v>
      </c>
      <c r="JV8" s="46">
        <v>1039.4653542599999</v>
      </c>
      <c r="JW8" s="54">
        <f>JU8*JV8</f>
        <v>0</v>
      </c>
      <c r="JX8" s="53">
        <v>0</v>
      </c>
      <c r="JY8" s="46">
        <f>JV8</f>
        <v>1039.4653542599999</v>
      </c>
      <c r="JZ8" s="55">
        <f t="shared" si="15"/>
        <v>0</v>
      </c>
      <c r="KA8" s="53">
        <v>313</v>
      </c>
      <c r="KB8" s="46">
        <f t="shared" si="16"/>
        <v>1039.4653542599999</v>
      </c>
      <c r="KC8" s="167">
        <f>KA8*KB8</f>
        <v>325352.65588337998</v>
      </c>
      <c r="KD8" s="168"/>
      <c r="KE8" s="53">
        <v>0</v>
      </c>
      <c r="KF8" s="46">
        <v>1036.6712436600001</v>
      </c>
      <c r="KG8" s="54">
        <f>KE8*KF8</f>
        <v>0</v>
      </c>
      <c r="KH8" s="53">
        <v>0</v>
      </c>
      <c r="KI8" s="46">
        <f>KF8</f>
        <v>1036.6712436600001</v>
      </c>
      <c r="KJ8" s="55">
        <f t="shared" si="17"/>
        <v>0</v>
      </c>
      <c r="KK8" s="53">
        <v>314</v>
      </c>
      <c r="KL8" s="46">
        <f t="shared" si="18"/>
        <v>1036.6712436600001</v>
      </c>
      <c r="KM8" s="167">
        <f>KK8*KL8</f>
        <v>325514.77050924004</v>
      </c>
      <c r="KN8" s="168"/>
      <c r="KO8" s="53">
        <v>0</v>
      </c>
      <c r="KP8" s="46">
        <v>1036.9648805100001</v>
      </c>
      <c r="KQ8" s="54">
        <f>KO8*KP8</f>
        <v>0</v>
      </c>
      <c r="KR8" s="53">
        <v>0</v>
      </c>
      <c r="KS8" s="46">
        <f>KP8</f>
        <v>1036.9648805100001</v>
      </c>
      <c r="KT8" s="55">
        <f t="shared" si="19"/>
        <v>0</v>
      </c>
      <c r="KU8" s="53">
        <v>314</v>
      </c>
      <c r="KV8" s="46">
        <f t="shared" si="20"/>
        <v>1036.9648805100001</v>
      </c>
      <c r="KW8" s="167">
        <f>KU8*KV8</f>
        <v>325606.97248014004</v>
      </c>
      <c r="KX8" s="168"/>
      <c r="KY8" s="53">
        <v>0</v>
      </c>
      <c r="KZ8" s="46">
        <v>1042.5784864300001</v>
      </c>
      <c r="LA8" s="54">
        <f>KY8*KZ8</f>
        <v>0</v>
      </c>
      <c r="LB8" s="53">
        <v>0</v>
      </c>
      <c r="LC8" s="46">
        <f>KZ8</f>
        <v>1042.5784864300001</v>
      </c>
      <c r="LD8" s="55">
        <f t="shared" si="21"/>
        <v>0</v>
      </c>
      <c r="LE8" s="53">
        <v>0</v>
      </c>
      <c r="LF8" s="46">
        <v>1042.5784864300001</v>
      </c>
      <c r="LG8" s="167">
        <f>LE8*LF8</f>
        <v>0</v>
      </c>
      <c r="LH8" s="168"/>
      <c r="LI8" s="53">
        <v>0</v>
      </c>
      <c r="LJ8" s="46">
        <v>1042.5784864300001</v>
      </c>
      <c r="LK8" s="54">
        <f>LI8*LJ8</f>
        <v>0</v>
      </c>
      <c r="LL8" s="53">
        <v>0</v>
      </c>
      <c r="LM8" s="46">
        <f>LJ8</f>
        <v>1042.5784864300001</v>
      </c>
      <c r="LN8" s="55">
        <f t="shared" si="22"/>
        <v>0</v>
      </c>
      <c r="LO8" s="53">
        <v>0</v>
      </c>
      <c r="LP8" s="46">
        <v>1042.5784864300001</v>
      </c>
      <c r="LQ8" s="167">
        <f>LO8*LP8</f>
        <v>0</v>
      </c>
      <c r="LR8" s="168"/>
      <c r="LS8" s="53">
        <v>0</v>
      </c>
      <c r="LT8" s="46">
        <v>1042.5784864300001</v>
      </c>
      <c r="LU8" s="54">
        <f>LS8*LT8</f>
        <v>0</v>
      </c>
      <c r="LV8" s="53">
        <v>0</v>
      </c>
      <c r="LW8" s="46">
        <f>LT8</f>
        <v>1042.5784864300001</v>
      </c>
      <c r="LX8" s="55">
        <f t="shared" si="23"/>
        <v>0</v>
      </c>
      <c r="LY8" s="53">
        <v>0</v>
      </c>
      <c r="LZ8" s="46">
        <v>1042.5784864300001</v>
      </c>
      <c r="MA8" s="167">
        <f>LY8*LZ8</f>
        <v>0</v>
      </c>
      <c r="MB8" s="168"/>
      <c r="MC8" s="53">
        <v>0</v>
      </c>
      <c r="MD8" s="46">
        <v>1052.8998429999999</v>
      </c>
      <c r="ME8" s="54">
        <f>MC8*MD8</f>
        <v>0</v>
      </c>
      <c r="MF8" s="53">
        <v>0</v>
      </c>
      <c r="MG8" s="46">
        <f>MD8</f>
        <v>1052.8998429999999</v>
      </c>
      <c r="MH8" s="55">
        <f t="shared" si="24"/>
        <v>0</v>
      </c>
      <c r="MI8" s="53">
        <v>335</v>
      </c>
      <c r="MJ8" s="46">
        <f t="shared" si="25"/>
        <v>1052.8998429999999</v>
      </c>
      <c r="MK8" s="167">
        <f>MI8*MJ8</f>
        <v>352721.44740499998</v>
      </c>
      <c r="ML8" s="168"/>
      <c r="MM8" s="53"/>
      <c r="MN8" s="46"/>
      <c r="MO8" s="54">
        <f>MM8*MN8</f>
        <v>0</v>
      </c>
      <c r="MP8" s="53"/>
      <c r="MQ8" s="46"/>
      <c r="MR8" s="55">
        <f t="shared" si="26"/>
        <v>0</v>
      </c>
      <c r="MS8" s="53">
        <v>0</v>
      </c>
      <c r="MT8" s="46">
        <v>1042.5784864300001</v>
      </c>
      <c r="MU8" s="167">
        <f>MS8*MT8</f>
        <v>0</v>
      </c>
      <c r="MV8" s="168"/>
      <c r="MW8" s="53"/>
      <c r="MX8" s="46"/>
      <c r="MY8" s="54">
        <f>MW8*MX8</f>
        <v>0</v>
      </c>
      <c r="MZ8" s="53"/>
      <c r="NA8" s="46"/>
      <c r="NB8" s="55">
        <f t="shared" si="27"/>
        <v>0</v>
      </c>
      <c r="NC8" s="53">
        <v>0</v>
      </c>
      <c r="ND8" s="46">
        <v>1042.5784864300001</v>
      </c>
      <c r="NE8" s="167">
        <f>NC8*ND8</f>
        <v>0</v>
      </c>
      <c r="NF8" s="168"/>
      <c r="NG8" s="53"/>
      <c r="NH8" s="46">
        <v>3399.49345322</v>
      </c>
      <c r="NI8" s="54">
        <f>NG8*NH8</f>
        <v>0</v>
      </c>
      <c r="NJ8" s="53"/>
      <c r="NK8" s="46">
        <f>NH8</f>
        <v>3399.49345322</v>
      </c>
      <c r="NL8" s="55">
        <f t="shared" si="28"/>
        <v>0</v>
      </c>
      <c r="NM8" s="53">
        <v>103</v>
      </c>
      <c r="NN8" s="46">
        <f t="shared" si="29"/>
        <v>3399.49345322</v>
      </c>
      <c r="NO8" s="167">
        <f>NM8*NN8</f>
        <v>350147.82568165998</v>
      </c>
      <c r="NP8" s="168"/>
      <c r="NQ8" s="53"/>
      <c r="NR8" s="46"/>
      <c r="NS8" s="54">
        <f>NQ8*NR8</f>
        <v>0</v>
      </c>
      <c r="NT8" s="53"/>
      <c r="NU8" s="46"/>
      <c r="NV8" s="55">
        <f t="shared" si="30"/>
        <v>0</v>
      </c>
      <c r="NW8" s="53">
        <v>0</v>
      </c>
      <c r="NX8" s="46">
        <v>1042.5784864300001</v>
      </c>
      <c r="NY8" s="167">
        <f>NW8*NX8</f>
        <v>0</v>
      </c>
      <c r="NZ8" s="168"/>
      <c r="OA8" s="53"/>
      <c r="OB8" s="46"/>
      <c r="OC8" s="54">
        <f>OA8*OB8</f>
        <v>0</v>
      </c>
      <c r="OD8" s="53"/>
      <c r="OE8" s="46"/>
      <c r="OF8" s="55">
        <f t="shared" si="31"/>
        <v>0</v>
      </c>
      <c r="OG8" s="53">
        <v>0</v>
      </c>
      <c r="OH8" s="46">
        <v>1042.5784864300001</v>
      </c>
      <c r="OI8" s="167">
        <f>OG8*OH8</f>
        <v>0</v>
      </c>
      <c r="OJ8" s="168"/>
      <c r="OK8" s="53"/>
      <c r="OL8" s="46"/>
      <c r="OM8" s="54">
        <f>OK8*OL8</f>
        <v>0</v>
      </c>
      <c r="ON8" s="53"/>
      <c r="OO8" s="46"/>
      <c r="OP8" s="55">
        <f t="shared" si="32"/>
        <v>0</v>
      </c>
      <c r="OQ8" s="53">
        <v>0</v>
      </c>
      <c r="OR8" s="46">
        <v>1042.5784864300001</v>
      </c>
      <c r="OS8" s="167">
        <f>OQ8*OR8</f>
        <v>0</v>
      </c>
      <c r="OT8" s="168"/>
      <c r="OU8" s="53"/>
      <c r="OV8" s="46"/>
      <c r="OW8" s="54">
        <f>OU8*OV8</f>
        <v>0</v>
      </c>
      <c r="OX8" s="53"/>
      <c r="OY8" s="46"/>
      <c r="OZ8" s="55">
        <f t="shared" si="33"/>
        <v>0</v>
      </c>
      <c r="PA8" s="53">
        <v>0</v>
      </c>
      <c r="PB8" s="46">
        <v>1042.5784864300001</v>
      </c>
      <c r="PC8" s="167">
        <f>PA8*PB8</f>
        <v>0</v>
      </c>
      <c r="PD8" s="168"/>
      <c r="PE8" s="53"/>
      <c r="PF8" s="46"/>
      <c r="PG8" s="54">
        <f>PE8*PF8</f>
        <v>0</v>
      </c>
      <c r="PH8" s="53"/>
      <c r="PI8" s="46"/>
      <c r="PJ8" s="55">
        <f t="shared" si="34"/>
        <v>0</v>
      </c>
      <c r="PK8" s="53">
        <v>0</v>
      </c>
      <c r="PL8" s="46">
        <v>1042.5784864300001</v>
      </c>
      <c r="PM8" s="167">
        <f>PK8*PL8</f>
        <v>0</v>
      </c>
      <c r="PN8" s="168"/>
      <c r="PO8" s="53"/>
      <c r="PP8" s="46"/>
      <c r="PQ8" s="54">
        <f>PO8*PP8</f>
        <v>0</v>
      </c>
      <c r="PR8" s="53"/>
      <c r="PS8" s="46"/>
      <c r="PT8" s="55">
        <f t="shared" si="35"/>
        <v>0</v>
      </c>
      <c r="PU8" s="53">
        <v>0</v>
      </c>
      <c r="PV8" s="46">
        <v>1042.5784864300001</v>
      </c>
      <c r="PW8" s="167">
        <f>PU8*PV8</f>
        <v>0</v>
      </c>
      <c r="PX8" s="168"/>
      <c r="PY8" s="53"/>
      <c r="PZ8" s="46"/>
      <c r="QA8" s="54">
        <f>PY8*PZ8</f>
        <v>0</v>
      </c>
      <c r="QB8" s="53"/>
      <c r="QC8" s="46"/>
      <c r="QD8" s="55">
        <f t="shared" si="36"/>
        <v>0</v>
      </c>
      <c r="QE8" s="53">
        <v>0</v>
      </c>
      <c r="QF8" s="46">
        <v>1042.5784864300001</v>
      </c>
      <c r="QG8" s="167">
        <f>QE8*QF8</f>
        <v>0</v>
      </c>
      <c r="QH8" s="168"/>
      <c r="QI8" s="53"/>
      <c r="QJ8" s="46"/>
      <c r="QK8" s="54">
        <f>QI8*QJ8</f>
        <v>0</v>
      </c>
      <c r="QL8" s="53"/>
      <c r="QM8" s="46"/>
      <c r="QN8" s="55">
        <f t="shared" si="37"/>
        <v>0</v>
      </c>
      <c r="QO8" s="53">
        <v>0</v>
      </c>
      <c r="QP8" s="46">
        <v>1042.5784864300001</v>
      </c>
      <c r="QQ8" s="167">
        <f>QO8*QP8</f>
        <v>0</v>
      </c>
      <c r="QR8" s="168"/>
      <c r="QS8" s="53"/>
      <c r="QT8" s="46"/>
      <c r="QU8" s="54">
        <f>QS8*QT8</f>
        <v>0</v>
      </c>
      <c r="QV8" s="53"/>
      <c r="QW8" s="46"/>
      <c r="QX8" s="55">
        <f t="shared" si="38"/>
        <v>0</v>
      </c>
      <c r="QY8" s="53">
        <v>0</v>
      </c>
      <c r="QZ8" s="46">
        <v>1042.5784864300001</v>
      </c>
      <c r="RA8" s="167">
        <f>QY8*QZ8</f>
        <v>0</v>
      </c>
      <c r="RB8" s="168"/>
      <c r="RC8" s="53"/>
      <c r="RD8" s="46"/>
      <c r="RE8" s="54">
        <f>RC8*RD8</f>
        <v>0</v>
      </c>
      <c r="RF8" s="53"/>
      <c r="RG8" s="46"/>
      <c r="RH8" s="55">
        <f t="shared" si="39"/>
        <v>0</v>
      </c>
      <c r="RI8" s="53">
        <v>0</v>
      </c>
      <c r="RJ8" s="46">
        <v>1042.5784864300001</v>
      </c>
      <c r="RK8" s="167">
        <f>RI8*RJ8</f>
        <v>0</v>
      </c>
      <c r="RL8" s="168"/>
      <c r="RM8" s="53"/>
      <c r="RN8" s="46"/>
      <c r="RO8" s="54">
        <f>RM8*RN8</f>
        <v>0</v>
      </c>
      <c r="RP8" s="53"/>
      <c r="RQ8" s="46"/>
      <c r="RR8" s="55">
        <f t="shared" si="40"/>
        <v>0</v>
      </c>
      <c r="RS8" s="53">
        <v>0</v>
      </c>
      <c r="RT8" s="46">
        <v>1042.5784864300001</v>
      </c>
      <c r="RU8" s="167">
        <f>RS8*RT8</f>
        <v>0</v>
      </c>
    </row>
    <row r="9" spans="1:489" ht="15.75" customHeight="1" thickBot="1" x14ac:dyDescent="0.3">
      <c r="A9" s="67" t="s">
        <v>159</v>
      </c>
      <c r="B9" s="17">
        <v>0</v>
      </c>
      <c r="C9" s="17">
        <v>0</v>
      </c>
      <c r="D9" s="54">
        <v>0</v>
      </c>
      <c r="E9" s="61">
        <v>473448.90662283998</v>
      </c>
      <c r="F9" s="46">
        <v>3.5394785</v>
      </c>
      <c r="G9" s="165">
        <f>E9*F9</f>
        <v>1675762.2258400498</v>
      </c>
      <c r="H9" s="47"/>
      <c r="I9" s="17"/>
      <c r="J9" s="165"/>
      <c r="K9" s="47">
        <v>0</v>
      </c>
      <c r="L9" s="17"/>
      <c r="M9" s="54">
        <v>0</v>
      </c>
      <c r="N9" s="61">
        <v>1379864.63237359</v>
      </c>
      <c r="O9" s="46">
        <v>3.5403180999999999</v>
      </c>
      <c r="P9" s="165">
        <f>N9*O9</f>
        <v>4885159.733542067</v>
      </c>
      <c r="Q9" s="47"/>
      <c r="R9" s="17"/>
      <c r="S9" s="165"/>
      <c r="T9" s="166"/>
      <c r="U9" s="47">
        <v>0</v>
      </c>
      <c r="V9" s="17"/>
      <c r="W9" s="54">
        <v>0</v>
      </c>
      <c r="X9" s="61">
        <v>1852309.7442342199</v>
      </c>
      <c r="Y9" s="46">
        <v>3.5411521000000001</v>
      </c>
      <c r="Z9" s="165">
        <f>X9*Y9</f>
        <v>6559310.5406454708</v>
      </c>
      <c r="AA9" s="47"/>
      <c r="AB9" s="17"/>
      <c r="AC9" s="165"/>
      <c r="AD9" s="166"/>
      <c r="AE9" s="47">
        <v>0</v>
      </c>
      <c r="AF9" s="17"/>
      <c r="AG9" s="54">
        <v>0</v>
      </c>
      <c r="AH9" s="61">
        <v>1811090.23978583</v>
      </c>
      <c r="AI9" s="46">
        <v>3.5420124999999998</v>
      </c>
      <c r="AJ9" s="165">
        <f>AH9*AI9</f>
        <v>6414904.267949407</v>
      </c>
      <c r="AK9" s="47"/>
      <c r="AL9" s="17"/>
      <c r="AM9" s="165"/>
      <c r="AN9" s="166"/>
      <c r="AO9" s="47">
        <v>0</v>
      </c>
      <c r="AP9" s="17"/>
      <c r="AQ9" s="54">
        <v>0</v>
      </c>
      <c r="AR9" s="61">
        <v>1811090.23978583</v>
      </c>
      <c r="AS9" s="46">
        <v>3.5420124999999998</v>
      </c>
      <c r="AT9" s="165">
        <f>AR9*AS9</f>
        <v>6414904.267949407</v>
      </c>
      <c r="AU9" s="47"/>
      <c r="AV9" s="17"/>
      <c r="AW9" s="165"/>
      <c r="AX9" s="166"/>
      <c r="AY9" s="47">
        <v>0</v>
      </c>
      <c r="AZ9" s="17"/>
      <c r="BA9" s="54">
        <v>0</v>
      </c>
      <c r="BB9" s="61">
        <v>1384017.3197809299</v>
      </c>
      <c r="BC9" s="46">
        <v>3.5437419000000001</v>
      </c>
      <c r="BD9" s="165">
        <f>BB9*BC9</f>
        <v>4904600.16643338</v>
      </c>
      <c r="BE9" s="47"/>
      <c r="BF9" s="17"/>
      <c r="BG9" s="165"/>
      <c r="BH9" s="166"/>
      <c r="BI9" s="47">
        <v>0</v>
      </c>
      <c r="BJ9" s="17"/>
      <c r="BK9" s="54">
        <v>0</v>
      </c>
      <c r="BL9" s="61">
        <v>1803813.24817796</v>
      </c>
      <c r="BM9" s="46">
        <v>3.5445793999999999</v>
      </c>
      <c r="BN9" s="165">
        <f>BL9*BM9</f>
        <v>6393759.2809386849</v>
      </c>
      <c r="BO9" s="47"/>
      <c r="BP9" s="17"/>
      <c r="BQ9" s="165"/>
      <c r="BR9" s="166"/>
      <c r="BS9" s="47">
        <v>0</v>
      </c>
      <c r="BT9" s="17"/>
      <c r="BU9" s="54">
        <v>0</v>
      </c>
      <c r="BV9" s="61">
        <v>1559273.721325</v>
      </c>
      <c r="BW9" s="46">
        <v>3.5454390999999998</v>
      </c>
      <c r="BX9" s="165">
        <f>BV9*BW9</f>
        <v>5528310.0191881591</v>
      </c>
      <c r="BY9" s="47"/>
      <c r="BZ9" s="17"/>
      <c r="CA9" s="165"/>
      <c r="CB9" s="166"/>
      <c r="CC9" s="47">
        <v>0</v>
      </c>
      <c r="CD9" s="17"/>
      <c r="CE9" s="54">
        <v>0</v>
      </c>
      <c r="CF9" s="61">
        <v>2052465.7815926699</v>
      </c>
      <c r="CG9" s="46">
        <v>3.5462858000000002</v>
      </c>
      <c r="CH9" s="165">
        <f>CF9*CG9</f>
        <v>7278630.256247987</v>
      </c>
      <c r="CI9" s="47"/>
      <c r="CJ9" s="17"/>
      <c r="CK9" s="165"/>
      <c r="CL9" s="166"/>
      <c r="CM9" s="53">
        <v>0</v>
      </c>
      <c r="CN9" s="46">
        <v>0</v>
      </c>
      <c r="CO9" s="54">
        <v>0</v>
      </c>
      <c r="CP9" s="61">
        <v>2600231.5330507401</v>
      </c>
      <c r="CQ9" s="46">
        <v>3.5471366999999998</v>
      </c>
      <c r="CR9" s="165">
        <f>CP9*CQ9</f>
        <v>9223376.6993815433</v>
      </c>
      <c r="CS9" s="53">
        <v>0</v>
      </c>
      <c r="CT9" s="46">
        <f t="shared" si="0"/>
        <v>0</v>
      </c>
      <c r="CU9" s="165"/>
      <c r="CV9" s="166"/>
      <c r="CW9" s="53">
        <v>0</v>
      </c>
      <c r="CX9" s="46">
        <v>0</v>
      </c>
      <c r="CY9" s="54">
        <v>0</v>
      </c>
      <c r="CZ9" s="61">
        <v>3090368.3124975301</v>
      </c>
      <c r="DA9" s="46">
        <v>3.5479892</v>
      </c>
      <c r="DB9" s="165">
        <f>CZ9*DA9</f>
        <v>10964593.396763463</v>
      </c>
      <c r="DC9" s="53">
        <v>0</v>
      </c>
      <c r="DD9" s="46">
        <f t="shared" si="1"/>
        <v>0</v>
      </c>
      <c r="DE9" s="165"/>
      <c r="DF9" s="166"/>
      <c r="DG9" s="53">
        <v>0</v>
      </c>
      <c r="DH9" s="46">
        <v>0</v>
      </c>
      <c r="DI9" s="54">
        <v>0</v>
      </c>
      <c r="DJ9" s="61">
        <v>3446541.6258682502</v>
      </c>
      <c r="DK9" s="46">
        <v>3.5488341000000001</v>
      </c>
      <c r="DL9" s="165">
        <f>DJ9*DK9</f>
        <v>12231204.448950689</v>
      </c>
      <c r="DM9" s="53">
        <v>0</v>
      </c>
      <c r="DN9" s="46">
        <f t="shared" si="2"/>
        <v>0</v>
      </c>
      <c r="DO9" s="165"/>
      <c r="DP9" s="166"/>
      <c r="DQ9" s="53">
        <v>0</v>
      </c>
      <c r="DR9" s="46">
        <v>0</v>
      </c>
      <c r="DS9" s="54">
        <v>0</v>
      </c>
      <c r="DT9" s="61">
        <v>3787699.6960934</v>
      </c>
      <c r="DU9" s="46">
        <v>3.5496742000000001</v>
      </c>
      <c r="DV9" s="165">
        <f>DT9*DU9</f>
        <v>13445099.888570582</v>
      </c>
      <c r="DW9" s="53">
        <v>0</v>
      </c>
      <c r="DX9" s="46">
        <f t="shared" si="3"/>
        <v>0</v>
      </c>
      <c r="DY9" s="165"/>
      <c r="DZ9" s="166"/>
      <c r="EA9" s="53">
        <v>0</v>
      </c>
      <c r="EB9" s="46">
        <v>0</v>
      </c>
      <c r="EC9" s="54">
        <v>0</v>
      </c>
      <c r="ED9" s="61">
        <v>3952463.7185256402</v>
      </c>
      <c r="EE9" s="46">
        <v>3.5505323999999998</v>
      </c>
      <c r="EF9" s="165">
        <f>ED9*EE9</f>
        <v>14033350.492449764</v>
      </c>
      <c r="EG9" s="53">
        <v>0</v>
      </c>
      <c r="EH9" s="46">
        <f t="shared" si="4"/>
        <v>0</v>
      </c>
      <c r="EI9" s="165"/>
      <c r="EJ9" s="166"/>
      <c r="EK9" s="53">
        <v>0</v>
      </c>
      <c r="EL9" s="46">
        <v>0</v>
      </c>
      <c r="EM9" s="54">
        <v>0</v>
      </c>
      <c r="EN9" s="61">
        <v>4571377.9340587799</v>
      </c>
      <c r="EO9" s="46">
        <v>3.5513807000000002</v>
      </c>
      <c r="EP9" s="165">
        <f>EN9*EO9</f>
        <v>16234703.367422225</v>
      </c>
      <c r="EQ9" s="53">
        <v>0</v>
      </c>
      <c r="ER9" s="46">
        <f t="shared" si="5"/>
        <v>0</v>
      </c>
      <c r="ES9" s="165"/>
      <c r="ET9" s="166"/>
      <c r="EU9" s="53">
        <v>0</v>
      </c>
      <c r="EV9" s="46">
        <v>0</v>
      </c>
      <c r="EW9" s="54">
        <v>0</v>
      </c>
      <c r="EX9" s="61">
        <v>3618739.2233595601</v>
      </c>
      <c r="EY9" s="46">
        <v>3.5522385999999999</v>
      </c>
      <c r="EZ9" s="165">
        <f>EX9*EY9</f>
        <v>12854625.15255185</v>
      </c>
      <c r="FA9" s="53">
        <v>0</v>
      </c>
      <c r="FB9" s="46">
        <f>EV9</f>
        <v>0</v>
      </c>
      <c r="FC9" s="165"/>
      <c r="FD9" s="166"/>
      <c r="FE9" s="53">
        <v>0</v>
      </c>
      <c r="FF9" s="46">
        <v>0</v>
      </c>
      <c r="FG9" s="54">
        <v>0</v>
      </c>
      <c r="FH9" s="61">
        <v>1043232.49219913</v>
      </c>
      <c r="FI9" s="46">
        <v>3.5530871999999998</v>
      </c>
      <c r="FJ9" s="165">
        <f>FH9*FI9</f>
        <v>3706696.0146568283</v>
      </c>
      <c r="FK9" s="53">
        <v>0</v>
      </c>
      <c r="FL9" s="46">
        <f>FF9</f>
        <v>0</v>
      </c>
      <c r="FM9" s="165"/>
      <c r="FN9" s="166"/>
      <c r="FO9" s="53">
        <v>0</v>
      </c>
      <c r="FP9" s="46">
        <v>0</v>
      </c>
      <c r="FQ9" s="54">
        <v>0</v>
      </c>
      <c r="FR9" s="61">
        <v>890444.12561228999</v>
      </c>
      <c r="FS9" s="46">
        <v>3.5539355000000001</v>
      </c>
      <c r="FT9" s="165">
        <f>FR9*FS9</f>
        <v>3164580.988779977</v>
      </c>
      <c r="FU9" s="53">
        <v>0</v>
      </c>
      <c r="FV9" s="46">
        <f>FP9</f>
        <v>0</v>
      </c>
      <c r="FW9" s="165"/>
      <c r="FX9" s="166"/>
      <c r="FY9" s="53">
        <v>0</v>
      </c>
      <c r="FZ9" s="46">
        <v>0</v>
      </c>
      <c r="GA9" s="54">
        <v>0</v>
      </c>
      <c r="GB9" s="61">
        <v>318257.33233613003</v>
      </c>
      <c r="GC9" s="46">
        <v>3.5547832000000001</v>
      </c>
      <c r="GD9" s="165">
        <f>GB9*GC9</f>
        <v>1131335.8182652919</v>
      </c>
      <c r="GE9" s="53">
        <v>0</v>
      </c>
      <c r="GF9" s="46">
        <f>FZ9</f>
        <v>0</v>
      </c>
      <c r="GG9" s="165"/>
      <c r="GH9" s="166"/>
      <c r="GI9" s="53">
        <v>0</v>
      </c>
      <c r="GJ9" s="46">
        <v>0</v>
      </c>
      <c r="GK9" s="54">
        <v>0</v>
      </c>
      <c r="GL9" s="61">
        <v>1048647.7556886401</v>
      </c>
      <c r="GM9" s="46">
        <v>3.5556326</v>
      </c>
      <c r="GN9" s="165">
        <f t="shared" si="6"/>
        <v>3728606.146043364</v>
      </c>
      <c r="GO9" s="53">
        <v>0</v>
      </c>
      <c r="GP9" s="46">
        <f>GJ9</f>
        <v>0</v>
      </c>
      <c r="GQ9" s="165"/>
      <c r="GR9" s="166"/>
      <c r="GS9" s="53">
        <v>0</v>
      </c>
      <c r="GT9" s="46">
        <v>0</v>
      </c>
      <c r="GU9" s="54">
        <v>0</v>
      </c>
      <c r="GV9" s="61">
        <v>1449887.8039442899</v>
      </c>
      <c r="GW9" s="46">
        <v>3.5564745000000002</v>
      </c>
      <c r="GX9" s="165">
        <f t="shared" si="7"/>
        <v>5156489.0025888672</v>
      </c>
      <c r="GY9" s="53">
        <v>0</v>
      </c>
      <c r="GZ9" s="46">
        <f>GT9</f>
        <v>0</v>
      </c>
      <c r="HA9" s="165"/>
      <c r="HB9" s="166"/>
      <c r="HC9" s="53">
        <v>0</v>
      </c>
      <c r="HD9" s="46">
        <v>0</v>
      </c>
      <c r="HE9" s="54">
        <v>0</v>
      </c>
      <c r="HF9" s="61">
        <v>1449887.8039442899</v>
      </c>
      <c r="HG9" s="46">
        <v>3.5564745000000002</v>
      </c>
      <c r="HH9" s="165">
        <f t="shared" si="8"/>
        <v>5156489.0025888672</v>
      </c>
      <c r="HI9" s="53">
        <v>0</v>
      </c>
      <c r="HJ9" s="46">
        <f>HD9</f>
        <v>0</v>
      </c>
      <c r="HK9" s="165"/>
      <c r="HL9" s="166"/>
      <c r="HM9" s="53">
        <v>0</v>
      </c>
      <c r="HN9" s="46">
        <v>0</v>
      </c>
      <c r="HO9" s="54">
        <v>0</v>
      </c>
      <c r="HP9" s="61">
        <v>1086131.5648149899</v>
      </c>
      <c r="HQ9" s="46">
        <v>3.5573272999999999</v>
      </c>
      <c r="HR9" s="165">
        <f t="shared" si="9"/>
        <v>3863725.4669080828</v>
      </c>
      <c r="HS9" s="53">
        <v>0</v>
      </c>
      <c r="HT9" s="46">
        <f>HN9</f>
        <v>0</v>
      </c>
      <c r="HU9" s="165"/>
      <c r="HV9" s="166"/>
      <c r="HW9" s="53">
        <v>0</v>
      </c>
      <c r="HX9" s="46">
        <v>0</v>
      </c>
      <c r="HY9" s="54">
        <v>0</v>
      </c>
      <c r="HZ9" s="61">
        <v>1133346.3279945899</v>
      </c>
      <c r="IA9" s="46">
        <v>3.5582091</v>
      </c>
      <c r="IB9" s="165">
        <f t="shared" si="10"/>
        <v>4032683.2177219344</v>
      </c>
      <c r="IC9" s="53">
        <v>0</v>
      </c>
      <c r="ID9" s="46">
        <f>HX9</f>
        <v>0</v>
      </c>
      <c r="IE9" s="165"/>
      <c r="IF9" s="166"/>
      <c r="IG9" s="53">
        <v>0</v>
      </c>
      <c r="IH9" s="46">
        <v>0</v>
      </c>
      <c r="II9" s="54">
        <v>0</v>
      </c>
      <c r="IJ9" s="61">
        <v>1706244.2603978</v>
      </c>
      <c r="IK9" s="46">
        <v>3.5590982000000002</v>
      </c>
      <c r="IL9" s="165">
        <f t="shared" si="11"/>
        <v>6072690.8759421417</v>
      </c>
      <c r="IM9" s="53">
        <v>0</v>
      </c>
      <c r="IN9" s="46">
        <f>IH9</f>
        <v>0</v>
      </c>
      <c r="IO9" s="165"/>
      <c r="IP9" s="166"/>
      <c r="IQ9" s="53">
        <v>0</v>
      </c>
      <c r="IR9" s="46">
        <v>0</v>
      </c>
      <c r="IS9" s="54">
        <v>0</v>
      </c>
      <c r="IT9" s="61">
        <v>2170292.5933350599</v>
      </c>
      <c r="IU9" s="46">
        <v>3.559974</v>
      </c>
      <c r="IV9" s="165">
        <f t="shared" si="12"/>
        <v>7726185.204665387</v>
      </c>
      <c r="IW9" s="53">
        <v>0</v>
      </c>
      <c r="IX9" s="46">
        <f>IR9</f>
        <v>0</v>
      </c>
      <c r="IY9" s="165"/>
      <c r="IZ9" s="166"/>
      <c r="JA9" s="53">
        <v>0</v>
      </c>
      <c r="JB9" s="46">
        <v>0</v>
      </c>
      <c r="JC9" s="54">
        <v>0</v>
      </c>
      <c r="JD9" s="61">
        <v>2368281.4200251899</v>
      </c>
      <c r="JE9" s="46">
        <v>3.5608070000000001</v>
      </c>
      <c r="JF9" s="165">
        <f t="shared" si="13"/>
        <v>8432993.0583956372</v>
      </c>
      <c r="JG9" s="53">
        <v>0</v>
      </c>
      <c r="JH9" s="46">
        <f>JB9</f>
        <v>0</v>
      </c>
      <c r="JI9" s="165"/>
      <c r="JJ9" s="166"/>
      <c r="JK9" s="53">
        <v>0</v>
      </c>
      <c r="JL9" s="46">
        <v>0</v>
      </c>
      <c r="JM9" s="54">
        <v>0</v>
      </c>
      <c r="JN9" s="61">
        <v>2713065.6613189001</v>
      </c>
      <c r="JO9" s="46">
        <v>3.5616477</v>
      </c>
      <c r="JP9" s="165">
        <f t="shared" si="14"/>
        <v>9662984.0725854393</v>
      </c>
      <c r="JQ9" s="53">
        <v>0</v>
      </c>
      <c r="JR9" s="46">
        <f>JL9</f>
        <v>0</v>
      </c>
      <c r="JS9" s="165"/>
      <c r="JT9" s="166"/>
      <c r="JU9" s="53">
        <v>0</v>
      </c>
      <c r="JV9" s="46">
        <v>0</v>
      </c>
      <c r="JW9" s="54">
        <v>0</v>
      </c>
      <c r="JX9" s="61">
        <v>2587593.8191230702</v>
      </c>
      <c r="JY9" s="46">
        <v>3.5625523000000001</v>
      </c>
      <c r="JZ9" s="165">
        <f t="shared" si="15"/>
        <v>9218438.3117826786</v>
      </c>
      <c r="KA9" s="53">
        <v>0</v>
      </c>
      <c r="KB9" s="46">
        <f t="shared" si="16"/>
        <v>0</v>
      </c>
      <c r="KC9" s="165">
        <f>+KA9*KB9</f>
        <v>0</v>
      </c>
      <c r="KD9" s="166"/>
      <c r="KE9" s="53">
        <v>0</v>
      </c>
      <c r="KF9" s="46">
        <v>0</v>
      </c>
      <c r="KG9" s="54">
        <v>0</v>
      </c>
      <c r="KH9" s="61">
        <v>2587593.8191230702</v>
      </c>
      <c r="KI9" s="46">
        <v>3.5634070000000002</v>
      </c>
      <c r="KJ9" s="165">
        <f t="shared" si="17"/>
        <v>9220649.9282198828</v>
      </c>
      <c r="KK9" s="53">
        <v>0</v>
      </c>
      <c r="KL9" s="46">
        <f t="shared" si="18"/>
        <v>0</v>
      </c>
      <c r="KM9" s="165"/>
      <c r="KN9" s="166"/>
      <c r="KO9" s="53">
        <v>0</v>
      </c>
      <c r="KP9" s="46">
        <v>0</v>
      </c>
      <c r="KQ9" s="54">
        <v>0</v>
      </c>
      <c r="KR9" s="61">
        <v>2931285.5248013199</v>
      </c>
      <c r="KS9" s="46">
        <v>3.5642407999999999</v>
      </c>
      <c r="KT9" s="165">
        <f t="shared" si="19"/>
        <v>10447807.463946275</v>
      </c>
      <c r="KU9" s="53">
        <v>0</v>
      </c>
      <c r="KV9" s="46">
        <f t="shared" si="20"/>
        <v>0</v>
      </c>
      <c r="KW9" s="165"/>
      <c r="KX9" s="166"/>
      <c r="KY9" s="53">
        <v>0</v>
      </c>
      <c r="KZ9" s="46">
        <v>0</v>
      </c>
      <c r="LA9" s="54">
        <v>0</v>
      </c>
      <c r="LB9" s="61">
        <v>2127938.7326977402</v>
      </c>
      <c r="LC9" s="46">
        <v>3.5650854999999999</v>
      </c>
      <c r="LD9" s="165">
        <f t="shared" si="21"/>
        <v>7586283.520829089</v>
      </c>
      <c r="LE9" s="53">
        <v>0</v>
      </c>
      <c r="LF9" s="46">
        <f>KZ9</f>
        <v>0</v>
      </c>
      <c r="LG9" s="165"/>
      <c r="LH9" s="166"/>
      <c r="LI9" s="53">
        <v>0</v>
      </c>
      <c r="LJ9" s="46">
        <v>0</v>
      </c>
      <c r="LK9" s="54">
        <v>0</v>
      </c>
      <c r="LL9" s="61">
        <v>2445108.0145246899</v>
      </c>
      <c r="LM9" s="46">
        <v>3.5659190999999999</v>
      </c>
      <c r="LN9" s="165">
        <f t="shared" si="22"/>
        <v>8719057.3705566693</v>
      </c>
      <c r="LO9" s="53">
        <v>0</v>
      </c>
      <c r="LP9" s="46">
        <f>LJ9</f>
        <v>0</v>
      </c>
      <c r="LQ9" s="165"/>
      <c r="LR9" s="166"/>
      <c r="LS9" s="53">
        <v>0</v>
      </c>
      <c r="LT9" s="46">
        <v>0</v>
      </c>
      <c r="LU9" s="54">
        <v>0</v>
      </c>
      <c r="LV9" s="61">
        <v>2265393.7411544998</v>
      </c>
      <c r="LW9" s="46">
        <v>3.5667729000000001</v>
      </c>
      <c r="LX9" s="165">
        <f t="shared" si="23"/>
        <v>8080145.0037794849</v>
      </c>
      <c r="LY9" s="53">
        <v>0</v>
      </c>
      <c r="LZ9" s="46">
        <f>LT9</f>
        <v>0</v>
      </c>
      <c r="MA9" s="165"/>
      <c r="MB9" s="166"/>
      <c r="MC9" s="53">
        <v>0</v>
      </c>
      <c r="MD9" s="46">
        <v>0</v>
      </c>
      <c r="ME9" s="54">
        <v>0</v>
      </c>
      <c r="MF9" s="61">
        <v>2398815.6449555699</v>
      </c>
      <c r="MG9" s="46">
        <v>3.5676301000000001</v>
      </c>
      <c r="MH9" s="165">
        <f t="shared" si="24"/>
        <v>8558086.8992944043</v>
      </c>
      <c r="MI9" s="53">
        <v>0</v>
      </c>
      <c r="MJ9" s="46">
        <f t="shared" si="25"/>
        <v>0</v>
      </c>
      <c r="MK9" s="165"/>
      <c r="ML9" s="166"/>
      <c r="MM9" s="53"/>
      <c r="MN9" s="46"/>
      <c r="MO9" s="54">
        <v>0</v>
      </c>
      <c r="MP9" s="61">
        <v>2843540.7927643401</v>
      </c>
      <c r="MQ9" s="46">
        <v>3.5684961999999998</v>
      </c>
      <c r="MR9" s="165">
        <f t="shared" si="26"/>
        <v>10147164.513524534</v>
      </c>
      <c r="MS9" s="53">
        <v>0</v>
      </c>
      <c r="MT9" s="46">
        <f>MN9</f>
        <v>0</v>
      </c>
      <c r="MU9" s="165"/>
      <c r="MV9" s="166"/>
      <c r="MW9" s="53"/>
      <c r="MX9" s="46"/>
      <c r="MY9" s="54">
        <v>0</v>
      </c>
      <c r="MZ9" s="61">
        <v>2830373.0421209801</v>
      </c>
      <c r="NA9" s="46">
        <v>3.5693264</v>
      </c>
      <c r="NB9" s="165">
        <f t="shared" si="27"/>
        <v>10102525.221090727</v>
      </c>
      <c r="NC9" s="53">
        <v>0</v>
      </c>
      <c r="ND9" s="46">
        <f>MX9</f>
        <v>0</v>
      </c>
      <c r="NE9" s="165"/>
      <c r="NF9" s="166"/>
      <c r="NG9" s="53"/>
      <c r="NH9" s="46"/>
      <c r="NI9" s="54">
        <v>0</v>
      </c>
      <c r="NJ9" s="61">
        <v>1571330.37782872</v>
      </c>
      <c r="NK9" s="46">
        <v>3.5701729000000002</v>
      </c>
      <c r="NL9" s="165">
        <f t="shared" si="28"/>
        <v>5609921.1318708574</v>
      </c>
      <c r="NM9" s="53">
        <v>0</v>
      </c>
      <c r="NN9" s="46">
        <f t="shared" si="29"/>
        <v>0</v>
      </c>
      <c r="NO9" s="165"/>
      <c r="NP9" s="166"/>
      <c r="NQ9" s="53"/>
      <c r="NR9" s="46"/>
      <c r="NS9" s="54">
        <v>0</v>
      </c>
      <c r="NT9" s="61">
        <v>1793674.0209623601</v>
      </c>
      <c r="NU9" s="46">
        <v>3.5710487999999998</v>
      </c>
      <c r="NV9" s="165">
        <f t="shared" si="30"/>
        <v>6405297.4601488104</v>
      </c>
      <c r="NW9" s="53">
        <v>0</v>
      </c>
      <c r="NX9" s="46">
        <f>NR9</f>
        <v>0</v>
      </c>
      <c r="NY9" s="165"/>
      <c r="NZ9" s="166"/>
      <c r="OA9" s="53"/>
      <c r="OB9" s="46"/>
      <c r="OC9" s="54">
        <v>0</v>
      </c>
      <c r="OD9" s="61">
        <v>1766797.57166383</v>
      </c>
      <c r="OE9" s="46">
        <v>3.5719004000000001</v>
      </c>
      <c r="OF9" s="165">
        <f t="shared" si="31"/>
        <v>6310824.9529450629</v>
      </c>
      <c r="OG9" s="53">
        <v>0</v>
      </c>
      <c r="OH9" s="46">
        <f>OB9</f>
        <v>0</v>
      </c>
      <c r="OI9" s="165"/>
      <c r="OJ9" s="166"/>
      <c r="OK9" s="53"/>
      <c r="OL9" s="46"/>
      <c r="OM9" s="54">
        <v>0</v>
      </c>
      <c r="ON9" s="61">
        <v>1766797.57166383</v>
      </c>
      <c r="OO9" s="46">
        <v>3.5719004000000001</v>
      </c>
      <c r="OP9" s="165">
        <f t="shared" si="32"/>
        <v>6310824.9529450629</v>
      </c>
      <c r="OQ9" s="53">
        <v>0</v>
      </c>
      <c r="OR9" s="46">
        <f>OL9</f>
        <v>0</v>
      </c>
      <c r="OS9" s="165"/>
      <c r="OT9" s="166"/>
      <c r="OU9" s="53"/>
      <c r="OV9" s="46"/>
      <c r="OW9" s="54">
        <v>0</v>
      </c>
      <c r="OX9" s="61">
        <v>1929721.9836835801</v>
      </c>
      <c r="OY9" s="46">
        <v>3.5736482000000001</v>
      </c>
      <c r="OZ9" s="165">
        <f t="shared" si="33"/>
        <v>6896147.4934912557</v>
      </c>
      <c r="PA9" s="53">
        <v>0</v>
      </c>
      <c r="PB9" s="46">
        <f>OV9</f>
        <v>0</v>
      </c>
      <c r="PC9" s="165"/>
      <c r="PD9" s="166"/>
      <c r="PE9" s="53"/>
      <c r="PF9" s="46"/>
      <c r="PG9" s="54">
        <v>0</v>
      </c>
      <c r="PH9" s="61">
        <v>1766797.57166383</v>
      </c>
      <c r="PI9" s="46">
        <v>3.5719004000000001</v>
      </c>
      <c r="PJ9" s="165">
        <f t="shared" si="34"/>
        <v>6310824.9529450629</v>
      </c>
      <c r="PK9" s="53">
        <v>0</v>
      </c>
      <c r="PL9" s="46">
        <f>PF9</f>
        <v>0</v>
      </c>
      <c r="PM9" s="165"/>
      <c r="PN9" s="166"/>
      <c r="PO9" s="53"/>
      <c r="PP9" s="46"/>
      <c r="PQ9" s="54">
        <v>0</v>
      </c>
      <c r="PR9" s="61">
        <v>1766797.57166383</v>
      </c>
      <c r="PS9" s="46">
        <v>3.5719004000000001</v>
      </c>
      <c r="PT9" s="165">
        <f t="shared" si="35"/>
        <v>6310824.9529450629</v>
      </c>
      <c r="PU9" s="53">
        <v>0</v>
      </c>
      <c r="PV9" s="46">
        <f>PP9</f>
        <v>0</v>
      </c>
      <c r="PW9" s="165"/>
      <c r="PX9" s="166"/>
      <c r="PY9" s="53"/>
      <c r="PZ9" s="46"/>
      <c r="QA9" s="54">
        <v>0</v>
      </c>
      <c r="QB9" s="61">
        <v>1766797.57166383</v>
      </c>
      <c r="QC9" s="46">
        <v>3.5719004000000001</v>
      </c>
      <c r="QD9" s="165">
        <f t="shared" si="36"/>
        <v>6310824.9529450629</v>
      </c>
      <c r="QE9" s="53">
        <v>0</v>
      </c>
      <c r="QF9" s="46">
        <f>PZ9</f>
        <v>0</v>
      </c>
      <c r="QG9" s="165"/>
      <c r="QH9" s="166"/>
      <c r="QI9" s="53"/>
      <c r="QJ9" s="46"/>
      <c r="QK9" s="54">
        <v>0</v>
      </c>
      <c r="QL9" s="61">
        <v>1766797.57166383</v>
      </c>
      <c r="QM9" s="46">
        <v>3.5719004000000001</v>
      </c>
      <c r="QN9" s="165">
        <f t="shared" si="37"/>
        <v>6310824.9529450629</v>
      </c>
      <c r="QO9" s="53">
        <v>0</v>
      </c>
      <c r="QP9" s="46">
        <f>QJ9</f>
        <v>0</v>
      </c>
      <c r="QQ9" s="165"/>
      <c r="QR9" s="166"/>
      <c r="QS9" s="53"/>
      <c r="QT9" s="46"/>
      <c r="QU9" s="54">
        <v>0</v>
      </c>
      <c r="QV9" s="61">
        <v>1766797.57166383</v>
      </c>
      <c r="QW9" s="46">
        <v>3.5719004000000001</v>
      </c>
      <c r="QX9" s="165">
        <f t="shared" si="38"/>
        <v>6310824.9529450629</v>
      </c>
      <c r="QY9" s="53">
        <v>0</v>
      </c>
      <c r="QZ9" s="46">
        <f>QT9</f>
        <v>0</v>
      </c>
      <c r="RA9" s="165"/>
      <c r="RB9" s="166"/>
      <c r="RC9" s="53"/>
      <c r="RD9" s="46"/>
      <c r="RE9" s="54">
        <v>0</v>
      </c>
      <c r="RF9" s="61">
        <v>1766797.57166383</v>
      </c>
      <c r="RG9" s="46">
        <v>3.5719004000000001</v>
      </c>
      <c r="RH9" s="165">
        <f t="shared" si="39"/>
        <v>6310824.9529450629</v>
      </c>
      <c r="RI9" s="53">
        <v>0</v>
      </c>
      <c r="RJ9" s="46">
        <f>RD9</f>
        <v>0</v>
      </c>
      <c r="RK9" s="165"/>
      <c r="RL9" s="166"/>
      <c r="RM9" s="53"/>
      <c r="RN9" s="46"/>
      <c r="RO9" s="54">
        <v>0</v>
      </c>
      <c r="RP9" s="61">
        <v>1766797.57166383</v>
      </c>
      <c r="RQ9" s="46">
        <v>3.5719004000000001</v>
      </c>
      <c r="RR9" s="165">
        <f t="shared" si="40"/>
        <v>6310824.9529450629</v>
      </c>
      <c r="RS9" s="53">
        <v>0</v>
      </c>
      <c r="RT9" s="46">
        <f>RN9</f>
        <v>0</v>
      </c>
      <c r="RU9" s="165"/>
    </row>
    <row r="10" spans="1:489" x14ac:dyDescent="0.25">
      <c r="A10" s="67" t="s">
        <v>160</v>
      </c>
      <c r="B10" s="17">
        <v>0</v>
      </c>
      <c r="C10" s="17">
        <v>0</v>
      </c>
      <c r="D10" s="54">
        <f>B10*C10</f>
        <v>0</v>
      </c>
      <c r="E10" s="61">
        <v>0</v>
      </c>
      <c r="F10" s="46">
        <v>0</v>
      </c>
      <c r="G10" s="165">
        <f>E10*F10</f>
        <v>0</v>
      </c>
      <c r="H10" s="47">
        <v>16</v>
      </c>
      <c r="I10" s="46">
        <v>3665.8274729999998</v>
      </c>
      <c r="J10" s="165">
        <f>H10*I10</f>
        <v>58653.239567999997</v>
      </c>
      <c r="K10" s="47">
        <v>0</v>
      </c>
      <c r="L10" s="17"/>
      <c r="M10" s="54">
        <f>K10*L10</f>
        <v>0</v>
      </c>
      <c r="N10" s="61">
        <v>0</v>
      </c>
      <c r="O10" s="46"/>
      <c r="P10" s="165">
        <f>N10*O10</f>
        <v>0</v>
      </c>
      <c r="Q10" s="47">
        <v>16</v>
      </c>
      <c r="R10" s="46">
        <v>3694.280127</v>
      </c>
      <c r="S10" s="165">
        <f>Q10*R10</f>
        <v>59108.482032</v>
      </c>
      <c r="T10" s="166"/>
      <c r="U10" s="53">
        <v>3742.1847360000002</v>
      </c>
      <c r="V10" s="46"/>
      <c r="W10" s="54">
        <f>U10*V10</f>
        <v>0</v>
      </c>
      <c r="X10" s="61">
        <f>$U$10</f>
        <v>3742.1847360000002</v>
      </c>
      <c r="Y10" s="46">
        <f>$V$10</f>
        <v>0</v>
      </c>
      <c r="Z10" s="165">
        <f>X10*Y10</f>
        <v>0</v>
      </c>
      <c r="AA10" s="47">
        <v>16</v>
      </c>
      <c r="AB10" s="46">
        <f>$U$10</f>
        <v>3742.1847360000002</v>
      </c>
      <c r="AC10" s="165">
        <f>AA10*AB10</f>
        <v>59874.955776000003</v>
      </c>
      <c r="AD10" s="166"/>
      <c r="AE10" s="53"/>
      <c r="AF10" s="46">
        <v>3747.4350629999999</v>
      </c>
      <c r="AG10" s="54">
        <f>AE10*AF10</f>
        <v>0</v>
      </c>
      <c r="AH10" s="61">
        <f>$U$10</f>
        <v>3742.1847360000002</v>
      </c>
      <c r="AI10" s="46">
        <f>$V$10</f>
        <v>0</v>
      </c>
      <c r="AJ10" s="165">
        <f>AH10*AI10</f>
        <v>0</v>
      </c>
      <c r="AK10" s="47">
        <v>16</v>
      </c>
      <c r="AL10" s="46">
        <f>AF10</f>
        <v>3747.4350629999999</v>
      </c>
      <c r="AM10" s="165">
        <f>AK10*AL10</f>
        <v>59958.961007999998</v>
      </c>
      <c r="AN10" s="166"/>
      <c r="AO10" s="53"/>
      <c r="AP10" s="46">
        <v>3747.4350629999999</v>
      </c>
      <c r="AQ10" s="54">
        <f>AO10*AP10</f>
        <v>0</v>
      </c>
      <c r="AR10" s="61">
        <f>$U$10</f>
        <v>3742.1847360000002</v>
      </c>
      <c r="AS10" s="46">
        <f>$V$10</f>
        <v>0</v>
      </c>
      <c r="AT10" s="165">
        <f>AR10*AS10</f>
        <v>0</v>
      </c>
      <c r="AU10" s="47">
        <v>16</v>
      </c>
      <c r="AV10" s="46">
        <f>AP10</f>
        <v>3747.4350629999999</v>
      </c>
      <c r="AW10" s="165">
        <f>AU10*AV10</f>
        <v>59958.961007999998</v>
      </c>
      <c r="AX10" s="166"/>
      <c r="AY10" s="53"/>
      <c r="AZ10" s="46">
        <v>3801.642879</v>
      </c>
      <c r="BA10" s="54">
        <f>AY10*AZ10</f>
        <v>0</v>
      </c>
      <c r="BB10" s="61">
        <f>$U$10</f>
        <v>3742.1847360000002</v>
      </c>
      <c r="BC10" s="46">
        <f>$V$10</f>
        <v>0</v>
      </c>
      <c r="BD10" s="165">
        <f>BB10*BC10</f>
        <v>0</v>
      </c>
      <c r="BE10" s="47">
        <v>16</v>
      </c>
      <c r="BF10" s="46">
        <f>AZ10</f>
        <v>3801.642879</v>
      </c>
      <c r="BG10" s="165">
        <f>BE10*BF10</f>
        <v>60826.286064</v>
      </c>
      <c r="BH10" s="166"/>
      <c r="BI10" s="53"/>
      <c r="BJ10" s="46">
        <v>3801.642879</v>
      </c>
      <c r="BK10" s="54">
        <f>BI10*BJ10</f>
        <v>0</v>
      </c>
      <c r="BL10" s="61">
        <f>$U$10</f>
        <v>3742.1847360000002</v>
      </c>
      <c r="BM10" s="46">
        <f>$V$10</f>
        <v>0</v>
      </c>
      <c r="BN10" s="165">
        <f>BL10*BM10</f>
        <v>0</v>
      </c>
      <c r="BO10" s="47">
        <v>16</v>
      </c>
      <c r="BP10" s="46">
        <v>3812.4565029999999</v>
      </c>
      <c r="BQ10" s="165">
        <f>BO10*BP10</f>
        <v>60999.304047999998</v>
      </c>
      <c r="BR10" s="166"/>
      <c r="BS10" s="53"/>
      <c r="BT10" s="46">
        <v>3821.066875</v>
      </c>
      <c r="BU10" s="54">
        <f>BS10*BT10</f>
        <v>0</v>
      </c>
      <c r="BV10" s="61">
        <f>BT10</f>
        <v>3821.066875</v>
      </c>
      <c r="BW10" s="46">
        <f>$V$10</f>
        <v>0</v>
      </c>
      <c r="BX10" s="165">
        <f>BV10*BW10</f>
        <v>0</v>
      </c>
      <c r="BY10" s="47">
        <v>16</v>
      </c>
      <c r="BZ10" s="46">
        <f>BT10</f>
        <v>3821.066875</v>
      </c>
      <c r="CA10" s="165">
        <f>BY10*BZ10</f>
        <v>61137.07</v>
      </c>
      <c r="CB10" s="166"/>
      <c r="CC10" s="53"/>
      <c r="CD10" s="46">
        <v>3843.4702339999999</v>
      </c>
      <c r="CE10" s="54">
        <f>CC10*CD10</f>
        <v>0</v>
      </c>
      <c r="CF10" s="61">
        <f>CD10</f>
        <v>3843.4702339999999</v>
      </c>
      <c r="CG10" s="46">
        <f>$V$10</f>
        <v>0</v>
      </c>
      <c r="CH10" s="165">
        <f>CF10*CG10</f>
        <v>0</v>
      </c>
      <c r="CI10" s="47">
        <v>16</v>
      </c>
      <c r="CJ10" s="46">
        <f>CD10</f>
        <v>3843.4702339999999</v>
      </c>
      <c r="CK10" s="165">
        <f>CI10*CJ10</f>
        <v>61495.523743999998</v>
      </c>
      <c r="CL10" s="166"/>
      <c r="CM10" s="53">
        <v>0</v>
      </c>
      <c r="CN10" s="46">
        <v>3839.0949700000001</v>
      </c>
      <c r="CO10" s="54">
        <f>CM10*CN10</f>
        <v>0</v>
      </c>
      <c r="CP10" s="61">
        <f>CN10</f>
        <v>3839.0949700000001</v>
      </c>
      <c r="CQ10" s="46">
        <f>$V$10</f>
        <v>0</v>
      </c>
      <c r="CR10" s="165">
        <f>CP10*CQ10</f>
        <v>0</v>
      </c>
      <c r="CS10" s="47">
        <v>16</v>
      </c>
      <c r="CT10" s="46">
        <f t="shared" si="0"/>
        <v>3839.0949700000001</v>
      </c>
      <c r="CU10" s="165">
        <f>CS10*CT10</f>
        <v>61425.519520000002</v>
      </c>
      <c r="CV10" s="166"/>
      <c r="CW10" s="79">
        <v>0</v>
      </c>
      <c r="CX10" s="80">
        <v>3839.0949700000001</v>
      </c>
      <c r="CY10" s="78">
        <f>CW10*CX10</f>
        <v>0</v>
      </c>
      <c r="CZ10" s="89">
        <f>CX10</f>
        <v>3839.0949700000001</v>
      </c>
      <c r="DA10" s="80">
        <f>$V$10</f>
        <v>0</v>
      </c>
      <c r="DB10" s="169">
        <f>CZ10*DA10</f>
        <v>0</v>
      </c>
      <c r="DC10" s="49">
        <v>16</v>
      </c>
      <c r="DD10" s="80">
        <f t="shared" si="1"/>
        <v>3839.0949700000001</v>
      </c>
      <c r="DE10" s="169">
        <f>DC10*DD10</f>
        <v>61425.519520000002</v>
      </c>
      <c r="DF10" s="166"/>
      <c r="DG10" s="79">
        <v>0</v>
      </c>
      <c r="DH10" s="80">
        <v>3845.0827199999999</v>
      </c>
      <c r="DI10" s="78">
        <f>DG10*DH10</f>
        <v>0</v>
      </c>
      <c r="DJ10" s="89"/>
      <c r="DK10" s="80">
        <f>$V$10</f>
        <v>0</v>
      </c>
      <c r="DL10" s="169">
        <f>DJ10*DK10</f>
        <v>0</v>
      </c>
      <c r="DM10" s="49">
        <v>16</v>
      </c>
      <c r="DN10" s="80">
        <f t="shared" si="2"/>
        <v>3845.0827199999999</v>
      </c>
      <c r="DO10" s="169">
        <f>DM10*DN10</f>
        <v>61521.323519999998</v>
      </c>
      <c r="DP10" s="166"/>
      <c r="DQ10" s="79">
        <v>0</v>
      </c>
      <c r="DR10" s="80">
        <v>3845.0827199999999</v>
      </c>
      <c r="DS10" s="78">
        <f>DQ10*DR10</f>
        <v>0</v>
      </c>
      <c r="DT10" s="89"/>
      <c r="DU10" s="80">
        <f>$V$10</f>
        <v>0</v>
      </c>
      <c r="DV10" s="169">
        <f>DT10*DU10</f>
        <v>0</v>
      </c>
      <c r="DW10" s="49">
        <v>16</v>
      </c>
      <c r="DX10" s="80">
        <f t="shared" si="3"/>
        <v>3845.0827199999999</v>
      </c>
      <c r="DY10" s="169">
        <f>DW10*DX10</f>
        <v>61521.323519999998</v>
      </c>
      <c r="DZ10" s="166"/>
      <c r="EA10" s="79">
        <v>0</v>
      </c>
      <c r="EB10" s="80">
        <v>3849.8918739999999</v>
      </c>
      <c r="EC10" s="78">
        <f>EA10*EB10</f>
        <v>0</v>
      </c>
      <c r="ED10" s="89"/>
      <c r="EE10" s="80">
        <f>$V$10</f>
        <v>0</v>
      </c>
      <c r="EF10" s="169">
        <f>ED10*EE10</f>
        <v>0</v>
      </c>
      <c r="EG10" s="49">
        <v>16</v>
      </c>
      <c r="EH10" s="80">
        <f t="shared" si="4"/>
        <v>3849.8918739999999</v>
      </c>
      <c r="EI10" s="169">
        <f>EG10*EH10</f>
        <v>61598.269983999999</v>
      </c>
      <c r="EJ10" s="166"/>
      <c r="EK10" s="79">
        <v>0</v>
      </c>
      <c r="EL10" s="80">
        <v>3851.249405</v>
      </c>
      <c r="EM10" s="78">
        <f>EK10*EL10</f>
        <v>0</v>
      </c>
      <c r="EN10" s="89"/>
      <c r="EO10" s="80">
        <f>$V$10</f>
        <v>0</v>
      </c>
      <c r="EP10" s="169">
        <f>EN10*EO10</f>
        <v>0</v>
      </c>
      <c r="EQ10" s="49">
        <v>16</v>
      </c>
      <c r="ER10" s="80">
        <f t="shared" si="5"/>
        <v>3851.249405</v>
      </c>
      <c r="ES10" s="169">
        <f>EQ10*ER10</f>
        <v>61619.99048</v>
      </c>
      <c r="ET10" s="166"/>
      <c r="EU10" s="79">
        <v>0</v>
      </c>
      <c r="EV10" s="80">
        <v>3860.2569140000001</v>
      </c>
      <c r="EW10" s="78">
        <f>EU10*EV10</f>
        <v>0</v>
      </c>
      <c r="EX10" s="89"/>
      <c r="EY10" s="80">
        <f>$V$10</f>
        <v>0</v>
      </c>
      <c r="EZ10" s="169">
        <f>EX10*EY10</f>
        <v>0</v>
      </c>
      <c r="FA10" s="49">
        <v>16</v>
      </c>
      <c r="FB10" s="80">
        <f>EV10</f>
        <v>3860.2569140000001</v>
      </c>
      <c r="FC10" s="169">
        <f>FA10*FB10</f>
        <v>61764.110624000001</v>
      </c>
      <c r="FD10" s="166"/>
      <c r="FE10" s="79">
        <v>0</v>
      </c>
      <c r="FF10" s="80">
        <v>3848.4815010000002</v>
      </c>
      <c r="FG10" s="78">
        <f>FE10*FF10</f>
        <v>0</v>
      </c>
      <c r="FH10" s="89"/>
      <c r="FI10" s="80">
        <f>$V$10</f>
        <v>0</v>
      </c>
      <c r="FJ10" s="169">
        <f>FH10*FI10</f>
        <v>0</v>
      </c>
      <c r="FK10" s="49">
        <v>16</v>
      </c>
      <c r="FL10" s="80">
        <f>FF10</f>
        <v>3848.4815010000002</v>
      </c>
      <c r="FM10" s="169">
        <f>FK10*FL10</f>
        <v>61575.704016000003</v>
      </c>
      <c r="FN10" s="166"/>
      <c r="FO10" s="79">
        <v>0</v>
      </c>
      <c r="FP10" s="80">
        <v>3849.8224530000002</v>
      </c>
      <c r="FQ10" s="78">
        <f>FO10*FP10</f>
        <v>0</v>
      </c>
      <c r="FR10" s="89"/>
      <c r="FS10" s="80">
        <f>$V$10</f>
        <v>0</v>
      </c>
      <c r="FT10" s="169">
        <f>FR10*FS10</f>
        <v>0</v>
      </c>
      <c r="FU10" s="49">
        <v>16</v>
      </c>
      <c r="FV10" s="80">
        <f>FP10</f>
        <v>3849.8224530000002</v>
      </c>
      <c r="FW10" s="169">
        <f>FU10*FV10</f>
        <v>61597.159248000004</v>
      </c>
      <c r="FX10" s="166"/>
      <c r="FY10" s="79">
        <v>0</v>
      </c>
      <c r="FZ10" s="80">
        <v>3848.2688450000001</v>
      </c>
      <c r="GA10" s="78">
        <f>FY10*FZ10</f>
        <v>0</v>
      </c>
      <c r="GB10" s="89"/>
      <c r="GC10" s="80">
        <f>$V$10</f>
        <v>0</v>
      </c>
      <c r="GD10" s="169">
        <f>GB10*GC10</f>
        <v>0</v>
      </c>
      <c r="GE10" s="49">
        <v>16</v>
      </c>
      <c r="GF10" s="80">
        <f>FZ10</f>
        <v>3848.2688450000001</v>
      </c>
      <c r="GG10" s="169">
        <f>GE10*GF10</f>
        <v>61572.301520000001</v>
      </c>
      <c r="GH10" s="166"/>
      <c r="GI10" s="79">
        <v>0</v>
      </c>
      <c r="GJ10" s="80">
        <v>3872.5548159999998</v>
      </c>
      <c r="GK10" s="78">
        <f>GI10*GJ10</f>
        <v>0</v>
      </c>
      <c r="GL10" s="89"/>
      <c r="GM10" s="80">
        <f>$V$10</f>
        <v>0</v>
      </c>
      <c r="GN10" s="169">
        <f t="shared" si="6"/>
        <v>0</v>
      </c>
      <c r="GO10" s="49">
        <v>16</v>
      </c>
      <c r="GP10" s="80">
        <f>GJ10</f>
        <v>3872.5548159999998</v>
      </c>
      <c r="GQ10" s="169">
        <f>GO10*GP10</f>
        <v>61960.877055999998</v>
      </c>
      <c r="GR10" s="166"/>
      <c r="GS10" s="79">
        <v>0</v>
      </c>
      <c r="GT10" s="80">
        <v>3886.2623010000002</v>
      </c>
      <c r="GU10" s="78">
        <f>GS10*GT10</f>
        <v>0</v>
      </c>
      <c r="GV10" s="89"/>
      <c r="GW10" s="80">
        <f>$V$10</f>
        <v>0</v>
      </c>
      <c r="GX10" s="169">
        <f t="shared" si="7"/>
        <v>0</v>
      </c>
      <c r="GY10" s="49">
        <v>16</v>
      </c>
      <c r="GZ10" s="80">
        <f>GT10</f>
        <v>3886.2623010000002</v>
      </c>
      <c r="HA10" s="169">
        <f>GY10*GZ10</f>
        <v>62180.196816000003</v>
      </c>
      <c r="HB10" s="166"/>
      <c r="HC10" s="79">
        <v>0</v>
      </c>
      <c r="HD10" s="80">
        <v>3886.2623010000002</v>
      </c>
      <c r="HE10" s="78">
        <f>HC10*HD10</f>
        <v>0</v>
      </c>
      <c r="HF10" s="89"/>
      <c r="HG10" s="80">
        <f>$V$10</f>
        <v>0</v>
      </c>
      <c r="HH10" s="169">
        <f t="shared" si="8"/>
        <v>0</v>
      </c>
      <c r="HI10" s="49">
        <v>16</v>
      </c>
      <c r="HJ10" s="80">
        <f>HD10</f>
        <v>3886.2623010000002</v>
      </c>
      <c r="HK10" s="169">
        <f>HI10*HJ10</f>
        <v>62180.196816000003</v>
      </c>
      <c r="HL10" s="166"/>
      <c r="HM10" s="79">
        <v>0</v>
      </c>
      <c r="HN10" s="80">
        <v>3925.9309039999998</v>
      </c>
      <c r="HO10" s="78">
        <f>HM10*HN10</f>
        <v>0</v>
      </c>
      <c r="HP10" s="89"/>
      <c r="HQ10" s="80">
        <f>$V$10</f>
        <v>0</v>
      </c>
      <c r="HR10" s="169">
        <f t="shared" si="9"/>
        <v>0</v>
      </c>
      <c r="HS10" s="49">
        <v>16</v>
      </c>
      <c r="HT10" s="80">
        <f>HN10</f>
        <v>3925.9309039999998</v>
      </c>
      <c r="HU10" s="169">
        <f>HS10*HT10</f>
        <v>62814.894463999997</v>
      </c>
      <c r="HV10" s="166"/>
      <c r="HW10" s="79">
        <v>0</v>
      </c>
      <c r="HX10" s="80">
        <v>3960.5725929999999</v>
      </c>
      <c r="HY10" s="78">
        <f>HW10*HX10</f>
        <v>0</v>
      </c>
      <c r="HZ10" s="89"/>
      <c r="IA10" s="80">
        <f>$V$10</f>
        <v>0</v>
      </c>
      <c r="IB10" s="169">
        <f t="shared" si="10"/>
        <v>0</v>
      </c>
      <c r="IC10" s="49">
        <v>16</v>
      </c>
      <c r="ID10" s="80">
        <f>HX10</f>
        <v>3960.5725929999999</v>
      </c>
      <c r="IE10" s="169">
        <f>IC10*ID10</f>
        <v>63369.161487999998</v>
      </c>
      <c r="IF10" s="166"/>
      <c r="IG10" s="79">
        <v>0</v>
      </c>
      <c r="IH10" s="80">
        <v>3951.3380780000002</v>
      </c>
      <c r="II10" s="78">
        <f>IG10*IH10</f>
        <v>0</v>
      </c>
      <c r="IJ10" s="89"/>
      <c r="IK10" s="80">
        <f>$V$10</f>
        <v>0</v>
      </c>
      <c r="IL10" s="169">
        <f t="shared" si="11"/>
        <v>0</v>
      </c>
      <c r="IM10" s="49">
        <v>16</v>
      </c>
      <c r="IN10" s="80">
        <f>IH10</f>
        <v>3951.3380780000002</v>
      </c>
      <c r="IO10" s="169">
        <f>IM10*IN10</f>
        <v>63221.409248000004</v>
      </c>
      <c r="IP10" s="166"/>
      <c r="IQ10" s="79">
        <v>0</v>
      </c>
      <c r="IR10" s="80">
        <v>3934.1763769999998</v>
      </c>
      <c r="IS10" s="78">
        <f>IQ10*IR10</f>
        <v>0</v>
      </c>
      <c r="IT10" s="89"/>
      <c r="IU10" s="80">
        <f>$V$10</f>
        <v>0</v>
      </c>
      <c r="IV10" s="169">
        <f t="shared" si="12"/>
        <v>0</v>
      </c>
      <c r="IW10" s="49">
        <v>16</v>
      </c>
      <c r="IX10" s="80">
        <f>IR10</f>
        <v>3934.1763769999998</v>
      </c>
      <c r="IY10" s="169">
        <f>IW10*IX10</f>
        <v>62946.822031999996</v>
      </c>
      <c r="IZ10" s="166"/>
      <c r="JA10" s="79">
        <v>0</v>
      </c>
      <c r="JB10" s="80">
        <v>3905.9729000000002</v>
      </c>
      <c r="JC10" s="78">
        <f>JA10*JB10</f>
        <v>0</v>
      </c>
      <c r="JD10" s="89"/>
      <c r="JE10" s="80">
        <f>$V$10</f>
        <v>0</v>
      </c>
      <c r="JF10" s="169">
        <f t="shared" si="13"/>
        <v>0</v>
      </c>
      <c r="JG10" s="49">
        <v>16</v>
      </c>
      <c r="JH10" s="80">
        <f>JB10</f>
        <v>3905.9729000000002</v>
      </c>
      <c r="JI10" s="169">
        <f>JG10*JH10</f>
        <v>62495.566400000003</v>
      </c>
      <c r="JJ10" s="166"/>
      <c r="JK10" s="79">
        <v>0</v>
      </c>
      <c r="JL10" s="80">
        <v>3883.012502</v>
      </c>
      <c r="JM10" s="78">
        <f>JK10*JL10</f>
        <v>0</v>
      </c>
      <c r="JN10" s="89"/>
      <c r="JO10" s="80">
        <f>$V$10</f>
        <v>0</v>
      </c>
      <c r="JP10" s="169">
        <f t="shared" si="14"/>
        <v>0</v>
      </c>
      <c r="JQ10" s="49">
        <v>16</v>
      </c>
      <c r="JR10" s="80">
        <f>JL10</f>
        <v>3883.012502</v>
      </c>
      <c r="JS10" s="169">
        <f>JQ10*JR10</f>
        <v>62128.200032000001</v>
      </c>
      <c r="JT10" s="166"/>
      <c r="JU10" s="79">
        <v>0</v>
      </c>
      <c r="JV10" s="80">
        <v>3845.110451</v>
      </c>
      <c r="JW10" s="78">
        <f>JU10*JV10</f>
        <v>0</v>
      </c>
      <c r="JX10" s="89"/>
      <c r="JY10" s="80">
        <f>$V$10</f>
        <v>0</v>
      </c>
      <c r="JZ10" s="169">
        <f t="shared" si="15"/>
        <v>0</v>
      </c>
      <c r="KA10" s="49">
        <v>16</v>
      </c>
      <c r="KB10" s="80">
        <f t="shared" si="16"/>
        <v>3845.110451</v>
      </c>
      <c r="KC10" s="169">
        <f>KA10*KB10</f>
        <v>61521.767216</v>
      </c>
      <c r="KD10" s="166"/>
      <c r="KE10" s="79">
        <v>0</v>
      </c>
      <c r="KF10" s="80">
        <v>3844.1020370000001</v>
      </c>
      <c r="KG10" s="78">
        <f>KE10*KF10</f>
        <v>0</v>
      </c>
      <c r="KH10" s="89"/>
      <c r="KI10" s="80">
        <f>$V$10</f>
        <v>0</v>
      </c>
      <c r="KJ10" s="169">
        <f t="shared" si="17"/>
        <v>0</v>
      </c>
      <c r="KK10" s="49">
        <v>16</v>
      </c>
      <c r="KL10" s="80">
        <f t="shared" si="18"/>
        <v>3844.1020370000001</v>
      </c>
      <c r="KM10" s="169">
        <f>KK10*KL10</f>
        <v>61505.632592000002</v>
      </c>
      <c r="KN10" s="166"/>
      <c r="KO10" s="79">
        <v>0</v>
      </c>
      <c r="KP10" s="80">
        <v>3876.1651320000001</v>
      </c>
      <c r="KQ10" s="78">
        <f>KO10*KP10</f>
        <v>0</v>
      </c>
      <c r="KR10" s="89"/>
      <c r="KS10" s="80">
        <f>$V$10</f>
        <v>0</v>
      </c>
      <c r="KT10" s="169">
        <f t="shared" si="19"/>
        <v>0</v>
      </c>
      <c r="KU10" s="49">
        <v>16</v>
      </c>
      <c r="KV10" s="80">
        <f t="shared" si="20"/>
        <v>3876.1651320000001</v>
      </c>
      <c r="KW10" s="169">
        <f>KU10*KV10</f>
        <v>62018.642112000001</v>
      </c>
      <c r="KX10" s="166"/>
      <c r="KY10" s="79">
        <v>0</v>
      </c>
      <c r="KZ10" s="80">
        <v>3897.268603</v>
      </c>
      <c r="LA10" s="78">
        <f>KY10*KZ10</f>
        <v>0</v>
      </c>
      <c r="LB10" s="89"/>
      <c r="LC10" s="80">
        <f>$V$10</f>
        <v>0</v>
      </c>
      <c r="LD10" s="169">
        <f t="shared" si="21"/>
        <v>0</v>
      </c>
      <c r="LE10" s="49">
        <v>16</v>
      </c>
      <c r="LF10" s="80">
        <f>KZ10</f>
        <v>3897.268603</v>
      </c>
      <c r="LG10" s="169">
        <f>LE10*LF10</f>
        <v>62356.297648</v>
      </c>
      <c r="LH10" s="166"/>
      <c r="LI10" s="79">
        <v>0</v>
      </c>
      <c r="LJ10" s="80">
        <v>3920.3329410000001</v>
      </c>
      <c r="LK10" s="78">
        <f>LI10*LJ10</f>
        <v>0</v>
      </c>
      <c r="LL10" s="89"/>
      <c r="LM10" s="80">
        <f>$V$10</f>
        <v>0</v>
      </c>
      <c r="LN10" s="169">
        <f t="shared" si="22"/>
        <v>0</v>
      </c>
      <c r="LO10" s="49">
        <v>16</v>
      </c>
      <c r="LP10" s="80">
        <f>LJ10</f>
        <v>3920.3329410000001</v>
      </c>
      <c r="LQ10" s="169">
        <f>LO10*LP10</f>
        <v>62725.327056000002</v>
      </c>
      <c r="LR10" s="166"/>
      <c r="LS10" s="79">
        <v>0</v>
      </c>
      <c r="LT10" s="80">
        <v>3965.7744520000001</v>
      </c>
      <c r="LU10" s="78">
        <f>LS10*LT10</f>
        <v>0</v>
      </c>
      <c r="LV10" s="89"/>
      <c r="LW10" s="80">
        <f>$V$10</f>
        <v>0</v>
      </c>
      <c r="LX10" s="169">
        <f t="shared" si="23"/>
        <v>0</v>
      </c>
      <c r="LY10" s="49">
        <v>16</v>
      </c>
      <c r="LZ10" s="80">
        <f>LT10</f>
        <v>3965.7744520000001</v>
      </c>
      <c r="MA10" s="169">
        <f>LY10*LZ10</f>
        <v>63452.391232000002</v>
      </c>
      <c r="MB10" s="166"/>
      <c r="MC10" s="79">
        <v>0</v>
      </c>
      <c r="MD10" s="80">
        <v>3956.0876210000001</v>
      </c>
      <c r="ME10" s="78">
        <f>MC10*MD10</f>
        <v>0</v>
      </c>
      <c r="MF10" s="89"/>
      <c r="MG10" s="80">
        <f>$V$10</f>
        <v>0</v>
      </c>
      <c r="MH10" s="169">
        <f t="shared" si="24"/>
        <v>0</v>
      </c>
      <c r="MI10" s="49">
        <v>16</v>
      </c>
      <c r="MJ10" s="80">
        <f t="shared" si="25"/>
        <v>3956.0876210000001</v>
      </c>
      <c r="MK10" s="169">
        <f>MI10*MJ10</f>
        <v>63297.401936000002</v>
      </c>
      <c r="ML10" s="166"/>
      <c r="MM10" s="79">
        <v>0</v>
      </c>
      <c r="MN10" s="80">
        <v>3905.9729000000002</v>
      </c>
      <c r="MO10" s="78">
        <f>MM10*MN10</f>
        <v>0</v>
      </c>
      <c r="MP10" s="89"/>
      <c r="MQ10" s="80">
        <f>$V$10</f>
        <v>0</v>
      </c>
      <c r="MR10" s="169">
        <f t="shared" si="26"/>
        <v>0</v>
      </c>
      <c r="MS10" s="49">
        <v>16</v>
      </c>
      <c r="MT10" s="80">
        <f>MN10</f>
        <v>3905.9729000000002</v>
      </c>
      <c r="MU10" s="169">
        <f>MS10*MT10</f>
        <v>62495.566400000003</v>
      </c>
      <c r="MV10" s="166"/>
      <c r="MW10" s="79">
        <v>0</v>
      </c>
      <c r="MX10" s="80">
        <v>3937.9994780000002</v>
      </c>
      <c r="MY10" s="78">
        <f>MW10*MX10</f>
        <v>0</v>
      </c>
      <c r="MZ10" s="89"/>
      <c r="NA10" s="80">
        <f>$V$10</f>
        <v>0</v>
      </c>
      <c r="NB10" s="169">
        <f t="shared" si="27"/>
        <v>0</v>
      </c>
      <c r="NC10" s="49">
        <v>16</v>
      </c>
      <c r="ND10" s="80">
        <f>MX10</f>
        <v>3937.9994780000002</v>
      </c>
      <c r="NE10" s="169">
        <f>NC10*ND10</f>
        <v>63007.991648000003</v>
      </c>
      <c r="NF10" s="166"/>
      <c r="NG10" s="79">
        <v>0</v>
      </c>
      <c r="NH10" s="80">
        <v>3934.3686130000001</v>
      </c>
      <c r="NI10" s="78">
        <f>NG10*NH10</f>
        <v>0</v>
      </c>
      <c r="NJ10" s="89"/>
      <c r="NK10" s="80">
        <f>$V$10</f>
        <v>0</v>
      </c>
      <c r="NL10" s="169">
        <f t="shared" si="28"/>
        <v>0</v>
      </c>
      <c r="NM10" s="49">
        <v>16</v>
      </c>
      <c r="NN10" s="80">
        <f t="shared" si="29"/>
        <v>3934.3686130000001</v>
      </c>
      <c r="NO10" s="169">
        <f>NM10*NN10</f>
        <v>62949.897808000002</v>
      </c>
      <c r="NP10" s="166"/>
      <c r="NQ10" s="79">
        <v>0</v>
      </c>
      <c r="NR10" s="80">
        <v>3928.7187730000001</v>
      </c>
      <c r="NS10" s="78">
        <f>NQ10*NR10</f>
        <v>0</v>
      </c>
      <c r="NT10" s="89"/>
      <c r="NU10" s="80">
        <f>$V$10</f>
        <v>0</v>
      </c>
      <c r="NV10" s="169">
        <f t="shared" si="30"/>
        <v>0</v>
      </c>
      <c r="NW10" s="49">
        <v>16</v>
      </c>
      <c r="NX10" s="80">
        <f>NR10</f>
        <v>3928.7187730000001</v>
      </c>
      <c r="NY10" s="169">
        <f>NW10*NX10</f>
        <v>62859.500368000001</v>
      </c>
      <c r="NZ10" s="166"/>
      <c r="OA10" s="79">
        <v>0</v>
      </c>
      <c r="OB10" s="80">
        <v>3924.672055</v>
      </c>
      <c r="OC10" s="78">
        <f>OA10*OB10</f>
        <v>0</v>
      </c>
      <c r="OD10" s="89"/>
      <c r="OE10" s="80">
        <f>$V$10</f>
        <v>0</v>
      </c>
      <c r="OF10" s="169">
        <f t="shared" si="31"/>
        <v>0</v>
      </c>
      <c r="OG10" s="49">
        <v>16</v>
      </c>
      <c r="OH10" s="80">
        <f>OB10</f>
        <v>3924.672055</v>
      </c>
      <c r="OI10" s="169">
        <f>OG10*OH10</f>
        <v>62794.75288</v>
      </c>
      <c r="OJ10" s="166"/>
      <c r="OK10" s="79">
        <v>0</v>
      </c>
      <c r="OL10" s="80">
        <v>3905.9729000000002</v>
      </c>
      <c r="OM10" s="78">
        <f>OK10*OL10</f>
        <v>0</v>
      </c>
      <c r="ON10" s="89"/>
      <c r="OO10" s="80">
        <f>$V$10</f>
        <v>0</v>
      </c>
      <c r="OP10" s="169">
        <f t="shared" si="32"/>
        <v>0</v>
      </c>
      <c r="OQ10" s="49">
        <v>16</v>
      </c>
      <c r="OR10" s="80">
        <f>OL10</f>
        <v>3905.9729000000002</v>
      </c>
      <c r="OS10" s="169">
        <f>OQ10*OR10</f>
        <v>62495.566400000003</v>
      </c>
      <c r="OT10" s="166"/>
      <c r="OU10" s="79">
        <v>0</v>
      </c>
      <c r="OV10" s="80">
        <v>3905.9729000000002</v>
      </c>
      <c r="OW10" s="78">
        <f>OU10*OV10</f>
        <v>0</v>
      </c>
      <c r="OX10" s="89"/>
      <c r="OY10" s="80">
        <f>$V$10</f>
        <v>0</v>
      </c>
      <c r="OZ10" s="169">
        <f t="shared" si="33"/>
        <v>0</v>
      </c>
      <c r="PA10" s="49">
        <v>16</v>
      </c>
      <c r="PB10" s="80">
        <f>OV10</f>
        <v>3905.9729000000002</v>
      </c>
      <c r="PC10" s="169">
        <f>PA10*PB10</f>
        <v>62495.566400000003</v>
      </c>
      <c r="PD10" s="166"/>
      <c r="PE10" s="79">
        <v>0</v>
      </c>
      <c r="PF10" s="80">
        <v>3905.9729000000002</v>
      </c>
      <c r="PG10" s="78">
        <f>PE10*PF10</f>
        <v>0</v>
      </c>
      <c r="PH10" s="89"/>
      <c r="PI10" s="80">
        <f>$V$10</f>
        <v>0</v>
      </c>
      <c r="PJ10" s="169">
        <f t="shared" si="34"/>
        <v>0</v>
      </c>
      <c r="PK10" s="49">
        <v>16</v>
      </c>
      <c r="PL10" s="80">
        <f>PF10</f>
        <v>3905.9729000000002</v>
      </c>
      <c r="PM10" s="169">
        <f>PK10*PL10</f>
        <v>62495.566400000003</v>
      </c>
      <c r="PN10" s="166"/>
      <c r="PO10" s="79">
        <v>0</v>
      </c>
      <c r="PP10" s="80">
        <v>3905.9729000000002</v>
      </c>
      <c r="PQ10" s="78">
        <f>PO10*PP10</f>
        <v>0</v>
      </c>
      <c r="PR10" s="89"/>
      <c r="PS10" s="80">
        <f>$V$10</f>
        <v>0</v>
      </c>
      <c r="PT10" s="169">
        <f t="shared" si="35"/>
        <v>0</v>
      </c>
      <c r="PU10" s="49">
        <v>16</v>
      </c>
      <c r="PV10" s="80">
        <f>PP10</f>
        <v>3905.9729000000002</v>
      </c>
      <c r="PW10" s="169">
        <f>PU10*PV10</f>
        <v>62495.566400000003</v>
      </c>
      <c r="PX10" s="166"/>
      <c r="PY10" s="79">
        <v>0</v>
      </c>
      <c r="PZ10" s="80">
        <v>3905.9729000000002</v>
      </c>
      <c r="QA10" s="78">
        <f>PY10*PZ10</f>
        <v>0</v>
      </c>
      <c r="QB10" s="89"/>
      <c r="QC10" s="80">
        <f>$V$10</f>
        <v>0</v>
      </c>
      <c r="QD10" s="169">
        <f t="shared" si="36"/>
        <v>0</v>
      </c>
      <c r="QE10" s="49">
        <v>16</v>
      </c>
      <c r="QF10" s="80">
        <f>PZ10</f>
        <v>3905.9729000000002</v>
      </c>
      <c r="QG10" s="169">
        <f>QE10*QF10</f>
        <v>62495.566400000003</v>
      </c>
      <c r="QH10" s="166"/>
      <c r="QI10" s="79">
        <v>0</v>
      </c>
      <c r="QJ10" s="80">
        <v>3905.9729000000002</v>
      </c>
      <c r="QK10" s="78">
        <f>QI10*QJ10</f>
        <v>0</v>
      </c>
      <c r="QL10" s="89"/>
      <c r="QM10" s="80">
        <f>$V$10</f>
        <v>0</v>
      </c>
      <c r="QN10" s="169">
        <f t="shared" si="37"/>
        <v>0</v>
      </c>
      <c r="QO10" s="49">
        <v>16</v>
      </c>
      <c r="QP10" s="80">
        <f>QJ10</f>
        <v>3905.9729000000002</v>
      </c>
      <c r="QQ10" s="169">
        <f>QO10*QP10</f>
        <v>62495.566400000003</v>
      </c>
      <c r="QR10" s="166"/>
      <c r="QS10" s="79">
        <v>0</v>
      </c>
      <c r="QT10" s="80">
        <v>3905.9729000000002</v>
      </c>
      <c r="QU10" s="78">
        <f>QS10*QT10</f>
        <v>0</v>
      </c>
      <c r="QV10" s="89"/>
      <c r="QW10" s="80">
        <f>$V$10</f>
        <v>0</v>
      </c>
      <c r="QX10" s="169">
        <f t="shared" si="38"/>
        <v>0</v>
      </c>
      <c r="QY10" s="49">
        <v>16</v>
      </c>
      <c r="QZ10" s="80">
        <f>QT10</f>
        <v>3905.9729000000002</v>
      </c>
      <c r="RA10" s="169">
        <f>QY10*QZ10</f>
        <v>62495.566400000003</v>
      </c>
      <c r="RB10" s="166"/>
      <c r="RC10" s="79">
        <v>0</v>
      </c>
      <c r="RD10" s="80">
        <v>3905.9729000000002</v>
      </c>
      <c r="RE10" s="78">
        <f>RC10*RD10</f>
        <v>0</v>
      </c>
      <c r="RF10" s="89"/>
      <c r="RG10" s="80">
        <f>$V$10</f>
        <v>0</v>
      </c>
      <c r="RH10" s="169">
        <f t="shared" si="39"/>
        <v>0</v>
      </c>
      <c r="RI10" s="49">
        <v>16</v>
      </c>
      <c r="RJ10" s="80">
        <f>RD10</f>
        <v>3905.9729000000002</v>
      </c>
      <c r="RK10" s="169">
        <f>RI10*RJ10</f>
        <v>62495.566400000003</v>
      </c>
      <c r="RL10" s="166"/>
      <c r="RM10" s="79">
        <v>0</v>
      </c>
      <c r="RN10" s="80">
        <v>3905.9729000000002</v>
      </c>
      <c r="RO10" s="78">
        <f>RM10*RN10</f>
        <v>0</v>
      </c>
      <c r="RP10" s="89"/>
      <c r="RQ10" s="80">
        <f>$V$10</f>
        <v>0</v>
      </c>
      <c r="RR10" s="169">
        <f t="shared" si="40"/>
        <v>0</v>
      </c>
      <c r="RS10" s="49">
        <v>16</v>
      </c>
      <c r="RT10" s="80">
        <f>RN10</f>
        <v>3905.9729000000002</v>
      </c>
      <c r="RU10" s="169">
        <f>RS10*RT10</f>
        <v>62495.566400000003</v>
      </c>
    </row>
    <row r="11" spans="1:489" x14ac:dyDescent="0.25">
      <c r="A11" s="67" t="s">
        <v>161</v>
      </c>
      <c r="B11" s="17">
        <v>130</v>
      </c>
      <c r="C11" s="46">
        <v>3762.6928539999999</v>
      </c>
      <c r="D11" s="54">
        <f>B11*C11</f>
        <v>489150.07101999997</v>
      </c>
      <c r="E11" s="61">
        <v>85</v>
      </c>
      <c r="F11" s="46">
        <v>3762.6928539999999</v>
      </c>
      <c r="G11" s="54">
        <f>E11*F11</f>
        <v>319828.89259</v>
      </c>
      <c r="H11" s="47">
        <v>290</v>
      </c>
      <c r="I11" s="46">
        <v>3762.6928539999999</v>
      </c>
      <c r="J11" s="167">
        <f>H11*I11</f>
        <v>1091180.92766</v>
      </c>
      <c r="K11" s="47">
        <v>130</v>
      </c>
      <c r="L11" s="46">
        <v>3804.3273629999999</v>
      </c>
      <c r="M11" s="54">
        <f>K11*L11</f>
        <v>494562.55718999996</v>
      </c>
      <c r="N11" s="61">
        <v>85</v>
      </c>
      <c r="O11" s="46">
        <v>3804.3273629999999</v>
      </c>
      <c r="P11" s="54">
        <f>N11*O11</f>
        <v>323367.825855</v>
      </c>
      <c r="Q11" s="47">
        <v>290</v>
      </c>
      <c r="R11" s="46">
        <f>O11</f>
        <v>3804.3273629999999</v>
      </c>
      <c r="S11" s="167">
        <f>Q11*R11</f>
        <v>1103254.93527</v>
      </c>
      <c r="T11" s="168"/>
      <c r="U11" s="47">
        <v>130</v>
      </c>
      <c r="V11" s="87">
        <v>3853.3329880000001</v>
      </c>
      <c r="W11" s="54">
        <f>U11*V11</f>
        <v>500933.28844000003</v>
      </c>
      <c r="X11" s="61">
        <v>85</v>
      </c>
      <c r="Y11" s="46">
        <f>$V$11</f>
        <v>3853.3329880000001</v>
      </c>
      <c r="Z11" s="54">
        <f>X11*Y11</f>
        <v>327533.30398000003</v>
      </c>
      <c r="AA11" s="47">
        <v>290</v>
      </c>
      <c r="AB11" s="46">
        <f>$V$11</f>
        <v>3853.3329880000001</v>
      </c>
      <c r="AC11" s="167">
        <f>AA11*AB11</f>
        <v>1117466.5665200001</v>
      </c>
      <c r="AD11" s="168"/>
      <c r="AE11" s="47">
        <v>130</v>
      </c>
      <c r="AF11" s="46">
        <v>3855.6915479999998</v>
      </c>
      <c r="AG11" s="54">
        <f>AE11*AF11</f>
        <v>501239.90123999998</v>
      </c>
      <c r="AH11" s="61">
        <v>85</v>
      </c>
      <c r="AI11" s="46">
        <f>AF11</f>
        <v>3855.6915479999998</v>
      </c>
      <c r="AJ11" s="54">
        <f>AH11*AI11</f>
        <v>327733.78158000001</v>
      </c>
      <c r="AK11" s="47">
        <v>290</v>
      </c>
      <c r="AL11" s="46">
        <f>AF11</f>
        <v>3855.6915479999998</v>
      </c>
      <c r="AM11" s="167">
        <f>AK11*AL11</f>
        <v>1118150.54892</v>
      </c>
      <c r="AN11" s="168"/>
      <c r="AO11" s="47">
        <v>130</v>
      </c>
      <c r="AP11" s="46">
        <v>3855.6915479999998</v>
      </c>
      <c r="AQ11" s="54">
        <f>AO11*AP11</f>
        <v>501239.90123999998</v>
      </c>
      <c r="AR11" s="61">
        <v>85</v>
      </c>
      <c r="AS11" s="46">
        <f>AP11</f>
        <v>3855.6915479999998</v>
      </c>
      <c r="AT11" s="54">
        <f>AR11*AS11</f>
        <v>327733.78158000001</v>
      </c>
      <c r="AU11" s="47">
        <v>290</v>
      </c>
      <c r="AV11" s="46">
        <f>AP11</f>
        <v>3855.6915479999998</v>
      </c>
      <c r="AW11" s="167">
        <f>AU11*AV11</f>
        <v>1118150.54892</v>
      </c>
      <c r="AX11" s="168"/>
      <c r="AY11" s="47">
        <v>130</v>
      </c>
      <c r="AZ11" s="46">
        <v>3927.743371</v>
      </c>
      <c r="BA11" s="54">
        <f>AY11*AZ11</f>
        <v>510606.63822999998</v>
      </c>
      <c r="BB11" s="61">
        <v>85</v>
      </c>
      <c r="BC11" s="46">
        <f>AZ11</f>
        <v>3927.743371</v>
      </c>
      <c r="BD11" s="54">
        <f>BB11*BC11</f>
        <v>333858.18653499999</v>
      </c>
      <c r="BE11" s="47">
        <v>290</v>
      </c>
      <c r="BF11" s="46">
        <f>AZ11</f>
        <v>3927.743371</v>
      </c>
      <c r="BG11" s="167">
        <f>BE11*BF11</f>
        <v>1139045.5775900001</v>
      </c>
      <c r="BH11" s="168"/>
      <c r="BI11" s="47">
        <v>130</v>
      </c>
      <c r="BJ11" s="46">
        <v>3929.667371</v>
      </c>
      <c r="BK11" s="54">
        <f>BI11*BJ11</f>
        <v>510856.75822999998</v>
      </c>
      <c r="BL11" s="61">
        <v>85</v>
      </c>
      <c r="BM11" s="46">
        <f>BJ11</f>
        <v>3929.667371</v>
      </c>
      <c r="BN11" s="54">
        <f>BL11*BM11-0.01</f>
        <v>334021.71653500001</v>
      </c>
      <c r="BO11" s="47">
        <v>290</v>
      </c>
      <c r="BP11" s="46">
        <v>3929.667371</v>
      </c>
      <c r="BQ11" s="167">
        <f>BO11*BP11</f>
        <v>1139603.5375900001</v>
      </c>
      <c r="BR11" s="168"/>
      <c r="BS11" s="47">
        <v>130</v>
      </c>
      <c r="BT11" s="46">
        <v>3937.275044</v>
      </c>
      <c r="BU11" s="54">
        <f>BS11*BT11</f>
        <v>511845.75572000002</v>
      </c>
      <c r="BV11" s="61">
        <v>85</v>
      </c>
      <c r="BW11" s="46">
        <f>BT11</f>
        <v>3937.275044</v>
      </c>
      <c r="BX11" s="54">
        <f>BV11*BW11</f>
        <v>334668.37874000001</v>
      </c>
      <c r="BY11" s="47">
        <v>290</v>
      </c>
      <c r="BZ11" s="46">
        <f>BT11</f>
        <v>3937.275044</v>
      </c>
      <c r="CA11" s="167">
        <f>BY11*BZ11</f>
        <v>1141809.7627600001</v>
      </c>
      <c r="CB11" s="168"/>
      <c r="CC11" s="47">
        <v>130</v>
      </c>
      <c r="CD11" s="46">
        <v>3968.2194</v>
      </c>
      <c r="CE11" s="54">
        <f>CC11*CD11</f>
        <v>515868.522</v>
      </c>
      <c r="CF11" s="61">
        <v>85</v>
      </c>
      <c r="CG11" s="46">
        <f>CD11</f>
        <v>3968.2194</v>
      </c>
      <c r="CH11" s="54">
        <f>CF11*CG11</f>
        <v>337298.64899999998</v>
      </c>
      <c r="CI11" s="47">
        <v>290</v>
      </c>
      <c r="CJ11" s="46">
        <f>CD11</f>
        <v>3968.2194</v>
      </c>
      <c r="CK11" s="167">
        <f>CI11*CJ11</f>
        <v>1150783.6259999999</v>
      </c>
      <c r="CL11" s="168"/>
      <c r="CM11" s="47">
        <v>130</v>
      </c>
      <c r="CN11" s="46">
        <v>3963.2253340000002</v>
      </c>
      <c r="CO11" s="54">
        <f>CM11*CN11</f>
        <v>515219.29342</v>
      </c>
      <c r="CP11" s="61">
        <v>85</v>
      </c>
      <c r="CQ11" s="46">
        <f>CN11</f>
        <v>3963.2253340000002</v>
      </c>
      <c r="CR11" s="54">
        <f>CP11*CQ11</f>
        <v>336874.15338999999</v>
      </c>
      <c r="CS11" s="47">
        <v>290</v>
      </c>
      <c r="CT11" s="46">
        <f t="shared" si="0"/>
        <v>3963.2253340000002</v>
      </c>
      <c r="CU11" s="167">
        <f>CS11*CT11</f>
        <v>1149335.3468600002</v>
      </c>
      <c r="CV11" s="168"/>
      <c r="CW11" s="47">
        <v>130</v>
      </c>
      <c r="CX11" s="46">
        <v>3966.9654139999998</v>
      </c>
      <c r="CY11" s="54">
        <f>CW11*CX11</f>
        <v>515705.50381999998</v>
      </c>
      <c r="CZ11" s="61">
        <v>85</v>
      </c>
      <c r="DA11" s="46">
        <f>CX11</f>
        <v>3966.9654139999998</v>
      </c>
      <c r="DB11" s="54">
        <f>CZ11*DA11</f>
        <v>337192.06018999999</v>
      </c>
      <c r="DC11" s="47">
        <v>290</v>
      </c>
      <c r="DD11" s="46">
        <f t="shared" si="1"/>
        <v>3966.9654139999998</v>
      </c>
      <c r="DE11" s="167">
        <f>DC11*DD11</f>
        <v>1150419.97006</v>
      </c>
      <c r="DF11" s="168"/>
      <c r="DG11" s="47">
        <v>130</v>
      </c>
      <c r="DH11" s="46">
        <v>3970.8267569999998</v>
      </c>
      <c r="DI11" s="54">
        <f>DG11*DH11</f>
        <v>516207.47840999998</v>
      </c>
      <c r="DJ11" s="61">
        <v>85</v>
      </c>
      <c r="DK11" s="46">
        <f>DH11</f>
        <v>3970.8267569999998</v>
      </c>
      <c r="DL11" s="54">
        <f>DJ11*DK11</f>
        <v>337520.27434499998</v>
      </c>
      <c r="DM11" s="47">
        <v>290</v>
      </c>
      <c r="DN11" s="46">
        <f t="shared" si="2"/>
        <v>3970.8267569999998</v>
      </c>
      <c r="DO11" s="167">
        <f>DM11*DN11</f>
        <v>1151539.7595299999</v>
      </c>
      <c r="DP11" s="168"/>
      <c r="DQ11" s="47">
        <v>130</v>
      </c>
      <c r="DR11" s="46">
        <v>3974.332167</v>
      </c>
      <c r="DS11" s="54">
        <f>DQ11*DR11</f>
        <v>516663.18170999998</v>
      </c>
      <c r="DT11" s="61">
        <v>85</v>
      </c>
      <c r="DU11" s="46">
        <f>DR11</f>
        <v>3974.332167</v>
      </c>
      <c r="DV11" s="54">
        <f>DT11*DU11+0.01</f>
        <v>337818.24419500004</v>
      </c>
      <c r="DW11" s="47">
        <v>290</v>
      </c>
      <c r="DX11" s="46">
        <f t="shared" si="3"/>
        <v>3974.332167</v>
      </c>
      <c r="DY11" s="167">
        <f>DW11*DX11</f>
        <v>1152556.32843</v>
      </c>
      <c r="DZ11" s="168"/>
      <c r="EA11" s="47">
        <v>130</v>
      </c>
      <c r="EB11" s="46">
        <v>3974.8260420000001</v>
      </c>
      <c r="EC11" s="54">
        <f>EA11*EB11</f>
        <v>516727.38546000002</v>
      </c>
      <c r="ED11" s="61">
        <v>85</v>
      </c>
      <c r="EE11" s="46">
        <f>EB11</f>
        <v>3974.8260420000001</v>
      </c>
      <c r="EF11" s="54">
        <f>ED11*EE11</f>
        <v>337860.21357000002</v>
      </c>
      <c r="EG11" s="47">
        <v>290</v>
      </c>
      <c r="EH11" s="46">
        <f t="shared" si="4"/>
        <v>3974.8260420000001</v>
      </c>
      <c r="EI11" s="167">
        <f>EG11*EH11</f>
        <v>1152699.5521800001</v>
      </c>
      <c r="EJ11" s="168"/>
      <c r="EK11" s="47">
        <v>130</v>
      </c>
      <c r="EL11" s="46">
        <v>3976.2242310000001</v>
      </c>
      <c r="EM11" s="54">
        <f>EK11*EL11</f>
        <v>516909.15003000002</v>
      </c>
      <c r="EN11" s="61">
        <v>85</v>
      </c>
      <c r="EO11" s="46">
        <f>EL11</f>
        <v>3976.2242310000001</v>
      </c>
      <c r="EP11" s="54">
        <f>EN11*EO11</f>
        <v>337979.05963500001</v>
      </c>
      <c r="EQ11" s="47">
        <v>290</v>
      </c>
      <c r="ER11" s="46">
        <f t="shared" si="5"/>
        <v>3976.2242310000001</v>
      </c>
      <c r="ES11" s="167">
        <f>EQ11*ER11</f>
        <v>1153105.0269900002</v>
      </c>
      <c r="ET11" s="168"/>
      <c r="EU11" s="47">
        <v>130</v>
      </c>
      <c r="EV11" s="46">
        <v>3983.6533049999998</v>
      </c>
      <c r="EW11" s="54">
        <f>EU11*EV11</f>
        <v>517874.92964999995</v>
      </c>
      <c r="EX11" s="61">
        <v>85</v>
      </c>
      <c r="EY11" s="46">
        <f>EV11</f>
        <v>3983.6533049999998</v>
      </c>
      <c r="EZ11" s="54">
        <f>EX11*EY11</f>
        <v>338610.53092499997</v>
      </c>
      <c r="FA11" s="47">
        <v>290</v>
      </c>
      <c r="FB11" s="46">
        <f>EV11</f>
        <v>3983.6533049999998</v>
      </c>
      <c r="FC11" s="167">
        <f>FA11*FB11</f>
        <v>1155259.45845</v>
      </c>
      <c r="FD11" s="168"/>
      <c r="FE11" s="47">
        <v>130</v>
      </c>
      <c r="FF11" s="46">
        <v>3972.8855140000001</v>
      </c>
      <c r="FG11" s="54">
        <f>FE11*FF11</f>
        <v>516475.11682</v>
      </c>
      <c r="FH11" s="61">
        <v>85</v>
      </c>
      <c r="FI11" s="46">
        <f>FF11</f>
        <v>3972.8855140000001</v>
      </c>
      <c r="FJ11" s="54">
        <f>FH11*FI11</f>
        <v>337695.26869</v>
      </c>
      <c r="FK11" s="47">
        <v>290</v>
      </c>
      <c r="FL11" s="46">
        <f>FF11</f>
        <v>3972.8855140000001</v>
      </c>
      <c r="FM11" s="167">
        <f>FK11*FL11</f>
        <v>1152136.7990600001</v>
      </c>
      <c r="FN11" s="168"/>
      <c r="FO11" s="47">
        <v>130</v>
      </c>
      <c r="FP11" s="46">
        <v>3974.2665019999999</v>
      </c>
      <c r="FQ11" s="54">
        <f>FO11*FP11</f>
        <v>516654.64526000002</v>
      </c>
      <c r="FR11" s="61">
        <v>85</v>
      </c>
      <c r="FS11" s="46">
        <f>FP11</f>
        <v>3974.2665019999999</v>
      </c>
      <c r="FT11" s="54">
        <f>FR11*FS11</f>
        <v>337812.65266999998</v>
      </c>
      <c r="FU11" s="47">
        <v>290</v>
      </c>
      <c r="FV11" s="46">
        <f>FP11</f>
        <v>3974.2665019999999</v>
      </c>
      <c r="FW11" s="167">
        <f>FU11*FV11</f>
        <v>1152537.2855799999</v>
      </c>
      <c r="FX11" s="168"/>
      <c r="FY11" s="47">
        <v>130</v>
      </c>
      <c r="FZ11" s="46">
        <v>3972.8225419999999</v>
      </c>
      <c r="GA11" s="54">
        <f>FY11*FZ11</f>
        <v>516466.93046</v>
      </c>
      <c r="GB11" s="61">
        <v>85</v>
      </c>
      <c r="GC11" s="46">
        <f>FZ11</f>
        <v>3972.8225419999999</v>
      </c>
      <c r="GD11" s="54">
        <f>GB11*GC11</f>
        <v>337689.91606999998</v>
      </c>
      <c r="GE11" s="47">
        <v>290</v>
      </c>
      <c r="GF11" s="46">
        <f>FZ11</f>
        <v>3972.8225419999999</v>
      </c>
      <c r="GG11" s="167">
        <f>GE11*GF11</f>
        <v>1152118.53718</v>
      </c>
      <c r="GH11" s="168"/>
      <c r="GI11" s="47">
        <v>130</v>
      </c>
      <c r="GJ11" s="46">
        <v>4001.189476</v>
      </c>
      <c r="GK11" s="54">
        <f>GI11*GJ11</f>
        <v>520154.63188</v>
      </c>
      <c r="GL11" s="61">
        <v>85</v>
      </c>
      <c r="GM11" s="46">
        <f>GJ11</f>
        <v>4001.189476</v>
      </c>
      <c r="GN11" s="54">
        <f t="shared" si="6"/>
        <v>340101.10545999999</v>
      </c>
      <c r="GO11" s="47">
        <v>290</v>
      </c>
      <c r="GP11" s="46">
        <f>GJ11</f>
        <v>4001.189476</v>
      </c>
      <c r="GQ11" s="167">
        <f>GO11*GP11</f>
        <v>1160344.9480399999</v>
      </c>
      <c r="GR11" s="168"/>
      <c r="GS11" s="47">
        <v>130</v>
      </c>
      <c r="GT11" s="46">
        <v>4017.1215050000001</v>
      </c>
      <c r="GU11" s="54">
        <f>GS11*GT11</f>
        <v>522225.79564999999</v>
      </c>
      <c r="GV11" s="61">
        <v>85</v>
      </c>
      <c r="GW11" s="46">
        <f>GT11</f>
        <v>4017.1215050000001</v>
      </c>
      <c r="GX11" s="54">
        <f t="shared" si="7"/>
        <v>341455.32792499999</v>
      </c>
      <c r="GY11" s="47">
        <v>290</v>
      </c>
      <c r="GZ11" s="46">
        <f>GT11</f>
        <v>4017.1215050000001</v>
      </c>
      <c r="HA11" s="167">
        <f>GY11*GZ11</f>
        <v>1164965.23645</v>
      </c>
      <c r="HB11" s="168"/>
      <c r="HC11" s="47">
        <v>130</v>
      </c>
      <c r="HD11" s="46">
        <v>4017.1215050000001</v>
      </c>
      <c r="HE11" s="54">
        <f>HC11*HD11</f>
        <v>522225.79564999999</v>
      </c>
      <c r="HF11" s="61">
        <v>85</v>
      </c>
      <c r="HG11" s="46">
        <f>HD11</f>
        <v>4017.1215050000001</v>
      </c>
      <c r="HH11" s="54">
        <f t="shared" si="8"/>
        <v>341455.32792499999</v>
      </c>
      <c r="HI11" s="47">
        <v>290</v>
      </c>
      <c r="HJ11" s="46">
        <f>HD11</f>
        <v>4017.1215050000001</v>
      </c>
      <c r="HK11" s="167">
        <f>HI11*HJ11</f>
        <v>1164965.23645</v>
      </c>
      <c r="HL11" s="168"/>
      <c r="HM11" s="47">
        <v>130</v>
      </c>
      <c r="HN11" s="46">
        <v>4055.5745689999999</v>
      </c>
      <c r="HO11" s="54">
        <f>HM11*HN11</f>
        <v>527224.69397000002</v>
      </c>
      <c r="HP11" s="61">
        <v>85</v>
      </c>
      <c r="HQ11" s="46">
        <f>HN11</f>
        <v>4055.5745689999999</v>
      </c>
      <c r="HR11" s="54">
        <f t="shared" si="9"/>
        <v>344723.83836499997</v>
      </c>
      <c r="HS11" s="47">
        <v>290</v>
      </c>
      <c r="HT11" s="46">
        <f>HN11</f>
        <v>4055.5745689999999</v>
      </c>
      <c r="HU11" s="167">
        <f>HS11*HT11</f>
        <v>1176116.6250100001</v>
      </c>
      <c r="HV11" s="168"/>
      <c r="HW11" s="47">
        <v>130</v>
      </c>
      <c r="HX11" s="46">
        <v>4091.7420379999999</v>
      </c>
      <c r="HY11" s="54">
        <f>HW11*HX11</f>
        <v>531926.46493999998</v>
      </c>
      <c r="HZ11" s="61">
        <v>85</v>
      </c>
      <c r="IA11" s="46">
        <f>HX11</f>
        <v>4091.7420379999999</v>
      </c>
      <c r="IB11" s="54">
        <f t="shared" si="10"/>
        <v>347798.07322999998</v>
      </c>
      <c r="IC11" s="47">
        <v>290</v>
      </c>
      <c r="ID11" s="46">
        <f>HX11</f>
        <v>4091.7420379999999</v>
      </c>
      <c r="IE11" s="167">
        <f>IC11*ID11</f>
        <v>1186605.19102</v>
      </c>
      <c r="IF11" s="168"/>
      <c r="IG11" s="47">
        <v>130</v>
      </c>
      <c r="IH11" s="46">
        <v>4081.9914159999998</v>
      </c>
      <c r="II11" s="54">
        <f>IG11*IH11</f>
        <v>530658.88407999999</v>
      </c>
      <c r="IJ11" s="61">
        <v>85</v>
      </c>
      <c r="IK11" s="46">
        <f>IH11</f>
        <v>4081.9914159999998</v>
      </c>
      <c r="IL11" s="54">
        <f t="shared" si="11"/>
        <v>346969.27035999997</v>
      </c>
      <c r="IM11" s="47">
        <v>290</v>
      </c>
      <c r="IN11" s="46">
        <f>IH11</f>
        <v>4081.9914159999998</v>
      </c>
      <c r="IO11" s="167">
        <f>IM11*IN11</f>
        <v>1183777.51064</v>
      </c>
      <c r="IP11" s="168"/>
      <c r="IQ11" s="47">
        <v>130</v>
      </c>
      <c r="IR11" s="46">
        <v>4061.6087739999998</v>
      </c>
      <c r="IS11" s="54">
        <f>IQ11*IR11</f>
        <v>528009.14061999996</v>
      </c>
      <c r="IT11" s="61">
        <v>85</v>
      </c>
      <c r="IU11" s="46">
        <f>IR11</f>
        <v>4061.6087739999998</v>
      </c>
      <c r="IV11" s="54">
        <f t="shared" si="12"/>
        <v>345236.74578999996</v>
      </c>
      <c r="IW11" s="47">
        <v>290</v>
      </c>
      <c r="IX11" s="46">
        <f>IR11</f>
        <v>4061.6087739999998</v>
      </c>
      <c r="IY11" s="167">
        <f>IW11*IX11</f>
        <v>1177866.54446</v>
      </c>
      <c r="IZ11" s="168"/>
      <c r="JA11" s="47">
        <v>130</v>
      </c>
      <c r="JB11" s="46">
        <v>4029.6859519999998</v>
      </c>
      <c r="JC11" s="54">
        <f>JA11*JB11</f>
        <v>523859.17375999998</v>
      </c>
      <c r="JD11" s="61">
        <v>85</v>
      </c>
      <c r="JE11" s="46">
        <f>JB11</f>
        <v>4029.6859519999998</v>
      </c>
      <c r="JF11" s="54">
        <f t="shared" si="13"/>
        <v>342523.30591999996</v>
      </c>
      <c r="JG11" s="47">
        <v>290</v>
      </c>
      <c r="JH11" s="46">
        <f>JB11</f>
        <v>4029.6859519999998</v>
      </c>
      <c r="JI11" s="167">
        <f>JG11*JH11</f>
        <v>1168608.9260799999</v>
      </c>
      <c r="JJ11" s="168"/>
      <c r="JK11" s="47">
        <v>130</v>
      </c>
      <c r="JL11" s="46">
        <v>4002.5930899999998</v>
      </c>
      <c r="JM11" s="54">
        <f>JK11*JL11</f>
        <v>520337.1017</v>
      </c>
      <c r="JN11" s="61">
        <v>85</v>
      </c>
      <c r="JO11" s="46">
        <f>JL11</f>
        <v>4002.5930899999998</v>
      </c>
      <c r="JP11" s="54">
        <f t="shared" si="14"/>
        <v>340220.41265000001</v>
      </c>
      <c r="JQ11" s="47">
        <v>290</v>
      </c>
      <c r="JR11" s="46">
        <f>JL11</f>
        <v>4002.5930899999998</v>
      </c>
      <c r="JS11" s="167">
        <f>JQ11*JR11</f>
        <v>1160751.9960999999</v>
      </c>
      <c r="JT11" s="168"/>
      <c r="JU11" s="47">
        <v>130</v>
      </c>
      <c r="JV11" s="46">
        <v>3961.9889240000002</v>
      </c>
      <c r="JW11" s="54">
        <f>JU11*JV11</f>
        <v>515058.56012000004</v>
      </c>
      <c r="JX11" s="61">
        <v>85</v>
      </c>
      <c r="JY11" s="46">
        <f>JV11</f>
        <v>3961.9889240000002</v>
      </c>
      <c r="JZ11" s="54">
        <f t="shared" si="15"/>
        <v>336769.05854</v>
      </c>
      <c r="KA11" s="47">
        <v>290</v>
      </c>
      <c r="KB11" s="46">
        <f t="shared" si="16"/>
        <v>3961.9889240000002</v>
      </c>
      <c r="KC11" s="167">
        <f>KA11*KB11</f>
        <v>1148976.7879600001</v>
      </c>
      <c r="KD11" s="168"/>
      <c r="KE11" s="47">
        <v>130</v>
      </c>
      <c r="KF11" s="46">
        <v>3958.3709990000002</v>
      </c>
      <c r="KG11" s="54">
        <f>KE11*KF11</f>
        <v>514588.22987000004</v>
      </c>
      <c r="KH11" s="61">
        <v>85</v>
      </c>
      <c r="KI11" s="46">
        <v>3958.3709990000002</v>
      </c>
      <c r="KJ11" s="54">
        <f t="shared" si="17"/>
        <v>336461.53491500003</v>
      </c>
      <c r="KK11" s="47">
        <v>290</v>
      </c>
      <c r="KL11" s="46">
        <f t="shared" si="18"/>
        <v>3958.3709990000002</v>
      </c>
      <c r="KM11" s="167">
        <f>KK11*KL11</f>
        <v>1147927.58971</v>
      </c>
      <c r="KN11" s="168"/>
      <c r="KO11" s="47">
        <v>130</v>
      </c>
      <c r="KP11" s="46">
        <v>3994.4825810000002</v>
      </c>
      <c r="KQ11" s="54">
        <f>KO11*KP11</f>
        <v>519282.73553000001</v>
      </c>
      <c r="KR11" s="61">
        <v>85</v>
      </c>
      <c r="KS11" s="46">
        <f>KP11</f>
        <v>3994.4825810000002</v>
      </c>
      <c r="KT11" s="54">
        <f t="shared" si="19"/>
        <v>339531.01938499999</v>
      </c>
      <c r="KU11" s="47">
        <v>290</v>
      </c>
      <c r="KV11" s="46">
        <f t="shared" si="20"/>
        <v>3994.4825810000002</v>
      </c>
      <c r="KW11" s="167">
        <f>KU11*KV11</f>
        <v>1158399.9484900001</v>
      </c>
      <c r="KX11" s="168"/>
      <c r="KY11" s="47">
        <v>130</v>
      </c>
      <c r="KZ11" s="46">
        <v>4021.5587829999999</v>
      </c>
      <c r="LA11" s="54">
        <f>KY11*KZ11</f>
        <v>522802.64178999997</v>
      </c>
      <c r="LB11" s="61">
        <v>85</v>
      </c>
      <c r="LC11" s="46">
        <f>KZ11</f>
        <v>4021.5587829999999</v>
      </c>
      <c r="LD11" s="54">
        <f t="shared" si="21"/>
        <v>341832.49655500002</v>
      </c>
      <c r="LE11" s="47">
        <v>290</v>
      </c>
      <c r="LF11" s="46">
        <f>KZ11</f>
        <v>4021.5587829999999</v>
      </c>
      <c r="LG11" s="167">
        <f>LE11*LF11</f>
        <v>1166252.0470700001</v>
      </c>
      <c r="LH11" s="168"/>
      <c r="LI11" s="47">
        <v>130</v>
      </c>
      <c r="LJ11" s="46">
        <v>4045.7620980000002</v>
      </c>
      <c r="LK11" s="54">
        <f>LI11*LJ11</f>
        <v>525949.07273999997</v>
      </c>
      <c r="LL11" s="61">
        <v>85</v>
      </c>
      <c r="LM11" s="46">
        <f>LJ11</f>
        <v>4045.7620980000002</v>
      </c>
      <c r="LN11" s="54">
        <f t="shared" si="22"/>
        <v>343889.77833</v>
      </c>
      <c r="LO11" s="47">
        <v>290</v>
      </c>
      <c r="LP11" s="46">
        <f>LJ11</f>
        <v>4045.7620980000002</v>
      </c>
      <c r="LQ11" s="167">
        <f>LO11*LP11</f>
        <v>1173271.0084200001</v>
      </c>
      <c r="LR11" s="168"/>
      <c r="LS11" s="47">
        <v>130</v>
      </c>
      <c r="LT11" s="46">
        <v>4009.1597510000001</v>
      </c>
      <c r="LU11" s="54">
        <f>LS11*LT11</f>
        <v>521190.76763000002</v>
      </c>
      <c r="LV11" s="61">
        <v>85</v>
      </c>
      <c r="LW11" s="46">
        <f>LT11</f>
        <v>4009.1597510000001</v>
      </c>
      <c r="LX11" s="54">
        <f t="shared" si="23"/>
        <v>340778.57883499999</v>
      </c>
      <c r="LY11" s="47">
        <v>290</v>
      </c>
      <c r="LZ11" s="46">
        <f>LT11</f>
        <v>4009.1597510000001</v>
      </c>
      <c r="MA11" s="167">
        <f>LY11*LZ11</f>
        <v>1162656.32779</v>
      </c>
      <c r="MB11" s="168"/>
      <c r="MC11" s="47">
        <v>130</v>
      </c>
      <c r="MD11" s="46">
        <v>3991.8452440000001</v>
      </c>
      <c r="ME11" s="54">
        <f>MC11*MD11</f>
        <v>518939.88172</v>
      </c>
      <c r="MF11" s="61">
        <v>85</v>
      </c>
      <c r="MG11" s="46">
        <f>MD11</f>
        <v>3991.8452440000001</v>
      </c>
      <c r="MH11" s="54">
        <f t="shared" si="24"/>
        <v>339306.84574000002</v>
      </c>
      <c r="MI11" s="47">
        <v>290</v>
      </c>
      <c r="MJ11" s="46">
        <f t="shared" si="25"/>
        <v>3991.8452440000001</v>
      </c>
      <c r="MK11" s="167">
        <f>MI11*MJ11</f>
        <v>1157635.1207600001</v>
      </c>
      <c r="ML11" s="168"/>
      <c r="MM11" s="47">
        <v>130</v>
      </c>
      <c r="MN11" s="46">
        <v>3999.5251979999998</v>
      </c>
      <c r="MO11" s="54">
        <f>MM11*MN11</f>
        <v>519938.27573999995</v>
      </c>
      <c r="MP11" s="61">
        <v>85</v>
      </c>
      <c r="MQ11" s="46">
        <f>MN11</f>
        <v>3999.5251979999998</v>
      </c>
      <c r="MR11" s="54">
        <f t="shared" si="26"/>
        <v>339959.64182999998</v>
      </c>
      <c r="MS11" s="47">
        <v>290</v>
      </c>
      <c r="MT11" s="46">
        <f>MN11</f>
        <v>3999.5251979999998</v>
      </c>
      <c r="MU11" s="167">
        <f>MS11*MT11</f>
        <v>1159862.30742</v>
      </c>
      <c r="MV11" s="168"/>
      <c r="MW11" s="47">
        <v>130</v>
      </c>
      <c r="MX11" s="46">
        <v>3970.4728359999999</v>
      </c>
      <c r="MY11" s="54">
        <f>MW11*MX11</f>
        <v>516161.46867999999</v>
      </c>
      <c r="MZ11" s="61">
        <v>85</v>
      </c>
      <c r="NA11" s="46">
        <f>MX11</f>
        <v>3970.4728359999999</v>
      </c>
      <c r="NB11" s="54">
        <f t="shared" si="27"/>
        <v>337490.19105999998</v>
      </c>
      <c r="NC11" s="47">
        <v>290</v>
      </c>
      <c r="ND11" s="46">
        <f>MX11</f>
        <v>3970.4728359999999</v>
      </c>
      <c r="NE11" s="167">
        <f>NC11*ND11</f>
        <v>1151437.1224400001</v>
      </c>
      <c r="NF11" s="168"/>
      <c r="NG11" s="47">
        <v>130</v>
      </c>
      <c r="NH11" s="46">
        <v>3965.1893920000002</v>
      </c>
      <c r="NI11" s="54">
        <f>NG11*NH11</f>
        <v>515474.62096000003</v>
      </c>
      <c r="NJ11" s="61">
        <v>85</v>
      </c>
      <c r="NK11" s="46">
        <f>NH11</f>
        <v>3965.1893920000002</v>
      </c>
      <c r="NL11" s="54">
        <f t="shared" si="28"/>
        <v>337041.09831999999</v>
      </c>
      <c r="NM11" s="47">
        <v>290</v>
      </c>
      <c r="NN11" s="46">
        <f t="shared" si="29"/>
        <v>3965.1893920000002</v>
      </c>
      <c r="NO11" s="167">
        <f>NM11*NN11</f>
        <v>1149904.92368</v>
      </c>
      <c r="NP11" s="168"/>
      <c r="NQ11" s="47">
        <v>130</v>
      </c>
      <c r="NR11" s="46">
        <v>3960.4779659999999</v>
      </c>
      <c r="NS11" s="54">
        <f>NQ11*NR11</f>
        <v>514862.13558</v>
      </c>
      <c r="NT11" s="61">
        <v>85</v>
      </c>
      <c r="NU11" s="46">
        <f>NR11</f>
        <v>3960.4779659999999</v>
      </c>
      <c r="NV11" s="54">
        <f t="shared" si="30"/>
        <v>336640.62711</v>
      </c>
      <c r="NW11" s="47">
        <v>290</v>
      </c>
      <c r="NX11" s="46">
        <f>NR11</f>
        <v>3960.4779659999999</v>
      </c>
      <c r="NY11" s="167">
        <f>NW11*NX11</f>
        <v>1148538.61014</v>
      </c>
      <c r="NZ11" s="168"/>
      <c r="OA11" s="47">
        <v>130</v>
      </c>
      <c r="OB11" s="46">
        <v>3955.777313</v>
      </c>
      <c r="OC11" s="54">
        <f>OA11*OB11</f>
        <v>514251.05069</v>
      </c>
      <c r="OD11" s="61">
        <v>85</v>
      </c>
      <c r="OE11" s="46">
        <f>OB11</f>
        <v>3955.777313</v>
      </c>
      <c r="OF11" s="54">
        <f t="shared" si="31"/>
        <v>336241.071605</v>
      </c>
      <c r="OG11" s="47">
        <v>290</v>
      </c>
      <c r="OH11" s="46">
        <f>OB11</f>
        <v>3955.777313</v>
      </c>
      <c r="OI11" s="167">
        <f>OG11*OH11</f>
        <v>1147175.42077</v>
      </c>
      <c r="OJ11" s="168"/>
      <c r="OK11" s="47">
        <v>130</v>
      </c>
      <c r="OL11" s="46">
        <v>3955.777313</v>
      </c>
      <c r="OM11" s="54">
        <f>OK11*OL11</f>
        <v>514251.05069</v>
      </c>
      <c r="ON11" s="61">
        <v>85</v>
      </c>
      <c r="OO11" s="46">
        <f>OL11</f>
        <v>3955.777313</v>
      </c>
      <c r="OP11" s="54">
        <f t="shared" si="32"/>
        <v>336241.071605</v>
      </c>
      <c r="OQ11" s="47">
        <v>290</v>
      </c>
      <c r="OR11" s="46">
        <f>OL11</f>
        <v>3955.777313</v>
      </c>
      <c r="OS11" s="167">
        <f>OQ11*OR11</f>
        <v>1147175.42077</v>
      </c>
      <c r="OT11" s="168"/>
      <c r="OU11" s="47">
        <v>130</v>
      </c>
      <c r="OV11" s="46">
        <v>3975.2750430000001</v>
      </c>
      <c r="OW11" s="54">
        <f>OU11*OV11</f>
        <v>516785.75559000002</v>
      </c>
      <c r="OX11" s="61">
        <v>85</v>
      </c>
      <c r="OY11" s="46">
        <f>OV11</f>
        <v>3975.2750430000001</v>
      </c>
      <c r="OZ11" s="54">
        <f t="shared" si="33"/>
        <v>337898.37865500001</v>
      </c>
      <c r="PA11" s="47">
        <v>290</v>
      </c>
      <c r="PB11" s="46">
        <f>OV11</f>
        <v>3975.2750430000001</v>
      </c>
      <c r="PC11" s="167">
        <f>PA11*PB11</f>
        <v>1152829.76247</v>
      </c>
      <c r="PD11" s="168"/>
      <c r="PE11" s="47">
        <v>130</v>
      </c>
      <c r="PF11" s="46">
        <v>3955.777313</v>
      </c>
      <c r="PG11" s="54">
        <f>PE11*PF11</f>
        <v>514251.05069</v>
      </c>
      <c r="PH11" s="61">
        <v>85</v>
      </c>
      <c r="PI11" s="46">
        <f>PF11</f>
        <v>3955.777313</v>
      </c>
      <c r="PJ11" s="54">
        <f t="shared" si="34"/>
        <v>336241.071605</v>
      </c>
      <c r="PK11" s="47">
        <v>290</v>
      </c>
      <c r="PL11" s="46">
        <f>PF11</f>
        <v>3955.777313</v>
      </c>
      <c r="PM11" s="167">
        <f>PK11*PL11</f>
        <v>1147175.42077</v>
      </c>
      <c r="PN11" s="168"/>
      <c r="PO11" s="47">
        <v>130</v>
      </c>
      <c r="PP11" s="46">
        <v>3955.777313</v>
      </c>
      <c r="PQ11" s="54">
        <f>PO11*PP11</f>
        <v>514251.05069</v>
      </c>
      <c r="PR11" s="61">
        <v>85</v>
      </c>
      <c r="PS11" s="46">
        <f>PP11</f>
        <v>3955.777313</v>
      </c>
      <c r="PT11" s="54">
        <f t="shared" si="35"/>
        <v>336241.071605</v>
      </c>
      <c r="PU11" s="47">
        <v>290</v>
      </c>
      <c r="PV11" s="46">
        <f>PP11</f>
        <v>3955.777313</v>
      </c>
      <c r="PW11" s="167">
        <f>PU11*PV11</f>
        <v>1147175.42077</v>
      </c>
      <c r="PX11" s="168"/>
      <c r="PY11" s="47">
        <v>130</v>
      </c>
      <c r="PZ11" s="46">
        <v>3955.777313</v>
      </c>
      <c r="QA11" s="54">
        <f>PY11*PZ11</f>
        <v>514251.05069</v>
      </c>
      <c r="QB11" s="61">
        <v>85</v>
      </c>
      <c r="QC11" s="46">
        <f>PZ11</f>
        <v>3955.777313</v>
      </c>
      <c r="QD11" s="54">
        <f t="shared" si="36"/>
        <v>336241.071605</v>
      </c>
      <c r="QE11" s="47">
        <v>290</v>
      </c>
      <c r="QF11" s="46">
        <f>PZ11</f>
        <v>3955.777313</v>
      </c>
      <c r="QG11" s="167">
        <f>QE11*QF11</f>
        <v>1147175.42077</v>
      </c>
      <c r="QH11" s="168"/>
      <c r="QI11" s="47">
        <v>130</v>
      </c>
      <c r="QJ11" s="46">
        <v>3955.777313</v>
      </c>
      <c r="QK11" s="54">
        <f>QI11*QJ11</f>
        <v>514251.05069</v>
      </c>
      <c r="QL11" s="61">
        <v>85</v>
      </c>
      <c r="QM11" s="46">
        <f>QJ11</f>
        <v>3955.777313</v>
      </c>
      <c r="QN11" s="54">
        <f t="shared" si="37"/>
        <v>336241.071605</v>
      </c>
      <c r="QO11" s="47">
        <v>290</v>
      </c>
      <c r="QP11" s="46">
        <f>QJ11</f>
        <v>3955.777313</v>
      </c>
      <c r="QQ11" s="167">
        <f>QO11*QP11</f>
        <v>1147175.42077</v>
      </c>
      <c r="QR11" s="168"/>
      <c r="QS11" s="47">
        <v>130</v>
      </c>
      <c r="QT11" s="46">
        <v>3955.777313</v>
      </c>
      <c r="QU11" s="54">
        <f>QS11*QT11</f>
        <v>514251.05069</v>
      </c>
      <c r="QV11" s="61">
        <v>85</v>
      </c>
      <c r="QW11" s="46">
        <f>QT11</f>
        <v>3955.777313</v>
      </c>
      <c r="QX11" s="54">
        <f t="shared" si="38"/>
        <v>336241.071605</v>
      </c>
      <c r="QY11" s="47">
        <v>290</v>
      </c>
      <c r="QZ11" s="46">
        <f>QT11</f>
        <v>3955.777313</v>
      </c>
      <c r="RA11" s="167">
        <f>QY11*QZ11</f>
        <v>1147175.42077</v>
      </c>
      <c r="RB11" s="168"/>
      <c r="RC11" s="47">
        <v>130</v>
      </c>
      <c r="RD11" s="46">
        <v>3955.777313</v>
      </c>
      <c r="RE11" s="54">
        <f>RC11*RD11</f>
        <v>514251.05069</v>
      </c>
      <c r="RF11" s="61">
        <v>85</v>
      </c>
      <c r="RG11" s="46">
        <f>RD11</f>
        <v>3955.777313</v>
      </c>
      <c r="RH11" s="54">
        <f t="shared" si="39"/>
        <v>336241.071605</v>
      </c>
      <c r="RI11" s="47">
        <v>290</v>
      </c>
      <c r="RJ11" s="46">
        <f>RD11</f>
        <v>3955.777313</v>
      </c>
      <c r="RK11" s="167">
        <f>RI11*RJ11</f>
        <v>1147175.42077</v>
      </c>
      <c r="RL11" s="168"/>
      <c r="RM11" s="47">
        <v>130</v>
      </c>
      <c r="RN11" s="46">
        <v>3955.777313</v>
      </c>
      <c r="RO11" s="54">
        <f>RM11*RN11</f>
        <v>514251.05069</v>
      </c>
      <c r="RP11" s="61">
        <v>85</v>
      </c>
      <c r="RQ11" s="46">
        <f>RN11</f>
        <v>3955.777313</v>
      </c>
      <c r="RR11" s="54">
        <f t="shared" si="40"/>
        <v>336241.071605</v>
      </c>
      <c r="RS11" s="47">
        <v>290</v>
      </c>
      <c r="RT11" s="46">
        <f>RN11</f>
        <v>3955.777313</v>
      </c>
      <c r="RU11" s="167">
        <f>RS11*RT11</f>
        <v>1147175.42077</v>
      </c>
    </row>
    <row r="12" spans="1:489" ht="15.75" customHeight="1" thickBot="1" x14ac:dyDescent="0.3">
      <c r="A12" s="88" t="s">
        <v>162</v>
      </c>
      <c r="B12" s="17"/>
      <c r="C12" s="46"/>
      <c r="D12" s="54"/>
      <c r="E12" s="61"/>
      <c r="F12" s="46"/>
      <c r="G12" s="54"/>
      <c r="H12" s="47"/>
      <c r="I12" s="46"/>
      <c r="J12" s="167"/>
      <c r="K12" s="47"/>
      <c r="L12" s="46"/>
      <c r="M12" s="54"/>
      <c r="N12" s="61"/>
      <c r="O12" s="46"/>
      <c r="P12" s="54"/>
      <c r="Q12" s="47"/>
      <c r="R12" s="46"/>
      <c r="S12" s="167"/>
      <c r="T12" s="168"/>
      <c r="U12" s="47"/>
      <c r="V12" s="87"/>
      <c r="W12" s="54"/>
      <c r="X12" s="61"/>
      <c r="Y12" s="46"/>
      <c r="Z12" s="54"/>
      <c r="AA12" s="47"/>
      <c r="AB12" s="46"/>
      <c r="AC12" s="167"/>
      <c r="AD12" s="168"/>
      <c r="AE12" s="47"/>
      <c r="AF12" s="46"/>
      <c r="AG12" s="57">
        <f>SUM(AG6,AG8,AG10,AG11)</f>
        <v>1992950.1801648701</v>
      </c>
      <c r="AH12" s="61"/>
      <c r="AI12" s="46"/>
      <c r="AJ12" s="57">
        <f>SUM(AJ6,AJ8,AJ10,AJ11)</f>
        <v>327733.78158000001</v>
      </c>
      <c r="AK12" s="47"/>
      <c r="AL12" s="46"/>
      <c r="AM12" s="57">
        <f>SUM(AM6,AM8,AM10,AM11)</f>
        <v>1385565.9063347699</v>
      </c>
      <c r="AN12" s="168"/>
      <c r="AO12" s="47"/>
      <c r="AP12" s="46"/>
      <c r="AQ12" s="57">
        <f>SUM(AQ6,AQ8,AQ10,AQ11)</f>
        <v>1992950.1801648701</v>
      </c>
      <c r="AR12" s="61"/>
      <c r="AS12" s="46"/>
      <c r="AT12" s="57">
        <f>SUM(AT6,AT8,AT10,AT11)</f>
        <v>327733.78158000001</v>
      </c>
      <c r="AU12" s="47"/>
      <c r="AV12" s="46"/>
      <c r="AW12" s="57">
        <f>SUM(AW6,AW8,AW10,AW11)</f>
        <v>1385565.9063347699</v>
      </c>
      <c r="AX12" s="168"/>
      <c r="AY12" s="47"/>
      <c r="AZ12" s="46"/>
      <c r="BA12" s="57">
        <f>SUM(BA7,BA6,BA8,BA10,BA11)</f>
        <v>6654548.3115961589</v>
      </c>
      <c r="BB12" s="61"/>
      <c r="BC12" s="46"/>
      <c r="BD12" s="57">
        <f>SUM(BD6,BD8,BD10,BD11)</f>
        <v>333858.18653499999</v>
      </c>
      <c r="BE12" s="47"/>
      <c r="BF12" s="46"/>
      <c r="BG12" s="57">
        <f>SUM(BG6,BG7,BG8,BG10,BG11)</f>
        <v>1476618.2208316401</v>
      </c>
      <c r="BH12" s="168"/>
      <c r="BI12" s="47"/>
      <c r="BJ12" s="46"/>
      <c r="BK12" s="57">
        <f>SUM(BK7,BK6,BK8,BK10,BK11)</f>
        <v>1964137.06695185</v>
      </c>
      <c r="BL12" s="61"/>
      <c r="BM12" s="46"/>
      <c r="BN12" s="57">
        <f>SUM(BN6,BN8,BN10,BN11)</f>
        <v>334021.71653500001</v>
      </c>
      <c r="BO12" s="47"/>
      <c r="BP12" s="46"/>
      <c r="BQ12" s="57">
        <f>SUM(BQ6,BQ7,BQ8,BQ10,BQ11)</f>
        <v>1477418.1385373999</v>
      </c>
      <c r="BR12" s="168"/>
      <c r="BS12" s="47"/>
      <c r="BT12" s="46"/>
      <c r="BU12" s="57">
        <f>SUM(BU7,BU6,BU8,BU10,BU11)</f>
        <v>1055725.53954815</v>
      </c>
      <c r="BV12" s="61"/>
      <c r="BW12" s="46"/>
      <c r="BX12" s="57">
        <f>SUM(BX6,BX8,BX10,BX11)</f>
        <v>334668.37874000001</v>
      </c>
      <c r="BY12" s="47"/>
      <c r="BZ12" s="46"/>
      <c r="CA12" s="57">
        <f>SUM(CA6,CA7,CA8,CA10,CA11)</f>
        <v>1479831.08634524</v>
      </c>
      <c r="CB12" s="168"/>
      <c r="CC12" s="47"/>
      <c r="CD12" s="46"/>
      <c r="CE12" s="57">
        <f>SUM(CE7,CE6,CE8,CE10,CE11)</f>
        <v>864479.52048419998</v>
      </c>
      <c r="CF12" s="61"/>
      <c r="CG12" s="46"/>
      <c r="CH12" s="57">
        <f>SUM(CH6,CH8,CH10,CH11)</f>
        <v>337298.64899999998</v>
      </c>
      <c r="CI12" s="47"/>
      <c r="CJ12" s="46"/>
      <c r="CK12" s="57">
        <f>SUM(CK6,CK7,CK8,CK10,CK11)</f>
        <v>1494243.9279297499</v>
      </c>
      <c r="CL12" s="168"/>
      <c r="CM12" s="47"/>
      <c r="CN12" s="46"/>
      <c r="CO12" s="57">
        <f>SUM(CO7,CO6,CO8,CO10,CO11)</f>
        <v>950539.92142424011</v>
      </c>
      <c r="CP12" s="61"/>
      <c r="CQ12" s="46"/>
      <c r="CR12" s="57">
        <f>SUM(CR6,CR8,CR10,CR11)</f>
        <v>336874.15338999999</v>
      </c>
      <c r="CS12" s="47"/>
      <c r="CT12" s="46"/>
      <c r="CU12" s="57">
        <f>SUM(CU6,CU7,CU8,CU10,CU11)-0.01</f>
        <v>1487783.07420088</v>
      </c>
      <c r="CV12" s="168"/>
      <c r="CW12" s="58"/>
      <c r="CX12" s="86"/>
      <c r="CY12" s="91">
        <f>SUM(CY7,CY6,CY8,CY10,CY11)</f>
        <v>912054.75183319999</v>
      </c>
      <c r="CZ12" s="90"/>
      <c r="DA12" s="86"/>
      <c r="DB12" s="91">
        <f>SUM(DB6,DB8,DB10,DB11)</f>
        <v>337192.06018999999</v>
      </c>
      <c r="DC12" s="58"/>
      <c r="DD12" s="86"/>
      <c r="DE12" s="91">
        <f>SUM(DE6,DE7,DE8,DE10,DE11)-0.01</f>
        <v>1488867.6974008798</v>
      </c>
      <c r="DF12" s="168"/>
      <c r="DG12" s="58"/>
      <c r="DH12" s="86"/>
      <c r="DI12" s="91">
        <f>SUM(DI7,DI6,DI8,DI10,DI11)</f>
        <v>882454.95154574001</v>
      </c>
      <c r="DJ12" s="90"/>
      <c r="DK12" s="86"/>
      <c r="DL12" s="91">
        <f>SUM(DL6,DL8,DL10,DL11)</f>
        <v>337520.27434499998</v>
      </c>
      <c r="DM12" s="58"/>
      <c r="DN12" s="86"/>
      <c r="DO12" s="91">
        <f>SUM(DO6,DO7,DO8,DO10,DO11)</f>
        <v>1490221.32299056</v>
      </c>
      <c r="DP12" s="168"/>
      <c r="DQ12" s="58"/>
      <c r="DR12" s="86"/>
      <c r="DS12" s="91">
        <f>SUM(DS7,DS6,DS8,DS10,DS11)</f>
        <v>1180033.2719570301</v>
      </c>
      <c r="DT12" s="90"/>
      <c r="DU12" s="86"/>
      <c r="DV12" s="91">
        <f>SUM(DV6,DV8,DV10,DV11)</f>
        <v>337818.24419500004</v>
      </c>
      <c r="DW12" s="58"/>
      <c r="DX12" s="86"/>
      <c r="DY12" s="91">
        <f>SUM(DY6,DY7,DY8,DY10,DY11)</f>
        <v>1491306.9333965201</v>
      </c>
      <c r="DZ12" s="168"/>
      <c r="EA12" s="58"/>
      <c r="EB12" s="86"/>
      <c r="EC12" s="91">
        <f>SUM(EC7,EC6,EC8,EC10,EC11)</f>
        <v>972288.96036799997</v>
      </c>
      <c r="ED12" s="90"/>
      <c r="EE12" s="86"/>
      <c r="EF12" s="91">
        <f>SUM(EF6,EF8,EF10,EF11)</f>
        <v>337860.21357000002</v>
      </c>
      <c r="EG12" s="58"/>
      <c r="EH12" s="86"/>
      <c r="EI12" s="91">
        <f>SUM(EI6,EI7,EI8,EI10,EI11)</f>
        <v>1491596.1621080001</v>
      </c>
      <c r="EJ12" s="168"/>
      <c r="EK12" s="58"/>
      <c r="EL12" s="86"/>
      <c r="EM12" s="91">
        <f>SUM(EM7,EM6,EM8,EM10,EM11)</f>
        <v>893336.37022364</v>
      </c>
      <c r="EN12" s="90"/>
      <c r="EO12" s="86"/>
      <c r="EP12" s="91">
        <f>SUM(EP6,EP8,EP10,EP11)</f>
        <v>337979.05963500001</v>
      </c>
      <c r="EQ12" s="58"/>
      <c r="ER12" s="86"/>
      <c r="ES12" s="91">
        <f>SUM(ES6,ES7,ES8,ES10,ES11)</f>
        <v>1492092.43287584</v>
      </c>
      <c r="ET12" s="168"/>
      <c r="EU12" s="58"/>
      <c r="EV12" s="86"/>
      <c r="EW12" s="91">
        <f>SUM(EW7,EW6,EW8,EW10,EW11)</f>
        <v>659665.60380447994</v>
      </c>
      <c r="EX12" s="90"/>
      <c r="EY12" s="86"/>
      <c r="EZ12" s="91">
        <f>SUM(EZ6,EZ8,EZ10,EZ11)</f>
        <v>338610.53092499997</v>
      </c>
      <c r="FA12" s="58"/>
      <c r="FB12" s="86"/>
      <c r="FC12" s="91">
        <f>SUM(FC6,FC7,FC8,FC10,FC11)</f>
        <v>1499562.32889653</v>
      </c>
      <c r="FD12" s="168"/>
      <c r="FE12" s="58"/>
      <c r="FF12" s="86"/>
      <c r="FG12" s="91">
        <f>SUM(FG7,FG6,FG8,FG10,FG11)</f>
        <v>1150773.6935803201</v>
      </c>
      <c r="FH12" s="90"/>
      <c r="FI12" s="86"/>
      <c r="FJ12" s="91">
        <f>SUM(FJ6,FJ8,FJ10,FJ11)</f>
        <v>337695.26869</v>
      </c>
      <c r="FK12" s="58"/>
      <c r="FL12" s="86"/>
      <c r="FM12" s="91">
        <f>SUM(FM6,FM7,FM8,FM10,FM11)</f>
        <v>1491218.13040864</v>
      </c>
      <c r="FN12" s="168"/>
      <c r="FO12" s="58"/>
      <c r="FP12" s="86"/>
      <c r="FQ12" s="91">
        <f>SUM(FQ7,FQ6,FQ8,FQ10,FQ11)</f>
        <v>1151111.2253054399</v>
      </c>
      <c r="FR12" s="90"/>
      <c r="FS12" s="86"/>
      <c r="FT12" s="91">
        <f>SUM(FT6,FT8,FT10,FT11)</f>
        <v>337812.65266999998</v>
      </c>
      <c r="FU12" s="58"/>
      <c r="FV12" s="86"/>
      <c r="FW12" s="91">
        <f>SUM(FW6,FW7,FW8,FW10,FW11)</f>
        <v>1491709.1885978798</v>
      </c>
      <c r="FX12" s="168"/>
      <c r="FY12" s="58"/>
      <c r="FZ12" s="86"/>
      <c r="GA12" s="91">
        <f>SUM(GA7,GA6,GA8,GA10,GA11)</f>
        <v>962680.33671754994</v>
      </c>
      <c r="GB12" s="90"/>
      <c r="GC12" s="86"/>
      <c r="GD12" s="91">
        <f>SUM(GD6,GD8,GD10,GD11)</f>
        <v>337689.91606999998</v>
      </c>
      <c r="GE12" s="58"/>
      <c r="GF12" s="86"/>
      <c r="GG12" s="91">
        <f>SUM(GG6,GG7,GG8,GG10,GG11)</f>
        <v>1491334.7259269198</v>
      </c>
      <c r="GH12" s="168"/>
      <c r="GI12" s="58"/>
      <c r="GJ12" s="86"/>
      <c r="GK12" s="91">
        <f>SUM(GK7,GK6,GK8,GK10,GK11)</f>
        <v>1085499.0707199401</v>
      </c>
      <c r="GL12" s="90"/>
      <c r="GM12" s="86"/>
      <c r="GN12" s="91">
        <f>SUM(GN6,GN8,GN10,GN11)</f>
        <v>340101.10545999999</v>
      </c>
      <c r="GO12" s="58"/>
      <c r="GP12" s="86"/>
      <c r="GQ12" s="91">
        <f>SUM(GQ6,GQ7,GQ8,GQ10,GQ11)</f>
        <v>1500018.88277176</v>
      </c>
      <c r="GR12" s="168"/>
      <c r="GS12" s="58"/>
      <c r="GT12" s="86"/>
      <c r="GU12" s="91">
        <f>SUM(GU7,GU6,GU8,GU10,GU11)</f>
        <v>958740.73654720001</v>
      </c>
      <c r="GV12" s="90"/>
      <c r="GW12" s="86"/>
      <c r="GX12" s="91">
        <f>SUM(GX6,GX8,GX10,GX11)</f>
        <v>341455.32792499999</v>
      </c>
      <c r="GY12" s="58"/>
      <c r="GZ12" s="86"/>
      <c r="HA12" s="91">
        <f>SUM(HA6,HA7,HA8,HA10,HA11)</f>
        <v>1504927.6683823999</v>
      </c>
      <c r="HB12" s="168"/>
      <c r="HC12" s="58"/>
      <c r="HD12" s="86"/>
      <c r="HE12" s="91">
        <f>SUM(HE7,HE6,HE8,HE10,HE11)</f>
        <v>958740.73654720001</v>
      </c>
      <c r="HF12" s="90"/>
      <c r="HG12" s="86"/>
      <c r="HH12" s="91">
        <f>SUM(HH6,HH8,HH10,HH11)</f>
        <v>341455.32792499999</v>
      </c>
      <c r="HI12" s="58"/>
      <c r="HJ12" s="86"/>
      <c r="HK12" s="91">
        <f>SUM(HK6,HK7,HK8,HK10,HK11)</f>
        <v>1504927.6683823999</v>
      </c>
      <c r="HL12" s="168"/>
      <c r="HM12" s="58"/>
      <c r="HN12" s="86"/>
      <c r="HO12" s="91">
        <f>SUM(HO7,HO6,HO8,HO10,HO11)</f>
        <v>894385.51166174002</v>
      </c>
      <c r="HP12" s="90"/>
      <c r="HQ12" s="86"/>
      <c r="HR12" s="91">
        <f>SUM(HR6,HR8,HR10,HR11)</f>
        <v>344723.83836499997</v>
      </c>
      <c r="HS12" s="58"/>
      <c r="HT12" s="86"/>
      <c r="HU12" s="91">
        <f>SUM(HU6,HU7,HU8,HU10,HU11)</f>
        <v>1516782.9490785601</v>
      </c>
      <c r="HV12" s="168"/>
      <c r="HW12" s="58"/>
      <c r="HX12" s="86"/>
      <c r="HY12" s="91">
        <f>SUM(HY7,HY6,HY8,HY10,HY11)</f>
        <v>869376.46493999998</v>
      </c>
      <c r="HZ12" s="90"/>
      <c r="IA12" s="86"/>
      <c r="IB12" s="91">
        <f>SUM(IB6,IB8,IB10,IB11)</f>
        <v>347798.07322999998</v>
      </c>
      <c r="IC12" s="58"/>
      <c r="ID12" s="86"/>
      <c r="IE12" s="91">
        <f>SUM(IE6,IE7,IE8,IE10,IE11)</f>
        <v>1527874.3525080001</v>
      </c>
      <c r="IF12" s="168"/>
      <c r="IG12" s="58"/>
      <c r="IH12" s="86"/>
      <c r="II12" s="91">
        <f>SUM(II7,II6,II8,II10,II11)</f>
        <v>947643.68845684</v>
      </c>
      <c r="IJ12" s="90"/>
      <c r="IK12" s="86"/>
      <c r="IL12" s="91">
        <f>SUM(IL6,IL8,IL10,IL11)</f>
        <v>346969.27035999997</v>
      </c>
      <c r="IM12" s="58"/>
      <c r="IN12" s="86"/>
      <c r="IO12" s="91">
        <f>SUM(IO6,IO7,IO8,IO10,IO11)</f>
        <v>1485275.9509604801</v>
      </c>
      <c r="IP12" s="168"/>
      <c r="IQ12" s="58"/>
      <c r="IR12" s="86"/>
      <c r="IS12" s="91">
        <f>SUM(IS7,IS6,IS8,IS10,IS11)</f>
        <v>1213226.2456980101</v>
      </c>
      <c r="IT12" s="90"/>
      <c r="IU12" s="86"/>
      <c r="IV12" s="91">
        <f>SUM(IV6,IV8,IV10,IV11)</f>
        <v>345236.74578999996</v>
      </c>
      <c r="IW12" s="58"/>
      <c r="IX12" s="86"/>
      <c r="IY12" s="91">
        <f>SUM(IY6,IY7,IY8,IY10,IY11)</f>
        <v>1479149.75086696</v>
      </c>
      <c r="IZ12" s="168"/>
      <c r="JA12" s="58"/>
      <c r="JB12" s="86"/>
      <c r="JC12" s="91">
        <f>SUM(JC7,JC6,JC8,JC10,JC11)</f>
        <v>901319.11488558003</v>
      </c>
      <c r="JD12" s="90"/>
      <c r="JE12" s="86"/>
      <c r="JF12" s="91">
        <f>SUM(JF6,JF8,JF10,JF11)</f>
        <v>342523.30591999996</v>
      </c>
      <c r="JG12" s="58"/>
      <c r="JH12" s="86"/>
      <c r="JI12" s="91">
        <f>SUM(JI6,JI7,JI8,JI10,JI11)</f>
        <v>1469500.2447698398</v>
      </c>
      <c r="JJ12" s="168"/>
      <c r="JK12" s="58"/>
      <c r="JL12" s="86"/>
      <c r="JM12" s="91">
        <f>SUM(JM7,JM6,JM8,JM10,JM11)</f>
        <v>878019.80388932</v>
      </c>
      <c r="JN12" s="90"/>
      <c r="JO12" s="86"/>
      <c r="JP12" s="91">
        <f>SUM(JP6,JP8,JP10,JP11)</f>
        <v>340220.41265000001</v>
      </c>
      <c r="JQ12" s="58"/>
      <c r="JR12" s="86"/>
      <c r="JS12" s="91">
        <f>SUM(JS6,JS7,JS8,JS10,JS11)</f>
        <v>1540820.3758558398</v>
      </c>
      <c r="JT12" s="168"/>
      <c r="JU12" s="58"/>
      <c r="JV12" s="86"/>
      <c r="JW12" s="91">
        <f>SUM(JW7,JW6,JW8,JW10,JW11)</f>
        <v>932458.99095956003</v>
      </c>
      <c r="JX12" s="90"/>
      <c r="JY12" s="86"/>
      <c r="JZ12" s="91">
        <f>SUM(JZ6,JZ8,JZ10,JZ11)</f>
        <v>336769.05854</v>
      </c>
      <c r="KA12" s="58"/>
      <c r="KB12" s="86"/>
      <c r="KC12" s="91">
        <f>SUM(KC6,KC7,KC8,KC10,KC11)</f>
        <v>1535851.2110593801</v>
      </c>
      <c r="KD12" s="168"/>
      <c r="KE12" s="58"/>
      <c r="KF12" s="86"/>
      <c r="KG12" s="91">
        <f>SUM(KG7,KG6,KG8,KG10,KG11)</f>
        <v>922152.05020703003</v>
      </c>
      <c r="KH12" s="90"/>
      <c r="KI12" s="86"/>
      <c r="KJ12" s="91">
        <f>SUM(KJ6,KJ8,KJ10,KJ11)</f>
        <v>336461.53491500003</v>
      </c>
      <c r="KK12" s="58"/>
      <c r="KL12" s="86"/>
      <c r="KM12" s="91">
        <f>SUM(KM6,KM7,KM8,KM10,KM11)</f>
        <v>1534947.99281124</v>
      </c>
      <c r="KN12" s="168"/>
      <c r="KO12" s="58"/>
      <c r="KP12" s="86"/>
      <c r="KQ12" s="91">
        <f>SUM(KQ7,KQ6,KQ8,KQ10,KQ11)</f>
        <v>936891.13294544001</v>
      </c>
      <c r="KR12" s="90"/>
      <c r="KS12" s="86"/>
      <c r="KT12" s="91">
        <f>SUM(KT6,KT8,KT10,KT11)</f>
        <v>339531.01938499999</v>
      </c>
      <c r="KU12" s="58"/>
      <c r="KV12" s="86"/>
      <c r="KW12" s="91">
        <f>SUM(KW6,KW7,KW8,KW10,KW11)</f>
        <v>1546025.5630821402</v>
      </c>
      <c r="KX12" s="168"/>
      <c r="KY12" s="58"/>
      <c r="KZ12" s="86"/>
      <c r="LA12" s="91">
        <f>SUM(LA7,LA6,LA8,LA10,LA11)</f>
        <v>771440.98645624996</v>
      </c>
      <c r="LB12" s="90"/>
      <c r="LC12" s="86"/>
      <c r="LD12" s="91">
        <f>SUM(LD6,LD8,LD10,LD11)</f>
        <v>341832.49655500002</v>
      </c>
      <c r="LE12" s="58"/>
      <c r="LF12" s="86"/>
      <c r="LG12" s="91">
        <f>SUM(LG6,LG7,LG8,LG10,LG11)</f>
        <v>1546865.4258908001</v>
      </c>
      <c r="LH12" s="168"/>
      <c r="LI12" s="58"/>
      <c r="LJ12" s="86"/>
      <c r="LK12" s="91">
        <f>SUM(LK7,LK6,LK8,LK10,LK11)</f>
        <v>953713.55007568991</v>
      </c>
      <c r="LL12" s="90"/>
      <c r="LM12" s="86"/>
      <c r="LN12" s="91">
        <f>SUM(LN6,LN8,LN10,LN11)</f>
        <v>343889.77833</v>
      </c>
      <c r="LO12" s="58"/>
      <c r="LP12" s="86"/>
      <c r="LQ12" s="91">
        <f>SUM(LQ6,LQ7,LQ8,LQ10,LQ11)</f>
        <v>1554332.6907025601</v>
      </c>
      <c r="LR12" s="168"/>
      <c r="LS12" s="58"/>
      <c r="LT12" s="86"/>
      <c r="LU12" s="91">
        <f>SUM(LU7,LU6,LU8,LU10,LU11)</f>
        <v>869457.88349974994</v>
      </c>
      <c r="LV12" s="90"/>
      <c r="LW12" s="86"/>
      <c r="LX12" s="91">
        <f>SUM(LX6,LX8,LX10,LX11)</f>
        <v>340778.57883499999</v>
      </c>
      <c r="LY12" s="58"/>
      <c r="LZ12" s="86"/>
      <c r="MA12" s="91">
        <f>SUM(MA6,MA7,MA8,MA10,MA11)</f>
        <v>1574375.83489175</v>
      </c>
      <c r="MB12" s="168"/>
      <c r="MC12" s="58"/>
      <c r="MD12" s="86"/>
      <c r="ME12" s="91">
        <f>SUM(ME7,ME6,ME8,ME10,ME11)</f>
        <v>887199.68140300002</v>
      </c>
      <c r="MF12" s="90"/>
      <c r="MG12" s="86"/>
      <c r="MH12" s="91">
        <f>SUM(MH6,MH8,MH10,MH11)</f>
        <v>339306.84574000002</v>
      </c>
      <c r="MI12" s="58"/>
      <c r="MJ12" s="86"/>
      <c r="MK12" s="91">
        <f>SUM(MK6,MK7,MK8,MK10,MK11)</f>
        <v>1573653.970101</v>
      </c>
      <c r="ML12" s="168"/>
      <c r="MM12" s="58"/>
      <c r="MN12" s="86"/>
      <c r="MO12" s="91">
        <f>SUM(MO7,MO6,MO8,MO10,MO11)</f>
        <v>519938.27573999995</v>
      </c>
      <c r="MP12" s="90"/>
      <c r="MQ12" s="86"/>
      <c r="MR12" s="91">
        <f>SUM(MR6,MR8,MR10,MR11)</f>
        <v>339959.64182999998</v>
      </c>
      <c r="MS12" s="58"/>
      <c r="MT12" s="86"/>
      <c r="MU12" s="91">
        <f>SUM(MU6,MU7,MU8,MU10,MU11)</f>
        <v>1222357.8738199999</v>
      </c>
      <c r="MV12" s="168"/>
      <c r="MW12" s="58"/>
      <c r="MX12" s="86"/>
      <c r="MY12" s="91">
        <f>SUM(MY7,MY6,MY8,MY10,MY11)</f>
        <v>1631449.2314092801</v>
      </c>
      <c r="MZ12" s="90"/>
      <c r="NA12" s="86"/>
      <c r="NB12" s="91">
        <f>SUM(NB6,NB8,NB10,NB11)</f>
        <v>337490.19105999998</v>
      </c>
      <c r="NC12" s="58"/>
      <c r="ND12" s="86"/>
      <c r="NE12" s="91">
        <f>SUM(NE6,NE7,NE8,NE10,NE11)</f>
        <v>1562972.5399409002</v>
      </c>
      <c r="NF12" s="168"/>
      <c r="NG12" s="58"/>
      <c r="NH12" s="86"/>
      <c r="NI12" s="91">
        <f>SUM(NI7,NI6,NI8,NI10,NI11)</f>
        <v>973653.33446426003</v>
      </c>
      <c r="NJ12" s="90"/>
      <c r="NK12" s="86"/>
      <c r="NL12" s="91">
        <f>SUM(NL6,NL8,NL10,NL11)</f>
        <v>337041.09831999999</v>
      </c>
      <c r="NM12" s="58"/>
      <c r="NN12" s="86"/>
      <c r="NO12" s="91">
        <f>SUM(NO6,NO7,NO8,NO10,NO11)</f>
        <v>1563002.6471696598</v>
      </c>
      <c r="NP12" s="168"/>
      <c r="NQ12" s="58"/>
      <c r="NR12" s="86"/>
      <c r="NS12" s="91">
        <f>SUM(NS7,NS6,NS8,NS10,NS11)</f>
        <v>893451.86150576</v>
      </c>
      <c r="NT12" s="90"/>
      <c r="NU12" s="86"/>
      <c r="NV12" s="91">
        <f>SUM(NV6,NV8,NV10,NV11)</f>
        <v>336640.62711</v>
      </c>
      <c r="NW12" s="58"/>
      <c r="NX12" s="86"/>
      <c r="NY12" s="91">
        <f>SUM(NY6,NY7,NY8,NY10,NY11)</f>
        <v>1550136.2952836801</v>
      </c>
      <c r="NZ12" s="168"/>
      <c r="OA12" s="58"/>
      <c r="OB12" s="86"/>
      <c r="OC12" s="91">
        <f>SUM(OC7,OC6,OC8,OC10,OC11)</f>
        <v>962692.6723201999</v>
      </c>
      <c r="OD12" s="90"/>
      <c r="OE12" s="86"/>
      <c r="OF12" s="91">
        <f>SUM(OF6,OF8,OF10,OF11)</f>
        <v>336241.071605</v>
      </c>
      <c r="OG12" s="58"/>
      <c r="OH12" s="86"/>
      <c r="OI12" s="91">
        <f>SUM(OI6,OI7,OI8,OI10,OI11)</f>
        <v>1538827.36284548</v>
      </c>
      <c r="OJ12" s="168"/>
      <c r="OK12" s="58"/>
      <c r="OL12" s="86"/>
      <c r="OM12" s="91">
        <f>SUM(OM7,OM6,OM8,OM10,OM11)</f>
        <v>962692.6723201999</v>
      </c>
      <c r="ON12" s="90"/>
      <c r="OO12" s="86"/>
      <c r="OP12" s="91">
        <f>SUM(OP6,OP8,OP10,OP11)</f>
        <v>336241.071605</v>
      </c>
      <c r="OQ12" s="58"/>
      <c r="OR12" s="86"/>
      <c r="OS12" s="91">
        <f>SUM(OS6,OS7,OS8,OS10,OS11)</f>
        <v>1448839.8520394401</v>
      </c>
      <c r="OT12" s="168"/>
      <c r="OU12" s="58"/>
      <c r="OV12" s="86"/>
      <c r="OW12" s="91">
        <f>SUM(OW7,OW6,OW8,OW10,OW11)</f>
        <v>965450.80197719997</v>
      </c>
      <c r="OX12" s="90"/>
      <c r="OY12" s="86"/>
      <c r="OZ12" s="91">
        <f>SUM(OZ6,OZ8,OZ10,OZ11)</f>
        <v>337898.37865500001</v>
      </c>
      <c r="PA12" s="58"/>
      <c r="PB12" s="86"/>
      <c r="PC12" s="91">
        <f>SUM(PC6,PC7,PC8,PC10,PC11)</f>
        <v>1454613.3536098399</v>
      </c>
      <c r="PD12" s="168"/>
      <c r="PE12" s="58"/>
      <c r="PF12" s="86"/>
      <c r="PG12" s="91">
        <f>SUM(PG7,PG6,PG8,PG10,PG11)</f>
        <v>962692.6723201999</v>
      </c>
      <c r="PH12" s="90"/>
      <c r="PI12" s="86"/>
      <c r="PJ12" s="91">
        <f>SUM(PJ6,PJ8,PJ10,PJ11)</f>
        <v>336241.071605</v>
      </c>
      <c r="PK12" s="58"/>
      <c r="PL12" s="86"/>
      <c r="PM12" s="91">
        <f>SUM(PM6,PM7,PM8,PM10,PM11)</f>
        <v>1448839.8520394401</v>
      </c>
      <c r="PN12" s="168"/>
      <c r="PO12" s="58"/>
      <c r="PP12" s="86"/>
      <c r="PQ12" s="91">
        <f>SUM(PQ7,PQ6,PQ8,PQ10,PQ11)</f>
        <v>962692.6723201999</v>
      </c>
      <c r="PR12" s="90"/>
      <c r="PS12" s="86"/>
      <c r="PT12" s="91">
        <f>SUM(PT6,PT8,PT10,PT11)</f>
        <v>336241.071605</v>
      </c>
      <c r="PU12" s="58"/>
      <c r="PV12" s="86"/>
      <c r="PW12" s="91">
        <f>SUM(PW6,PW7,PW8,PW10,PW11)</f>
        <v>1448839.8520394401</v>
      </c>
      <c r="PX12" s="168"/>
      <c r="PY12" s="58"/>
      <c r="PZ12" s="86"/>
      <c r="QA12" s="91">
        <f>SUM(QA7,QA6,QA8,QA10,QA11)</f>
        <v>962692.6723201999</v>
      </c>
      <c r="QB12" s="90"/>
      <c r="QC12" s="86"/>
      <c r="QD12" s="91">
        <f>SUM(QD6,QD8,QD10,QD11)</f>
        <v>336241.071605</v>
      </c>
      <c r="QE12" s="58"/>
      <c r="QF12" s="86"/>
      <c r="QG12" s="91">
        <f>SUM(QG6,QG7,QG8,QG10,QG11)</f>
        <v>1448839.8520394401</v>
      </c>
      <c r="QH12" s="168"/>
      <c r="QI12" s="58"/>
      <c r="QJ12" s="86"/>
      <c r="QK12" s="91">
        <f>SUM(QK7,QK6,QK8,QK10,QK11)</f>
        <v>962692.6723201999</v>
      </c>
      <c r="QL12" s="90"/>
      <c r="QM12" s="86"/>
      <c r="QN12" s="91">
        <f>SUM(QN6,QN8,QN10,QN11)</f>
        <v>336241.071605</v>
      </c>
      <c r="QO12" s="58"/>
      <c r="QP12" s="86"/>
      <c r="QQ12" s="91">
        <f>SUM(QQ6,QQ7,QQ8,QQ10,QQ11)</f>
        <v>1448839.8520394401</v>
      </c>
      <c r="QR12" s="168"/>
      <c r="QS12" s="58"/>
      <c r="QT12" s="86"/>
      <c r="QU12" s="91">
        <f>SUM(QU7,QU6,QU8,QU10,QU11)</f>
        <v>962692.6723201999</v>
      </c>
      <c r="QV12" s="90"/>
      <c r="QW12" s="86"/>
      <c r="QX12" s="91">
        <f>SUM(QX6,QX8,QX10,QX11)</f>
        <v>336241.071605</v>
      </c>
      <c r="QY12" s="58"/>
      <c r="QZ12" s="86"/>
      <c r="RA12" s="91">
        <f>SUM(RA6,RA7,RA8,RA10,RA11)</f>
        <v>1448839.8520394401</v>
      </c>
      <c r="RB12" s="168"/>
      <c r="RC12" s="58"/>
      <c r="RD12" s="86"/>
      <c r="RE12" s="91">
        <f>SUM(RE7,RE6,RE8,RE10,RE11)</f>
        <v>962692.6723201999</v>
      </c>
      <c r="RF12" s="90"/>
      <c r="RG12" s="86"/>
      <c r="RH12" s="91">
        <f>SUM(RH6,RH8,RH10,RH11)</f>
        <v>336241.071605</v>
      </c>
      <c r="RI12" s="58"/>
      <c r="RJ12" s="86"/>
      <c r="RK12" s="91">
        <f>SUM(RK6,RK7,RK8,RK10,RK11)</f>
        <v>1448839.8520394401</v>
      </c>
      <c r="RL12" s="168"/>
      <c r="RM12" s="58"/>
      <c r="RN12" s="86"/>
      <c r="RO12" s="91">
        <f>SUM(RO7,RO6,RO8,RO10,RO11)</f>
        <v>962692.6723201999</v>
      </c>
      <c r="RP12" s="90"/>
      <c r="RQ12" s="86"/>
      <c r="RR12" s="91">
        <f>SUM(RR6,RR8,RR10,RR11)</f>
        <v>336241.071605</v>
      </c>
      <c r="RS12" s="58"/>
      <c r="RT12" s="86"/>
      <c r="RU12" s="91">
        <f>SUM(RU6,RU7,RU8,RU10,RU11)</f>
        <v>1448839.8520394401</v>
      </c>
    </row>
    <row r="13" spans="1:489" x14ac:dyDescent="0.25">
      <c r="A13" s="67" t="s">
        <v>163</v>
      </c>
      <c r="B13" s="46">
        <v>1440125.2408439501</v>
      </c>
      <c r="C13" s="17">
        <v>1.26933301</v>
      </c>
      <c r="D13" s="54">
        <f>B13*C13</f>
        <v>1827998.5067374262</v>
      </c>
      <c r="E13" s="61">
        <v>0</v>
      </c>
      <c r="F13" s="46">
        <v>0</v>
      </c>
      <c r="G13" s="54">
        <f>E13*F13</f>
        <v>0</v>
      </c>
      <c r="H13" s="53"/>
      <c r="I13" s="17"/>
      <c r="J13" s="167"/>
      <c r="K13" s="53">
        <v>1833929.2793232701</v>
      </c>
      <c r="L13" s="17">
        <v>1.26966702</v>
      </c>
      <c r="M13" s="54">
        <f>K13*L13</f>
        <v>2328479.5229691239</v>
      </c>
      <c r="N13" s="61">
        <v>0</v>
      </c>
      <c r="O13" s="46"/>
      <c r="P13" s="54">
        <f>N13*O13</f>
        <v>0</v>
      </c>
      <c r="Q13" s="53"/>
      <c r="R13" s="17"/>
      <c r="S13" s="167"/>
      <c r="T13" s="168"/>
      <c r="U13" s="53">
        <v>1833929.2793232701</v>
      </c>
      <c r="V13" s="17">
        <v>1.27000091</v>
      </c>
      <c r="W13" s="54">
        <f>U13*V13</f>
        <v>2329091.8536161971</v>
      </c>
      <c r="X13" s="61">
        <v>0</v>
      </c>
      <c r="Y13" s="17">
        <f>$V$13</f>
        <v>1.27000091</v>
      </c>
      <c r="Z13" s="54">
        <f>X13*Y13</f>
        <v>0</v>
      </c>
      <c r="AA13" s="53"/>
      <c r="AB13" s="17"/>
      <c r="AC13" s="167"/>
      <c r="AD13" s="168"/>
      <c r="AE13" s="53">
        <v>1597770.9332629701</v>
      </c>
      <c r="AF13" s="17">
        <v>1.2703340999999999</v>
      </c>
      <c r="AG13" s="54">
        <f>AE13*AF13</f>
        <v>2029702.9005127749</v>
      </c>
      <c r="AH13" s="61">
        <v>0</v>
      </c>
      <c r="AI13" s="17">
        <f>AF13</f>
        <v>1.2703340999999999</v>
      </c>
      <c r="AJ13" s="54">
        <f>AH13*AI13</f>
        <v>0</v>
      </c>
      <c r="AK13" s="53"/>
      <c r="AL13" s="17"/>
      <c r="AM13" s="167"/>
      <c r="AN13" s="168"/>
      <c r="AO13" s="53">
        <v>1597770.9332629701</v>
      </c>
      <c r="AP13" s="17">
        <v>1.2703340999999999</v>
      </c>
      <c r="AQ13" s="54">
        <f>AO13*AP13</f>
        <v>2029702.9005127749</v>
      </c>
      <c r="AR13" s="61">
        <v>0</v>
      </c>
      <c r="AS13" s="17">
        <f>AP13</f>
        <v>1.2703340999999999</v>
      </c>
      <c r="AT13" s="54">
        <f>AR13*AS13</f>
        <v>0</v>
      </c>
      <c r="AU13" s="53"/>
      <c r="AV13" s="17"/>
      <c r="AW13" s="167"/>
      <c r="AX13" s="168"/>
      <c r="AY13" s="53">
        <v>23892.998106020001</v>
      </c>
      <c r="AZ13" s="17">
        <v>1.27098321</v>
      </c>
      <c r="BA13" s="54">
        <f>AY13*AZ13</f>
        <v>30367.599429313221</v>
      </c>
      <c r="BB13" s="61">
        <v>0</v>
      </c>
      <c r="BC13" s="17">
        <f>AZ13</f>
        <v>1.27098321</v>
      </c>
      <c r="BD13" s="54">
        <f>BB13*BC13</f>
        <v>0</v>
      </c>
      <c r="BE13" s="53"/>
      <c r="BF13" s="17"/>
      <c r="BG13" s="167"/>
      <c r="BH13" s="168"/>
      <c r="BI13" s="53">
        <v>3642173.0144052701</v>
      </c>
      <c r="BJ13" s="17">
        <v>1.2713222799999999</v>
      </c>
      <c r="BK13" s="54">
        <f>BI13*BJ13</f>
        <v>4630375.7008281806</v>
      </c>
      <c r="BL13" s="61">
        <v>0</v>
      </c>
      <c r="BM13" s="17">
        <f>BJ13</f>
        <v>1.2713222799999999</v>
      </c>
      <c r="BN13" s="54">
        <f>BL13*BM13</f>
        <v>0</v>
      </c>
      <c r="BO13" s="53"/>
      <c r="BP13" s="17"/>
      <c r="BQ13" s="167"/>
      <c r="BR13" s="168"/>
      <c r="BS13" s="53">
        <v>4192635.7369085001</v>
      </c>
      <c r="BT13" s="17">
        <v>1.27165741</v>
      </c>
      <c r="BU13" s="54">
        <f>BS13*BT13</f>
        <v>5331596.3022705046</v>
      </c>
      <c r="BV13" s="61">
        <v>0</v>
      </c>
      <c r="BW13" s="17">
        <f>BT13</f>
        <v>1.27165741</v>
      </c>
      <c r="BX13" s="54">
        <f>BV13*BW13</f>
        <v>0</v>
      </c>
      <c r="BY13" s="53"/>
      <c r="BZ13" s="17"/>
      <c r="CA13" s="167"/>
      <c r="CB13" s="168"/>
      <c r="CC13" s="53">
        <v>4192635.7369085001</v>
      </c>
      <c r="CD13" s="17">
        <v>1.2719871</v>
      </c>
      <c r="CE13" s="54">
        <f>CC13*CD13</f>
        <v>5332978.5723466063</v>
      </c>
      <c r="CF13" s="61">
        <v>0</v>
      </c>
      <c r="CG13" s="17">
        <f>CD13</f>
        <v>1.2719871</v>
      </c>
      <c r="CH13" s="54">
        <f>CF13*CG13</f>
        <v>0</v>
      </c>
      <c r="CI13" s="53"/>
      <c r="CJ13" s="17"/>
      <c r="CK13" s="167"/>
      <c r="CL13" s="168"/>
      <c r="CM13" s="53">
        <v>4585621.3894424802</v>
      </c>
      <c r="CN13" s="17">
        <v>1.2723110799999999</v>
      </c>
      <c r="CO13" s="54">
        <f>CM13*CN13</f>
        <v>5834336.9024726618</v>
      </c>
      <c r="CP13" s="61">
        <v>0</v>
      </c>
      <c r="CQ13" s="17">
        <f>CN13</f>
        <v>1.2723110799999999</v>
      </c>
      <c r="CR13" s="54">
        <f>CP13*CQ13</f>
        <v>0</v>
      </c>
      <c r="CS13" s="53"/>
      <c r="CT13" s="17"/>
      <c r="CU13" s="167"/>
      <c r="CV13" s="168"/>
      <c r="CW13" s="53">
        <v>4821353.0231528301</v>
      </c>
      <c r="CX13" s="17">
        <v>1.27263361</v>
      </c>
      <c r="CY13" s="54">
        <f>CW13*CX13</f>
        <v>6135815.9029393997</v>
      </c>
      <c r="CZ13" s="61">
        <v>0</v>
      </c>
      <c r="DA13" s="17">
        <f>CX13</f>
        <v>1.27263361</v>
      </c>
      <c r="DB13" s="54">
        <f>CZ13*DA13</f>
        <v>0</v>
      </c>
      <c r="DC13" s="53"/>
      <c r="DD13" s="17"/>
      <c r="DE13" s="167"/>
      <c r="DF13" s="168"/>
      <c r="DG13" s="53">
        <v>4899910.4646840198</v>
      </c>
      <c r="DH13" s="17">
        <v>1.27295388</v>
      </c>
      <c r="DI13" s="54">
        <f>DG13*DH13</f>
        <v>6237360.0376721257</v>
      </c>
      <c r="DJ13" s="61">
        <v>0</v>
      </c>
      <c r="DK13" s="17">
        <f>DH13</f>
        <v>1.27295388</v>
      </c>
      <c r="DL13" s="54">
        <f>DJ13*DK13</f>
        <v>0</v>
      </c>
      <c r="DM13" s="53"/>
      <c r="DN13" s="17"/>
      <c r="DO13" s="167"/>
      <c r="DP13" s="168"/>
      <c r="DQ13" s="53">
        <v>5528213.3153286101</v>
      </c>
      <c r="DR13" s="17">
        <v>1.2732713200000001</v>
      </c>
      <c r="DS13" s="54">
        <f>DQ13*DR13</f>
        <v>7038915.4652500357</v>
      </c>
      <c r="DT13" s="61">
        <v>0</v>
      </c>
      <c r="DU13" s="17">
        <f>DR13</f>
        <v>1.2732713200000001</v>
      </c>
      <c r="DV13" s="54">
        <f>DT13*DU13</f>
        <v>0</v>
      </c>
      <c r="DW13" s="53"/>
      <c r="DX13" s="17"/>
      <c r="DY13" s="167"/>
      <c r="DZ13" s="168"/>
      <c r="EA13" s="53">
        <v>5920805.00955508</v>
      </c>
      <c r="EB13" s="17">
        <v>1.2735878199999999</v>
      </c>
      <c r="EC13" s="54">
        <f>EA13*EB13</f>
        <v>7540665.144764333</v>
      </c>
      <c r="ED13" s="61">
        <v>0</v>
      </c>
      <c r="EE13" s="17">
        <f>EB13</f>
        <v>1.2735878199999999</v>
      </c>
      <c r="EF13" s="54">
        <f>ED13*EE13</f>
        <v>0</v>
      </c>
      <c r="EG13" s="53"/>
      <c r="EH13" s="17"/>
      <c r="EI13" s="167"/>
      <c r="EJ13" s="168"/>
      <c r="EK13" s="53">
        <v>6234800.5950597404</v>
      </c>
      <c r="EL13" s="17">
        <v>1.27390326</v>
      </c>
      <c r="EM13" s="54">
        <f>EK13*EL13</f>
        <v>7942532.8034965433</v>
      </c>
      <c r="EN13" s="61">
        <v>0</v>
      </c>
      <c r="EO13" s="17">
        <f>EL13</f>
        <v>1.27390326</v>
      </c>
      <c r="EP13" s="54">
        <f>EN13*EO13</f>
        <v>0</v>
      </c>
      <c r="EQ13" s="53"/>
      <c r="ER13" s="17"/>
      <c r="ES13" s="167"/>
      <c r="ET13" s="168"/>
      <c r="EU13" s="53">
        <v>6234800.5950597404</v>
      </c>
      <c r="EV13" s="17">
        <v>1.2742190200000001</v>
      </c>
      <c r="EW13" s="54">
        <f>EU13*EV13</f>
        <v>7944501.5041324394</v>
      </c>
      <c r="EX13" s="61">
        <v>0</v>
      </c>
      <c r="EY13" s="17">
        <f>EV13</f>
        <v>1.2742190200000001</v>
      </c>
      <c r="EZ13" s="54">
        <f>EX13*EY13</f>
        <v>0</v>
      </c>
      <c r="FA13" s="53"/>
      <c r="FB13" s="17"/>
      <c r="FC13" s="167"/>
      <c r="FD13" s="168"/>
      <c r="FE13" s="53">
        <v>6234800.5950597404</v>
      </c>
      <c r="FF13" s="17">
        <v>1.2745361799999999</v>
      </c>
      <c r="FG13" s="54">
        <f>FE13*FF13</f>
        <v>7946478.9334891681</v>
      </c>
      <c r="FH13" s="61">
        <v>0</v>
      </c>
      <c r="FI13" s="17">
        <f>FF13</f>
        <v>1.2745361799999999</v>
      </c>
      <c r="FJ13" s="54">
        <f>FH13*FI13</f>
        <v>0</v>
      </c>
      <c r="FK13" s="53"/>
      <c r="FL13" s="17"/>
      <c r="FM13" s="167"/>
      <c r="FN13" s="168"/>
      <c r="FO13" s="53">
        <v>6234800.5950597404</v>
      </c>
      <c r="FP13" s="17">
        <v>1.2748526899999999</v>
      </c>
      <c r="FQ13" s="54">
        <f>FO13*FP13</f>
        <v>7948452.31022551</v>
      </c>
      <c r="FR13" s="61">
        <v>0</v>
      </c>
      <c r="FS13" s="17">
        <f>FP13</f>
        <v>1.2748526899999999</v>
      </c>
      <c r="FT13" s="54">
        <f>FR13*FS13</f>
        <v>0</v>
      </c>
      <c r="FU13" s="53"/>
      <c r="FV13" s="17"/>
      <c r="FW13" s="167"/>
      <c r="FX13" s="168"/>
      <c r="FY13" s="53">
        <v>6940589.1085743997</v>
      </c>
      <c r="FZ13" s="17">
        <v>1.2751695199999999</v>
      </c>
      <c r="GA13" s="54">
        <f>FY13*FZ13</f>
        <v>8850427.6820980441</v>
      </c>
      <c r="GB13" s="61">
        <v>0</v>
      </c>
      <c r="GC13" s="17">
        <f>FZ13</f>
        <v>1.2751695199999999</v>
      </c>
      <c r="GD13" s="54">
        <f>GB13*GC13</f>
        <v>0</v>
      </c>
      <c r="GE13" s="53"/>
      <c r="GF13" s="17"/>
      <c r="GG13" s="167"/>
      <c r="GH13" s="168"/>
      <c r="GI13" s="53">
        <v>7567800.8925290396</v>
      </c>
      <c r="GJ13" s="17">
        <v>1.27548624</v>
      </c>
      <c r="GK13" s="54">
        <f>GI13*GJ13</f>
        <v>9652625.9054805096</v>
      </c>
      <c r="GL13" s="61">
        <v>0</v>
      </c>
      <c r="GM13" s="17">
        <f>GJ13</f>
        <v>1.27548624</v>
      </c>
      <c r="GN13" s="54">
        <f>GL13*GM13</f>
        <v>0</v>
      </c>
      <c r="GO13" s="53"/>
      <c r="GP13" s="17"/>
      <c r="GQ13" s="167"/>
      <c r="GR13" s="168"/>
      <c r="GS13" s="53">
        <v>8194857.3683313401</v>
      </c>
      <c r="GT13" s="17">
        <v>1.2758021500000001</v>
      </c>
      <c r="GU13" s="54">
        <f>GS13*GT13</f>
        <v>10455016.649460467</v>
      </c>
      <c r="GV13" s="61">
        <v>0</v>
      </c>
      <c r="GW13" s="17">
        <f>GT13</f>
        <v>1.2758021500000001</v>
      </c>
      <c r="GX13" s="54">
        <f>GV13*GW13</f>
        <v>0</v>
      </c>
      <c r="GY13" s="53"/>
      <c r="GZ13" s="17"/>
      <c r="HA13" s="167"/>
      <c r="HB13" s="168"/>
      <c r="HC13" s="53">
        <v>8194857.3683313401</v>
      </c>
      <c r="HD13" s="17">
        <v>1.2758021500000001</v>
      </c>
      <c r="HE13" s="54">
        <f>HC13*HD13</f>
        <v>10455016.649460467</v>
      </c>
      <c r="HF13" s="61">
        <v>0</v>
      </c>
      <c r="HG13" s="17">
        <f>HD13</f>
        <v>1.2758021500000001</v>
      </c>
      <c r="HH13" s="54">
        <f>HF13*HG13</f>
        <v>0</v>
      </c>
      <c r="HI13" s="53"/>
      <c r="HJ13" s="17"/>
      <c r="HK13" s="167"/>
      <c r="HL13" s="168"/>
      <c r="HM13" s="53">
        <v>6235788.2618629998</v>
      </c>
      <c r="HN13" s="17">
        <v>1.27611629</v>
      </c>
      <c r="HO13" s="54">
        <f>HM13*HN13</f>
        <v>7957590.9819541601</v>
      </c>
      <c r="HP13" s="61">
        <v>0</v>
      </c>
      <c r="HQ13" s="17">
        <f>HN13</f>
        <v>1.27611629</v>
      </c>
      <c r="HR13" s="54">
        <f>HP13*HQ13</f>
        <v>0</v>
      </c>
      <c r="HS13" s="53"/>
      <c r="HT13" s="17"/>
      <c r="HU13" s="167"/>
      <c r="HV13" s="168"/>
      <c r="HW13" s="53">
        <v>6235788.2618629998</v>
      </c>
      <c r="HX13" s="17">
        <v>1.2764375800000001</v>
      </c>
      <c r="HY13" s="54">
        <f>HW13*HX13</f>
        <v>7959594.4783648141</v>
      </c>
      <c r="HZ13" s="61">
        <v>0</v>
      </c>
      <c r="IA13" s="17">
        <f>HX13</f>
        <v>1.2764375800000001</v>
      </c>
      <c r="IB13" s="54">
        <f>HZ13*IA13</f>
        <v>0</v>
      </c>
      <c r="IC13" s="53"/>
      <c r="ID13" s="17"/>
      <c r="IE13" s="167"/>
      <c r="IF13" s="168"/>
      <c r="IG13" s="53">
        <v>5295911.9682241203</v>
      </c>
      <c r="IH13" s="17">
        <v>1.2767637700000001</v>
      </c>
      <c r="II13" s="54">
        <f>IG13*IH13</f>
        <v>6761628.5301379487</v>
      </c>
      <c r="IJ13" s="61">
        <v>0</v>
      </c>
      <c r="IK13" s="17">
        <f>IH13</f>
        <v>1.2767637700000001</v>
      </c>
      <c r="IL13" s="54">
        <f>IJ13*IK13</f>
        <v>0</v>
      </c>
      <c r="IM13" s="53"/>
      <c r="IN13" s="17"/>
      <c r="IO13" s="167"/>
      <c r="IP13" s="168"/>
      <c r="IQ13" s="53">
        <v>4747793.0551727396</v>
      </c>
      <c r="IR13" s="17">
        <v>1.2770951399999999</v>
      </c>
      <c r="IS13" s="54">
        <f>IQ13*IR13</f>
        <v>6063383.436486857</v>
      </c>
      <c r="IT13" s="61">
        <v>0</v>
      </c>
      <c r="IU13" s="17">
        <f>IR13</f>
        <v>1.2770951399999999</v>
      </c>
      <c r="IV13" s="54">
        <f>IT13*IU13</f>
        <v>0</v>
      </c>
      <c r="IW13" s="53"/>
      <c r="IX13" s="17"/>
      <c r="IY13" s="167"/>
      <c r="IZ13" s="168"/>
      <c r="JA13" s="53">
        <v>3808403.7818866302</v>
      </c>
      <c r="JB13" s="17">
        <v>1.2774257</v>
      </c>
      <c r="JC13" s="54">
        <f>JA13*JB13</f>
        <v>4864952.866959176</v>
      </c>
      <c r="JD13" s="61">
        <v>0</v>
      </c>
      <c r="JE13" s="17">
        <f>JB13</f>
        <v>1.2774257</v>
      </c>
      <c r="JF13" s="54">
        <f>JD13*JE13</f>
        <v>0</v>
      </c>
      <c r="JG13" s="53"/>
      <c r="JH13" s="17"/>
      <c r="JI13" s="167"/>
      <c r="JJ13" s="168"/>
      <c r="JK13" s="53">
        <v>4043190.4858748899</v>
      </c>
      <c r="JL13" s="17">
        <v>1.2777554900000001</v>
      </c>
      <c r="JM13" s="54">
        <f>JK13*JL13</f>
        <v>5166208.8404424088</v>
      </c>
      <c r="JN13" s="61">
        <v>0</v>
      </c>
      <c r="JO13" s="17">
        <f>JL13</f>
        <v>1.2777554900000001</v>
      </c>
      <c r="JP13" s="54">
        <f>JN13*JO13</f>
        <v>0</v>
      </c>
      <c r="JQ13" s="53"/>
      <c r="JR13" s="17"/>
      <c r="JS13" s="167"/>
      <c r="JT13" s="168"/>
      <c r="JU13" s="53">
        <v>3886706.5766614699</v>
      </c>
      <c r="JV13" s="17">
        <v>1.2780866799999999</v>
      </c>
      <c r="JW13" s="54">
        <f>JU13*JV13</f>
        <v>4967547.9046994234</v>
      </c>
      <c r="JX13" s="61">
        <v>0</v>
      </c>
      <c r="JY13" s="17">
        <f>JV13</f>
        <v>1.2780866799999999</v>
      </c>
      <c r="JZ13" s="54">
        <f>JX13*JY13</f>
        <v>0</v>
      </c>
      <c r="KA13" s="53"/>
      <c r="KB13" s="17"/>
      <c r="KC13" s="167"/>
      <c r="KD13" s="168"/>
      <c r="KE13" s="53">
        <v>3417376.97293405</v>
      </c>
      <c r="KF13" s="17">
        <v>1.27841925</v>
      </c>
      <c r="KG13" s="54">
        <f>KE13*KF13</f>
        <v>4368840.5067056185</v>
      </c>
      <c r="KH13" s="61">
        <v>0</v>
      </c>
      <c r="KI13" s="17">
        <f>KF13</f>
        <v>1.27841925</v>
      </c>
      <c r="KJ13" s="54">
        <f>KH13*KI13</f>
        <v>0</v>
      </c>
      <c r="KK13" s="53"/>
      <c r="KL13" s="17"/>
      <c r="KM13" s="167"/>
      <c r="KN13" s="168"/>
      <c r="KO13" s="53">
        <v>4003885.7875046399</v>
      </c>
      <c r="KP13" s="17">
        <v>1.2787531599999999</v>
      </c>
      <c r="KQ13" s="54">
        <f>KO13*KP13</f>
        <v>5119981.6030506464</v>
      </c>
      <c r="KR13" s="61">
        <v>0</v>
      </c>
      <c r="KS13" s="17">
        <f>KP13</f>
        <v>1.2787531599999999</v>
      </c>
      <c r="KT13" s="54">
        <f>KR13*KS13</f>
        <v>0</v>
      </c>
      <c r="KU13" s="53"/>
      <c r="KV13" s="17"/>
      <c r="KW13" s="167"/>
      <c r="KX13" s="168"/>
      <c r="KY13" s="53">
        <v>3065716.7410444901</v>
      </c>
      <c r="KZ13" s="17">
        <v>1.2790871800000001</v>
      </c>
      <c r="LA13" s="54">
        <f>KY13*KZ13</f>
        <v>3921318.9809813877</v>
      </c>
      <c r="LB13" s="61">
        <v>0</v>
      </c>
      <c r="LC13" s="17">
        <f>KZ13</f>
        <v>1.2790871800000001</v>
      </c>
      <c r="LD13" s="54">
        <f>LB13*LC13</f>
        <v>0</v>
      </c>
      <c r="LE13" s="53"/>
      <c r="LF13" s="17"/>
      <c r="LG13" s="167"/>
      <c r="LH13" s="168"/>
      <c r="LI13" s="53">
        <v>3143877.2228500899</v>
      </c>
      <c r="LJ13" s="17">
        <v>1.2794189300000001</v>
      </c>
      <c r="LK13" s="54">
        <f>LI13*LJ13</f>
        <v>4022336.0325102336</v>
      </c>
      <c r="LL13" s="61">
        <v>0</v>
      </c>
      <c r="LM13" s="17">
        <f>LJ13</f>
        <v>1.2794189300000001</v>
      </c>
      <c r="LN13" s="54">
        <f>LL13*LM13</f>
        <v>0</v>
      </c>
      <c r="LO13" s="53"/>
      <c r="LP13" s="17"/>
      <c r="LQ13" s="167"/>
      <c r="LR13" s="168"/>
      <c r="LS13" s="53">
        <v>2831316.27346496</v>
      </c>
      <c r="LT13" s="17">
        <v>1.2797504</v>
      </c>
      <c r="LU13" s="54">
        <f>LS13*LT13</f>
        <v>3623378.1334932917</v>
      </c>
      <c r="LV13" s="61">
        <v>0</v>
      </c>
      <c r="LW13" s="17">
        <f>LT13</f>
        <v>1.2797504</v>
      </c>
      <c r="LX13" s="54">
        <f>LV13*LW13</f>
        <v>0</v>
      </c>
      <c r="LY13" s="53"/>
      <c r="LZ13" s="17"/>
      <c r="MA13" s="167"/>
      <c r="MB13" s="168"/>
      <c r="MC13" s="53">
        <v>2518835.6594692999</v>
      </c>
      <c r="MD13" s="17">
        <v>1.2800794099999999</v>
      </c>
      <c r="ME13" s="54">
        <f>MC13*MD13</f>
        <v>3224309.6648604223</v>
      </c>
      <c r="MF13" s="61">
        <v>0</v>
      </c>
      <c r="MG13" s="17">
        <f>MD13</f>
        <v>1.2800794099999999</v>
      </c>
      <c r="MH13" s="54">
        <f>MF13*MG13</f>
        <v>0</v>
      </c>
      <c r="MI13" s="53"/>
      <c r="MJ13" s="17"/>
      <c r="MK13" s="167"/>
      <c r="ML13" s="168"/>
      <c r="MM13" s="53">
        <v>3808403.7818866302</v>
      </c>
      <c r="MN13" s="17">
        <v>1.2774257</v>
      </c>
      <c r="MO13" s="54">
        <f>MM13*MN13</f>
        <v>4864952.866959176</v>
      </c>
      <c r="MP13" s="61">
        <v>0</v>
      </c>
      <c r="MQ13" s="17">
        <f>MN13</f>
        <v>1.2774257</v>
      </c>
      <c r="MR13" s="54">
        <f>MP13*MQ13</f>
        <v>0</v>
      </c>
      <c r="MS13" s="53"/>
      <c r="MT13" s="17"/>
      <c r="MU13" s="167"/>
      <c r="MV13" s="168"/>
      <c r="MW13" s="53">
        <v>1347638.37095031</v>
      </c>
      <c r="MX13" s="17">
        <v>1.2807406699999999</v>
      </c>
      <c r="MY13" s="54">
        <f>MW13*MX13</f>
        <v>1725975.2701286084</v>
      </c>
      <c r="MZ13" s="61">
        <v>0</v>
      </c>
      <c r="NA13" s="17">
        <f>MX13</f>
        <v>1.2807406699999999</v>
      </c>
      <c r="NB13" s="54">
        <f>MZ13*NA13</f>
        <v>0</v>
      </c>
      <c r="NC13" s="53"/>
      <c r="ND13" s="17"/>
      <c r="NE13" s="167"/>
      <c r="NF13" s="168"/>
      <c r="NG13" s="53">
        <v>1347638.37095031</v>
      </c>
      <c r="NH13" s="17">
        <v>1.28107401</v>
      </c>
      <c r="NI13" s="54">
        <f>NG13*NH13</f>
        <v>1726424.4919031812</v>
      </c>
      <c r="NJ13" s="61">
        <v>0</v>
      </c>
      <c r="NK13" s="17">
        <f>NH13</f>
        <v>1.28107401</v>
      </c>
      <c r="NL13" s="54">
        <f>NJ13*NK13</f>
        <v>0</v>
      </c>
      <c r="NM13" s="53"/>
      <c r="NN13" s="17"/>
      <c r="NO13" s="167"/>
      <c r="NP13" s="168"/>
      <c r="NQ13" s="53">
        <v>723324.47728709003</v>
      </c>
      <c r="NR13" s="17">
        <v>1.2814066900000001</v>
      </c>
      <c r="NS13" s="54">
        <f>NQ13*NR13</f>
        <v>926872.82423643023</v>
      </c>
      <c r="NT13" s="61">
        <v>0</v>
      </c>
      <c r="NU13" s="17">
        <f>NR13</f>
        <v>1.2814066900000001</v>
      </c>
      <c r="NV13" s="54">
        <f>NT13*NU13</f>
        <v>0</v>
      </c>
      <c r="NW13" s="53"/>
      <c r="NX13" s="17"/>
      <c r="NY13" s="167"/>
      <c r="NZ13" s="168"/>
      <c r="OA13" s="53">
        <v>567286.23580936005</v>
      </c>
      <c r="OB13" s="17">
        <v>1.2817370800000001</v>
      </c>
      <c r="OC13" s="54">
        <f>OA13*OB13</f>
        <v>727111.80341048061</v>
      </c>
      <c r="OD13" s="61">
        <v>0</v>
      </c>
      <c r="OE13" s="17">
        <f>OB13</f>
        <v>1.2817370800000001</v>
      </c>
      <c r="OF13" s="54">
        <f>OD13*OE13</f>
        <v>0</v>
      </c>
      <c r="OG13" s="53"/>
      <c r="OH13" s="17"/>
      <c r="OI13" s="167"/>
      <c r="OJ13" s="168"/>
      <c r="OK13" s="53">
        <v>567286.23580936005</v>
      </c>
      <c r="OL13" s="17">
        <v>1.2817370800000001</v>
      </c>
      <c r="OM13" s="54">
        <f>OK13*OL13</f>
        <v>727111.80341048061</v>
      </c>
      <c r="ON13" s="61">
        <v>0</v>
      </c>
      <c r="OO13" s="17">
        <f>OL13</f>
        <v>1.2817370800000001</v>
      </c>
      <c r="OP13" s="54">
        <f>ON13*OO13</f>
        <v>0</v>
      </c>
      <c r="OQ13" s="53"/>
      <c r="OR13" s="17"/>
      <c r="OS13" s="167"/>
      <c r="OT13" s="168"/>
      <c r="OU13" s="53">
        <v>1659252.03732667</v>
      </c>
      <c r="OV13" s="17">
        <v>1.2823970600000001</v>
      </c>
      <c r="OW13" s="54">
        <f>OU13*OV13</f>
        <v>2127819.9344667322</v>
      </c>
      <c r="OX13" s="61">
        <v>0</v>
      </c>
      <c r="OY13" s="17">
        <f>OV13</f>
        <v>1.2823970600000001</v>
      </c>
      <c r="OZ13" s="54">
        <f>OX13*OY13</f>
        <v>0</v>
      </c>
      <c r="PA13" s="53"/>
      <c r="PB13" s="17"/>
      <c r="PC13" s="167"/>
      <c r="PD13" s="168"/>
      <c r="PE13" s="53">
        <v>567286.23580936005</v>
      </c>
      <c r="PF13" s="17">
        <v>1.2817370800000001</v>
      </c>
      <c r="PG13" s="54">
        <f>PE13*PF13</f>
        <v>727111.80341048061</v>
      </c>
      <c r="PH13" s="61">
        <v>0</v>
      </c>
      <c r="PI13" s="17">
        <f>PF13</f>
        <v>1.2817370800000001</v>
      </c>
      <c r="PJ13" s="54">
        <f>PH13*PI13</f>
        <v>0</v>
      </c>
      <c r="PK13" s="53"/>
      <c r="PL13" s="17"/>
      <c r="PM13" s="167"/>
      <c r="PN13" s="168"/>
      <c r="PO13" s="53">
        <v>567286.23580936005</v>
      </c>
      <c r="PP13" s="17">
        <v>1.2817370800000001</v>
      </c>
      <c r="PQ13" s="54">
        <f>PO13*PP13</f>
        <v>727111.80341048061</v>
      </c>
      <c r="PR13" s="61">
        <v>0</v>
      </c>
      <c r="PS13" s="17">
        <f>PP13</f>
        <v>1.2817370800000001</v>
      </c>
      <c r="PT13" s="54">
        <f>PR13*PS13</f>
        <v>0</v>
      </c>
      <c r="PU13" s="53"/>
      <c r="PV13" s="17"/>
      <c r="PW13" s="167"/>
      <c r="PX13" s="168"/>
      <c r="PY13" s="53">
        <v>567286.23580936005</v>
      </c>
      <c r="PZ13" s="17">
        <v>1.2817370800000001</v>
      </c>
      <c r="QA13" s="54">
        <f>PY13*PZ13</f>
        <v>727111.80341048061</v>
      </c>
      <c r="QB13" s="61">
        <v>0</v>
      </c>
      <c r="QC13" s="17">
        <f>PZ13</f>
        <v>1.2817370800000001</v>
      </c>
      <c r="QD13" s="54">
        <f>QB13*QC13</f>
        <v>0</v>
      </c>
      <c r="QE13" s="53"/>
      <c r="QF13" s="17"/>
      <c r="QG13" s="167"/>
      <c r="QH13" s="168"/>
      <c r="QI13" s="53">
        <v>567286.23580936005</v>
      </c>
      <c r="QJ13" s="17">
        <v>1.2817370800000001</v>
      </c>
      <c r="QK13" s="54">
        <f>QI13*QJ13</f>
        <v>727111.80341048061</v>
      </c>
      <c r="QL13" s="61">
        <v>0</v>
      </c>
      <c r="QM13" s="17">
        <f>QJ13</f>
        <v>1.2817370800000001</v>
      </c>
      <c r="QN13" s="54">
        <f>QL13*QM13</f>
        <v>0</v>
      </c>
      <c r="QO13" s="53"/>
      <c r="QP13" s="17"/>
      <c r="QQ13" s="167"/>
      <c r="QR13" s="168"/>
      <c r="QS13" s="53">
        <v>567286.23580936005</v>
      </c>
      <c r="QT13" s="17">
        <v>1.2817370800000001</v>
      </c>
      <c r="QU13" s="54">
        <f>QS13*QT13</f>
        <v>727111.80341048061</v>
      </c>
      <c r="QV13" s="61">
        <v>0</v>
      </c>
      <c r="QW13" s="17">
        <f>QT13</f>
        <v>1.2817370800000001</v>
      </c>
      <c r="QX13" s="54">
        <f>QV13*QW13</f>
        <v>0</v>
      </c>
      <c r="QY13" s="53"/>
      <c r="QZ13" s="17"/>
      <c r="RA13" s="167"/>
      <c r="RB13" s="168"/>
      <c r="RC13" s="53">
        <v>567286.23580936005</v>
      </c>
      <c r="RD13" s="17">
        <v>1.2817370800000001</v>
      </c>
      <c r="RE13" s="54">
        <f>RC13*RD13</f>
        <v>727111.80341048061</v>
      </c>
      <c r="RF13" s="61">
        <v>0</v>
      </c>
      <c r="RG13" s="17">
        <f>RD13</f>
        <v>1.2817370800000001</v>
      </c>
      <c r="RH13" s="54">
        <f>RF13*RG13</f>
        <v>0</v>
      </c>
      <c r="RI13" s="53"/>
      <c r="RJ13" s="17"/>
      <c r="RK13" s="167"/>
      <c r="RL13" s="168"/>
      <c r="RM13" s="53">
        <v>567286.23580936005</v>
      </c>
      <c r="RN13" s="17">
        <v>1.2817370800000001</v>
      </c>
      <c r="RO13" s="54">
        <f>RM13*RN13</f>
        <v>727111.80341048061</v>
      </c>
      <c r="RP13" s="61">
        <v>0</v>
      </c>
      <c r="RQ13" s="17">
        <f>RN13</f>
        <v>1.2817370800000001</v>
      </c>
      <c r="RR13" s="54">
        <f>RP13*RQ13</f>
        <v>0</v>
      </c>
      <c r="RS13" s="53"/>
      <c r="RT13" s="17"/>
      <c r="RU13" s="167"/>
    </row>
    <row r="14" spans="1:489" x14ac:dyDescent="0.25">
      <c r="A14" s="67"/>
      <c r="B14" s="17"/>
      <c r="C14" s="17"/>
      <c r="D14" s="55"/>
      <c r="E14" s="61"/>
      <c r="F14" s="17"/>
      <c r="G14" s="55"/>
      <c r="H14" s="47"/>
      <c r="I14" s="17"/>
      <c r="J14" s="167"/>
      <c r="K14" s="47"/>
      <c r="L14" s="17"/>
      <c r="M14" s="55"/>
      <c r="N14" s="61"/>
      <c r="O14" s="17"/>
      <c r="P14" s="55"/>
      <c r="Q14" s="47"/>
      <c r="R14" s="17"/>
      <c r="S14" s="167"/>
      <c r="T14" s="168"/>
      <c r="U14" s="47"/>
      <c r="V14" s="17"/>
      <c r="W14" s="55"/>
      <c r="X14" s="61"/>
      <c r="Y14" s="17"/>
      <c r="Z14" s="55"/>
      <c r="AA14" s="47"/>
      <c r="AB14" s="17"/>
      <c r="AC14" s="167"/>
      <c r="AD14" s="168"/>
      <c r="AE14" s="47"/>
      <c r="AF14" s="17"/>
      <c r="AG14" s="55"/>
      <c r="AH14" s="61"/>
      <c r="AI14" s="17"/>
      <c r="AJ14" s="55"/>
      <c r="AK14" s="47"/>
      <c r="AL14" s="17"/>
      <c r="AM14" s="167"/>
      <c r="AN14" s="168"/>
      <c r="AO14" s="47"/>
      <c r="AP14" s="17"/>
      <c r="AQ14" s="55"/>
      <c r="AR14" s="61"/>
      <c r="AS14" s="17"/>
      <c r="AT14" s="55"/>
      <c r="AU14" s="47"/>
      <c r="AV14" s="17"/>
      <c r="AW14" s="167"/>
      <c r="AX14" s="168"/>
      <c r="AY14" s="47"/>
      <c r="AZ14" s="17"/>
      <c r="BA14" s="55"/>
      <c r="BB14" s="61"/>
      <c r="BC14" s="17"/>
      <c r="BD14" s="55"/>
      <c r="BE14" s="47"/>
      <c r="BF14" s="17"/>
      <c r="BG14" s="167"/>
      <c r="BH14" s="168"/>
      <c r="BI14" s="47"/>
      <c r="BJ14" s="17"/>
      <c r="BK14" s="55"/>
      <c r="BL14" s="61"/>
      <c r="BM14" s="17"/>
      <c r="BN14" s="55"/>
      <c r="BO14" s="47"/>
      <c r="BP14" s="17"/>
      <c r="BQ14" s="167"/>
      <c r="BR14" s="168"/>
      <c r="BS14" s="47"/>
      <c r="BT14" s="17"/>
      <c r="BU14" s="55"/>
      <c r="BV14" s="61"/>
      <c r="BW14" s="17"/>
      <c r="BX14" s="55"/>
      <c r="BY14" s="47"/>
      <c r="BZ14" s="17"/>
      <c r="CA14" s="167"/>
      <c r="CB14" s="168"/>
      <c r="CC14" s="47"/>
      <c r="CD14" s="17"/>
      <c r="CE14" s="55"/>
      <c r="CF14" s="61"/>
      <c r="CG14" s="17"/>
      <c r="CH14" s="55"/>
      <c r="CI14" s="47"/>
      <c r="CJ14" s="17"/>
      <c r="CK14" s="167"/>
      <c r="CL14" s="168"/>
      <c r="CM14" s="47"/>
      <c r="CN14" s="17"/>
      <c r="CO14" s="55"/>
      <c r="CP14" s="61"/>
      <c r="CQ14" s="17"/>
      <c r="CR14" s="55"/>
      <c r="CS14" s="47"/>
      <c r="CT14" s="17"/>
      <c r="CU14" s="167"/>
      <c r="CV14" s="168"/>
      <c r="CW14" s="47"/>
      <c r="CX14" s="17"/>
      <c r="CY14" s="55"/>
      <c r="CZ14" s="61"/>
      <c r="DA14" s="17"/>
      <c r="DB14" s="55"/>
      <c r="DC14" s="47"/>
      <c r="DD14" s="17"/>
      <c r="DE14" s="167"/>
      <c r="DF14" s="168"/>
      <c r="DG14" s="47"/>
      <c r="DH14" s="17"/>
      <c r="DI14" s="55"/>
      <c r="DJ14" s="61"/>
      <c r="DK14" s="17"/>
      <c r="DL14" s="55"/>
      <c r="DM14" s="47"/>
      <c r="DN14" s="17"/>
      <c r="DO14" s="167"/>
      <c r="DP14" s="168"/>
      <c r="DQ14" s="47"/>
      <c r="DR14" s="17"/>
      <c r="DS14" s="55"/>
      <c r="DT14" s="61"/>
      <c r="DU14" s="17"/>
      <c r="DV14" s="55"/>
      <c r="DW14" s="47"/>
      <c r="DX14" s="17"/>
      <c r="DY14" s="167"/>
      <c r="DZ14" s="168"/>
      <c r="EA14" s="47"/>
      <c r="EB14" s="17"/>
      <c r="EC14" s="55"/>
      <c r="ED14" s="61"/>
      <c r="EE14" s="17"/>
      <c r="EF14" s="55"/>
      <c r="EG14" s="47"/>
      <c r="EH14" s="17"/>
      <c r="EI14" s="167"/>
      <c r="EJ14" s="168"/>
      <c r="EK14" s="47"/>
      <c r="EL14" s="17"/>
      <c r="EM14" s="55"/>
      <c r="EN14" s="61"/>
      <c r="EO14" s="17"/>
      <c r="EP14" s="55"/>
      <c r="EQ14" s="47"/>
      <c r="ER14" s="17"/>
      <c r="ES14" s="167"/>
      <c r="ET14" s="168"/>
      <c r="EU14" s="47"/>
      <c r="EV14" s="17"/>
      <c r="EW14" s="55"/>
      <c r="EX14" s="61"/>
      <c r="EY14" s="17"/>
      <c r="EZ14" s="55"/>
      <c r="FA14" s="47"/>
      <c r="FB14" s="17"/>
      <c r="FC14" s="167"/>
      <c r="FD14" s="168"/>
      <c r="FE14" s="47"/>
      <c r="FF14" s="17"/>
      <c r="FG14" s="55"/>
      <c r="FH14" s="61"/>
      <c r="FI14" s="17"/>
      <c r="FJ14" s="55"/>
      <c r="FK14" s="47"/>
      <c r="FL14" s="17"/>
      <c r="FM14" s="167"/>
      <c r="FN14" s="168"/>
      <c r="FO14" s="47"/>
      <c r="FP14" s="17"/>
      <c r="FQ14" s="55"/>
      <c r="FR14" s="61"/>
      <c r="FS14" s="17"/>
      <c r="FT14" s="55"/>
      <c r="FU14" s="47"/>
      <c r="FV14" s="17"/>
      <c r="FW14" s="167"/>
      <c r="FX14" s="168"/>
      <c r="FY14" s="47"/>
      <c r="FZ14" s="17"/>
      <c r="GA14" s="55"/>
      <c r="GB14" s="61"/>
      <c r="GC14" s="17"/>
      <c r="GD14" s="55"/>
      <c r="GE14" s="47"/>
      <c r="GF14" s="17"/>
      <c r="GG14" s="167"/>
      <c r="GH14" s="168"/>
      <c r="GI14" s="47"/>
      <c r="GJ14" s="17"/>
      <c r="GK14" s="55"/>
      <c r="GL14" s="61"/>
      <c r="GM14" s="17"/>
      <c r="GN14" s="55"/>
      <c r="GO14" s="47"/>
      <c r="GP14" s="17"/>
      <c r="GQ14" s="167"/>
      <c r="GR14" s="168"/>
      <c r="GS14" s="47"/>
      <c r="GT14" s="17"/>
      <c r="GU14" s="55"/>
      <c r="GV14" s="61"/>
      <c r="GW14" s="17"/>
      <c r="GX14" s="55"/>
      <c r="GY14" s="47"/>
      <c r="GZ14" s="17"/>
      <c r="HA14" s="167"/>
      <c r="HB14" s="168"/>
      <c r="HC14" s="47"/>
      <c r="HD14" s="17"/>
      <c r="HE14" s="55"/>
      <c r="HF14" s="61"/>
      <c r="HG14" s="17"/>
      <c r="HH14" s="55"/>
      <c r="HI14" s="47"/>
      <c r="HJ14" s="17"/>
      <c r="HK14" s="167"/>
      <c r="HL14" s="168"/>
      <c r="HM14" s="47"/>
      <c r="HN14" s="17"/>
      <c r="HO14" s="55"/>
      <c r="HP14" s="61"/>
      <c r="HQ14" s="17"/>
      <c r="HR14" s="55"/>
      <c r="HS14" s="47"/>
      <c r="HT14" s="17"/>
      <c r="HU14" s="167"/>
      <c r="HV14" s="168"/>
      <c r="HW14" s="47"/>
      <c r="HX14" s="17"/>
      <c r="HY14" s="55"/>
      <c r="HZ14" s="61"/>
      <c r="IA14" s="17"/>
      <c r="IB14" s="55"/>
      <c r="IC14" s="47"/>
      <c r="ID14" s="17"/>
      <c r="IE14" s="167"/>
      <c r="IF14" s="168"/>
      <c r="IG14" s="47"/>
      <c r="IH14" s="17"/>
      <c r="II14" s="55"/>
      <c r="IJ14" s="61"/>
      <c r="IK14" s="17"/>
      <c r="IL14" s="55"/>
      <c r="IM14" s="47"/>
      <c r="IN14" s="17"/>
      <c r="IO14" s="167"/>
      <c r="IP14" s="168"/>
      <c r="IQ14" s="47"/>
      <c r="IR14" s="17"/>
      <c r="IS14" s="55"/>
      <c r="IT14" s="61"/>
      <c r="IU14" s="17"/>
      <c r="IV14" s="55"/>
      <c r="IW14" s="47"/>
      <c r="IX14" s="17"/>
      <c r="IY14" s="167"/>
      <c r="IZ14" s="168"/>
      <c r="JA14" s="47"/>
      <c r="JB14" s="17"/>
      <c r="JC14" s="55"/>
      <c r="JD14" s="61"/>
      <c r="JE14" s="17"/>
      <c r="JF14" s="55"/>
      <c r="JG14" s="47"/>
      <c r="JH14" s="17"/>
      <c r="JI14" s="167"/>
      <c r="JJ14" s="168"/>
      <c r="JK14" s="47"/>
      <c r="JL14" s="17"/>
      <c r="JM14" s="55"/>
      <c r="JN14" s="61"/>
      <c r="JO14" s="17"/>
      <c r="JP14" s="55"/>
      <c r="JQ14" s="47"/>
      <c r="JR14" s="17"/>
      <c r="JS14" s="167"/>
      <c r="JT14" s="168"/>
      <c r="JU14" s="47"/>
      <c r="JV14" s="17"/>
      <c r="JW14" s="55"/>
      <c r="JX14" s="61"/>
      <c r="JY14" s="17"/>
      <c r="JZ14" s="55"/>
      <c r="KA14" s="47"/>
      <c r="KB14" s="17"/>
      <c r="KC14" s="167"/>
      <c r="KD14" s="168"/>
      <c r="KE14" s="47"/>
      <c r="KF14" s="17"/>
      <c r="KG14" s="55"/>
      <c r="KH14" s="61"/>
      <c r="KI14" s="17"/>
      <c r="KJ14" s="55"/>
      <c r="KK14" s="47"/>
      <c r="KL14" s="17"/>
      <c r="KM14" s="167"/>
      <c r="KN14" s="168"/>
      <c r="KO14" s="47"/>
      <c r="KP14" s="17"/>
      <c r="KQ14" s="55"/>
      <c r="KR14" s="61"/>
      <c r="KS14" s="17"/>
      <c r="KT14" s="55"/>
      <c r="KU14" s="47"/>
      <c r="KV14" s="17"/>
      <c r="KW14" s="167"/>
      <c r="KX14" s="168"/>
      <c r="KY14" s="47"/>
      <c r="KZ14" s="17"/>
      <c r="LA14" s="55"/>
      <c r="LB14" s="61"/>
      <c r="LC14" s="17"/>
      <c r="LD14" s="55"/>
      <c r="LE14" s="47"/>
      <c r="LF14" s="17"/>
      <c r="LG14" s="167"/>
      <c r="LH14" s="168"/>
      <c r="LI14" s="47"/>
      <c r="LJ14" s="17"/>
      <c r="LK14" s="55"/>
      <c r="LL14" s="61"/>
      <c r="LM14" s="17"/>
      <c r="LN14" s="55"/>
      <c r="LO14" s="47"/>
      <c r="LP14" s="17"/>
      <c r="LQ14" s="167"/>
      <c r="LR14" s="168"/>
      <c r="LS14" s="47"/>
      <c r="LT14" s="17"/>
      <c r="LU14" s="55"/>
      <c r="LV14" s="61"/>
      <c r="LW14" s="17"/>
      <c r="LX14" s="55"/>
      <c r="LY14" s="47"/>
      <c r="LZ14" s="17"/>
      <c r="MA14" s="167"/>
      <c r="MB14" s="168"/>
      <c r="MC14" s="47"/>
      <c r="MD14" s="17"/>
      <c r="ME14" s="55"/>
      <c r="MF14" s="61"/>
      <c r="MG14" s="17"/>
      <c r="MH14" s="55"/>
      <c r="MI14" s="47"/>
      <c r="MJ14" s="17"/>
      <c r="MK14" s="167"/>
      <c r="ML14" s="168"/>
      <c r="MM14" s="47"/>
      <c r="MN14" s="17"/>
      <c r="MO14" s="55"/>
      <c r="MP14" s="61"/>
      <c r="MQ14" s="17"/>
      <c r="MR14" s="55"/>
      <c r="MS14" s="47"/>
      <c r="MT14" s="17"/>
      <c r="MU14" s="167"/>
      <c r="MV14" s="168"/>
      <c r="MW14" s="47"/>
      <c r="MX14" s="17"/>
      <c r="MY14" s="55"/>
      <c r="MZ14" s="61"/>
      <c r="NA14" s="17"/>
      <c r="NB14" s="55"/>
      <c r="NC14" s="47"/>
      <c r="ND14" s="17"/>
      <c r="NE14" s="167"/>
      <c r="NF14" s="168"/>
      <c r="NG14" s="47"/>
      <c r="NH14" s="17"/>
      <c r="NI14" s="55"/>
      <c r="NJ14" s="61"/>
      <c r="NK14" s="17"/>
      <c r="NL14" s="55"/>
      <c r="NM14" s="47"/>
      <c r="NN14" s="17"/>
      <c r="NO14" s="167"/>
      <c r="NP14" s="168"/>
      <c r="NQ14" s="47"/>
      <c r="NR14" s="17"/>
      <c r="NS14" s="55"/>
      <c r="NT14" s="61"/>
      <c r="NU14" s="17"/>
      <c r="NV14" s="55"/>
      <c r="NW14" s="47"/>
      <c r="NX14" s="17"/>
      <c r="NY14" s="167"/>
      <c r="NZ14" s="168"/>
      <c r="OA14" s="47"/>
      <c r="OB14" s="17"/>
      <c r="OC14" s="55"/>
      <c r="OD14" s="61"/>
      <c r="OE14" s="17"/>
      <c r="OF14" s="55"/>
      <c r="OG14" s="47"/>
      <c r="OH14" s="17"/>
      <c r="OI14" s="167"/>
      <c r="OJ14" s="168"/>
      <c r="OK14" s="47"/>
      <c r="OL14" s="17"/>
      <c r="OM14" s="55"/>
      <c r="ON14" s="61"/>
      <c r="OO14" s="17"/>
      <c r="OP14" s="55"/>
      <c r="OQ14" s="47"/>
      <c r="OR14" s="17"/>
      <c r="OS14" s="167"/>
      <c r="OT14" s="168"/>
      <c r="OU14" s="47"/>
      <c r="OV14" s="17"/>
      <c r="OW14" s="55"/>
      <c r="OX14" s="61"/>
      <c r="OY14" s="17"/>
      <c r="OZ14" s="55"/>
      <c r="PA14" s="47"/>
      <c r="PB14" s="17"/>
      <c r="PC14" s="167"/>
      <c r="PD14" s="168"/>
      <c r="PE14" s="47"/>
      <c r="PF14" s="17"/>
      <c r="PG14" s="55"/>
      <c r="PH14" s="61"/>
      <c r="PI14" s="17"/>
      <c r="PJ14" s="55"/>
      <c r="PK14" s="47"/>
      <c r="PL14" s="17"/>
      <c r="PM14" s="167"/>
      <c r="PN14" s="168"/>
      <c r="PO14" s="47"/>
      <c r="PP14" s="17"/>
      <c r="PQ14" s="55"/>
      <c r="PR14" s="61"/>
      <c r="PS14" s="17"/>
      <c r="PT14" s="55"/>
      <c r="PU14" s="47"/>
      <c r="PV14" s="17"/>
      <c r="PW14" s="167"/>
      <c r="PX14" s="168"/>
      <c r="PY14" s="47"/>
      <c r="PZ14" s="17"/>
      <c r="QA14" s="55"/>
      <c r="QB14" s="61"/>
      <c r="QC14" s="17"/>
      <c r="QD14" s="55"/>
      <c r="QE14" s="47"/>
      <c r="QF14" s="17"/>
      <c r="QG14" s="167"/>
      <c r="QH14" s="168"/>
      <c r="QI14" s="47"/>
      <c r="QJ14" s="17"/>
      <c r="QK14" s="55"/>
      <c r="QL14" s="61"/>
      <c r="QM14" s="17"/>
      <c r="QN14" s="55"/>
      <c r="QO14" s="47"/>
      <c r="QP14" s="17"/>
      <c r="QQ14" s="167"/>
      <c r="QR14" s="168"/>
      <c r="QS14" s="47"/>
      <c r="QT14" s="17"/>
      <c r="QU14" s="55"/>
      <c r="QV14" s="61"/>
      <c r="QW14" s="17"/>
      <c r="QX14" s="55"/>
      <c r="QY14" s="47"/>
      <c r="QZ14" s="17"/>
      <c r="RA14" s="167"/>
      <c r="RB14" s="168"/>
      <c r="RC14" s="47"/>
      <c r="RD14" s="17"/>
      <c r="RE14" s="55"/>
      <c r="RF14" s="61"/>
      <c r="RG14" s="17"/>
      <c r="RH14" s="55"/>
      <c r="RI14" s="47"/>
      <c r="RJ14" s="17"/>
      <c r="RK14" s="167"/>
      <c r="RL14" s="168"/>
      <c r="RM14" s="47"/>
      <c r="RN14" s="17"/>
      <c r="RO14" s="55"/>
      <c r="RP14" s="61"/>
      <c r="RQ14" s="17"/>
      <c r="RR14" s="55"/>
      <c r="RS14" s="47"/>
      <c r="RT14" s="17"/>
      <c r="RU14" s="167"/>
    </row>
    <row r="15" spans="1:489" x14ac:dyDescent="0.25">
      <c r="A15" s="67" t="s">
        <v>164</v>
      </c>
      <c r="B15" s="17"/>
      <c r="C15" s="17"/>
      <c r="D15" s="54">
        <v>-460012.49</v>
      </c>
      <c r="E15" s="61">
        <v>1762903</v>
      </c>
      <c r="F15" s="46">
        <v>-1</v>
      </c>
      <c r="G15" s="54">
        <f>E15*F15</f>
        <v>-1762903</v>
      </c>
      <c r="H15" s="47"/>
      <c r="I15" s="46"/>
      <c r="J15" s="167">
        <v>0</v>
      </c>
      <c r="K15" s="61">
        <f>M15/L15</f>
        <v>-477601.16</v>
      </c>
      <c r="L15" s="17">
        <v>1</v>
      </c>
      <c r="M15" s="69">
        <v>-477601.16</v>
      </c>
      <c r="N15" s="61">
        <f>P15/O15</f>
        <v>-1511579.14</v>
      </c>
      <c r="O15" s="46">
        <v>1</v>
      </c>
      <c r="P15" s="69">
        <v>-1511579.14</v>
      </c>
      <c r="Q15" s="47"/>
      <c r="R15" s="46"/>
      <c r="S15" s="167">
        <v>0</v>
      </c>
      <c r="T15" s="168"/>
      <c r="U15" s="61">
        <f>W15/V15</f>
        <v>-477601.16</v>
      </c>
      <c r="V15" s="17">
        <v>1</v>
      </c>
      <c r="W15" s="69">
        <v>-477601.16</v>
      </c>
      <c r="X15" s="61">
        <f>Z15/Y15</f>
        <v>-1492474.13</v>
      </c>
      <c r="Y15" s="46">
        <v>1</v>
      </c>
      <c r="Z15" s="69">
        <v>-1492474.13</v>
      </c>
      <c r="AA15" s="47"/>
      <c r="AB15" s="46"/>
      <c r="AC15" s="167">
        <v>0</v>
      </c>
      <c r="AD15" s="168"/>
      <c r="AE15" s="61">
        <f>AG15/AF15</f>
        <v>-500247.84</v>
      </c>
      <c r="AF15" s="17">
        <v>1</v>
      </c>
      <c r="AG15" s="69">
        <v>-500247.84</v>
      </c>
      <c r="AH15" s="61">
        <f>AJ15/AI15</f>
        <v>-1316192.3999999999</v>
      </c>
      <c r="AI15" s="46">
        <v>1</v>
      </c>
      <c r="AJ15" s="69">
        <v>-1316192.3999999999</v>
      </c>
      <c r="AK15" s="47"/>
      <c r="AL15" s="46"/>
      <c r="AM15" s="167">
        <v>0</v>
      </c>
      <c r="AN15" s="168"/>
      <c r="AO15" s="61">
        <f>AQ15/AP15</f>
        <v>-500247.84</v>
      </c>
      <c r="AP15" s="17">
        <v>1</v>
      </c>
      <c r="AQ15" s="69">
        <v>-500247.84</v>
      </c>
      <c r="AR15" s="61">
        <f>AT15/AS15</f>
        <v>-1316192.3999999999</v>
      </c>
      <c r="AS15" s="46">
        <v>1</v>
      </c>
      <c r="AT15" s="69">
        <v>-1316192.3999999999</v>
      </c>
      <c r="AU15" s="47"/>
      <c r="AV15" s="46"/>
      <c r="AW15" s="167">
        <v>0</v>
      </c>
      <c r="AX15" s="168"/>
      <c r="AY15" s="61">
        <f>BA15/AZ15</f>
        <v>-518357.21</v>
      </c>
      <c r="AZ15" s="17">
        <v>1</v>
      </c>
      <c r="BA15" s="69">
        <v>-518357.21</v>
      </c>
      <c r="BB15" s="61">
        <f>BD15/BC15</f>
        <v>-1568352.99</v>
      </c>
      <c r="BC15" s="46">
        <v>1</v>
      </c>
      <c r="BD15" s="69">
        <v>-1568352.99</v>
      </c>
      <c r="BE15" s="47"/>
      <c r="BF15" s="46"/>
      <c r="BG15" s="167">
        <v>0</v>
      </c>
      <c r="BH15" s="168"/>
      <c r="BI15" s="61">
        <f>BK15/BJ15</f>
        <v>-267940.90999999997</v>
      </c>
      <c r="BJ15" s="17">
        <v>1</v>
      </c>
      <c r="BK15" s="69">
        <v>-267940.90999999997</v>
      </c>
      <c r="BL15" s="61">
        <f>BN15/BM15</f>
        <v>-1565952.72</v>
      </c>
      <c r="BM15" s="46">
        <v>1</v>
      </c>
      <c r="BN15" s="69">
        <v>-1565952.72</v>
      </c>
      <c r="BO15" s="47"/>
      <c r="BP15" s="46"/>
      <c r="BQ15" s="167">
        <v>0</v>
      </c>
      <c r="BR15" s="168"/>
      <c r="BS15" s="61">
        <f>BU15/BT15</f>
        <v>-269876.23</v>
      </c>
      <c r="BT15" s="17">
        <v>1</v>
      </c>
      <c r="BU15" s="69">
        <v>-269876.23</v>
      </c>
      <c r="BV15" s="61">
        <f>BX15/BW15</f>
        <v>-1561014.82</v>
      </c>
      <c r="BW15" s="46">
        <v>1</v>
      </c>
      <c r="BX15" s="69">
        <v>-1561014.82</v>
      </c>
      <c r="BY15" s="47"/>
      <c r="BZ15" s="46"/>
      <c r="CA15" s="167">
        <v>0</v>
      </c>
      <c r="CB15" s="168"/>
      <c r="CC15" s="61">
        <f>CE15/CD15</f>
        <v>-278759.33</v>
      </c>
      <c r="CD15" s="17">
        <v>1</v>
      </c>
      <c r="CE15" s="69">
        <v>-278759.33</v>
      </c>
      <c r="CF15" s="61">
        <f>CH15/CG15</f>
        <v>-1600026.91</v>
      </c>
      <c r="CG15" s="46">
        <v>1</v>
      </c>
      <c r="CH15" s="69">
        <v>-1600026.91</v>
      </c>
      <c r="CI15" s="47"/>
      <c r="CJ15" s="46"/>
      <c r="CK15" s="167">
        <v>0</v>
      </c>
      <c r="CL15" s="168"/>
      <c r="CM15" s="61">
        <f>CO15/CN15</f>
        <v>-248186.44</v>
      </c>
      <c r="CN15" s="17">
        <v>1</v>
      </c>
      <c r="CO15" s="69">
        <v>-248186.44</v>
      </c>
      <c r="CP15" s="61">
        <f>CR15/CQ15</f>
        <v>-1580994.61</v>
      </c>
      <c r="CQ15" s="46">
        <v>1</v>
      </c>
      <c r="CR15" s="69">
        <v>-1580994.61</v>
      </c>
      <c r="CS15" s="47"/>
      <c r="CT15" s="46"/>
      <c r="CU15" s="167">
        <v>0</v>
      </c>
      <c r="CV15" s="168"/>
      <c r="CW15" s="61">
        <f>CY15/CX15</f>
        <v>-247570.35</v>
      </c>
      <c r="CX15" s="17">
        <v>1</v>
      </c>
      <c r="CY15" s="69">
        <v>-247570.35</v>
      </c>
      <c r="CZ15" s="61">
        <f>DB15/DA15</f>
        <v>-1570427.99</v>
      </c>
      <c r="DA15" s="46">
        <v>1</v>
      </c>
      <c r="DB15" s="69">
        <v>-1570427.99</v>
      </c>
      <c r="DC15" s="47"/>
      <c r="DD15" s="46"/>
      <c r="DE15" s="167">
        <v>0</v>
      </c>
      <c r="DF15" s="168"/>
      <c r="DG15" s="61">
        <f>DI15/DH15</f>
        <v>-238462.67</v>
      </c>
      <c r="DH15" s="17">
        <v>1</v>
      </c>
      <c r="DI15" s="69">
        <v>-238462.67</v>
      </c>
      <c r="DJ15" s="61">
        <f>DL15/DK15</f>
        <v>-1559344.79</v>
      </c>
      <c r="DK15" s="46">
        <v>1</v>
      </c>
      <c r="DL15" s="69">
        <v>-1559344.79</v>
      </c>
      <c r="DM15" s="47"/>
      <c r="DN15" s="46"/>
      <c r="DO15" s="167">
        <v>0</v>
      </c>
      <c r="DP15" s="168"/>
      <c r="DQ15" s="61">
        <f>DS15/DR15</f>
        <v>-238674.44</v>
      </c>
      <c r="DR15" s="17">
        <v>1</v>
      </c>
      <c r="DS15" s="69">
        <v>-238674.44</v>
      </c>
      <c r="DT15" s="61">
        <f>DV15/DU15</f>
        <v>-1561469.44</v>
      </c>
      <c r="DU15" s="46">
        <v>1</v>
      </c>
      <c r="DV15" s="69">
        <v>-1561469.44</v>
      </c>
      <c r="DW15" s="47"/>
      <c r="DX15" s="46"/>
      <c r="DY15" s="167">
        <v>0</v>
      </c>
      <c r="DZ15" s="168"/>
      <c r="EA15" s="61">
        <f>EC15/EB15</f>
        <v>-233254.55</v>
      </c>
      <c r="EB15" s="17">
        <v>1</v>
      </c>
      <c r="EC15" s="69">
        <v>-233254.55</v>
      </c>
      <c r="ED15" s="61">
        <f>EF15/EE15</f>
        <v>-1578967.22</v>
      </c>
      <c r="EE15" s="46">
        <v>1</v>
      </c>
      <c r="EF15" s="69">
        <v>-1578967.22</v>
      </c>
      <c r="EG15" s="47"/>
      <c r="EH15" s="46"/>
      <c r="EI15" s="167">
        <v>0</v>
      </c>
      <c r="EJ15" s="168"/>
      <c r="EK15" s="61">
        <f>EM15/EL15</f>
        <v>-233488.07</v>
      </c>
      <c r="EL15" s="17">
        <v>1</v>
      </c>
      <c r="EM15" s="69">
        <v>-233488.07</v>
      </c>
      <c r="EN15" s="61">
        <f>EP15/EO15</f>
        <v>-1636604.01</v>
      </c>
      <c r="EO15" s="46">
        <v>1</v>
      </c>
      <c r="EP15" s="69">
        <v>-1636604.01</v>
      </c>
      <c r="EQ15" s="47"/>
      <c r="ER15" s="46"/>
      <c r="ES15" s="167">
        <v>0</v>
      </c>
      <c r="ET15" s="168"/>
      <c r="EU15" s="61">
        <f>EW15/EV15</f>
        <v>-233385.87</v>
      </c>
      <c r="EV15" s="17">
        <v>1</v>
      </c>
      <c r="EW15" s="69">
        <v>-233385.87</v>
      </c>
      <c r="EX15" s="61">
        <f>EZ15/EY15</f>
        <v>-1651686.47</v>
      </c>
      <c r="EY15" s="46">
        <v>1</v>
      </c>
      <c r="EZ15" s="69">
        <v>-1651686.47</v>
      </c>
      <c r="FA15" s="47"/>
      <c r="FB15" s="46"/>
      <c r="FC15" s="167">
        <v>0</v>
      </c>
      <c r="FD15" s="168"/>
      <c r="FE15" s="61">
        <f>FG15/FF15</f>
        <v>-236586.71</v>
      </c>
      <c r="FF15" s="17">
        <v>1</v>
      </c>
      <c r="FG15" s="69">
        <v>-236586.71</v>
      </c>
      <c r="FH15" s="61">
        <f>FJ15/FI15</f>
        <v>-1651213.28</v>
      </c>
      <c r="FI15" s="46">
        <v>1</v>
      </c>
      <c r="FJ15" s="69">
        <v>-1651213.28</v>
      </c>
      <c r="FK15" s="47"/>
      <c r="FL15" s="46"/>
      <c r="FM15" s="167">
        <v>0</v>
      </c>
      <c r="FN15" s="168"/>
      <c r="FO15" s="61">
        <f>FQ15/FP15</f>
        <v>-237414.33</v>
      </c>
      <c r="FP15" s="17">
        <v>1</v>
      </c>
      <c r="FQ15" s="69">
        <v>-237414.33</v>
      </c>
      <c r="FR15" s="61">
        <f>FT15/FS15</f>
        <v>-1662774.56</v>
      </c>
      <c r="FS15" s="46">
        <v>1</v>
      </c>
      <c r="FT15" s="69">
        <v>-1662774.56</v>
      </c>
      <c r="FU15" s="47"/>
      <c r="FV15" s="46"/>
      <c r="FW15" s="167">
        <v>0</v>
      </c>
      <c r="FX15" s="168"/>
      <c r="FY15" s="61">
        <f>GA15/FZ15</f>
        <v>-238592.4</v>
      </c>
      <c r="FZ15" s="17">
        <v>1</v>
      </c>
      <c r="GA15" s="69">
        <v>-238592.4</v>
      </c>
      <c r="GB15" s="61">
        <f>GD15/GC15</f>
        <v>-1656721.83</v>
      </c>
      <c r="GC15" s="46">
        <v>1</v>
      </c>
      <c r="GD15" s="69">
        <v>-1656721.83</v>
      </c>
      <c r="GE15" s="47"/>
      <c r="GF15" s="46"/>
      <c r="GG15" s="167">
        <v>0</v>
      </c>
      <c r="GH15" s="168"/>
      <c r="GI15" s="61">
        <f>GK15/GJ15</f>
        <v>-233540.19</v>
      </c>
      <c r="GJ15" s="17">
        <v>1</v>
      </c>
      <c r="GK15" s="69">
        <v>-233540.19</v>
      </c>
      <c r="GL15" s="61">
        <f>GN15/GM15</f>
        <v>-1639526.71</v>
      </c>
      <c r="GM15" s="46">
        <v>1</v>
      </c>
      <c r="GN15" s="69">
        <v>-1639526.71</v>
      </c>
      <c r="GO15" s="47"/>
      <c r="GP15" s="46"/>
      <c r="GQ15" s="167">
        <v>0</v>
      </c>
      <c r="GR15" s="168"/>
      <c r="GS15" s="61">
        <f>GU15/GT15</f>
        <v>-230579.19</v>
      </c>
      <c r="GT15" s="17">
        <v>1</v>
      </c>
      <c r="GU15" s="69">
        <v>-230579.19</v>
      </c>
      <c r="GV15" s="61">
        <f>GX15/GW15</f>
        <v>-1640216.63</v>
      </c>
      <c r="GW15" s="46">
        <v>1</v>
      </c>
      <c r="GX15" s="69">
        <v>-1640216.63</v>
      </c>
      <c r="GY15" s="47"/>
      <c r="GZ15" s="46"/>
      <c r="HA15" s="167">
        <v>0</v>
      </c>
      <c r="HB15" s="168"/>
      <c r="HC15" s="61">
        <f>HE15/HD15</f>
        <v>-230579.19</v>
      </c>
      <c r="HD15" s="17">
        <v>1</v>
      </c>
      <c r="HE15" s="69">
        <v>-230579.19</v>
      </c>
      <c r="HF15" s="61">
        <f>HH15/HG15</f>
        <v>-1640216.63</v>
      </c>
      <c r="HG15" s="46">
        <v>1</v>
      </c>
      <c r="HH15" s="69">
        <v>-1640216.63</v>
      </c>
      <c r="HI15" s="47"/>
      <c r="HJ15" s="46"/>
      <c r="HK15" s="167">
        <v>0</v>
      </c>
      <c r="HL15" s="168"/>
      <c r="HM15" s="61">
        <f>HO15/HN15</f>
        <v>-227305.56</v>
      </c>
      <c r="HN15" s="17">
        <v>1</v>
      </c>
      <c r="HO15" s="69">
        <v>-227305.56</v>
      </c>
      <c r="HP15" s="61">
        <f>HR15/HQ15</f>
        <v>-1640441.32</v>
      </c>
      <c r="HQ15" s="46">
        <v>1</v>
      </c>
      <c r="HR15" s="69">
        <v>-1640441.32</v>
      </c>
      <c r="HS15" s="47"/>
      <c r="HT15" s="46"/>
      <c r="HU15" s="167">
        <v>0</v>
      </c>
      <c r="HV15" s="168"/>
      <c r="HW15" s="61">
        <f>HY15/HX15</f>
        <v>-225927.61</v>
      </c>
      <c r="HX15" s="17">
        <v>1</v>
      </c>
      <c r="HY15" s="69">
        <v>-225927.61</v>
      </c>
      <c r="HZ15" s="61">
        <f>IB15/IA15</f>
        <v>-1639080.36</v>
      </c>
      <c r="IA15" s="46">
        <v>1</v>
      </c>
      <c r="IB15" s="69">
        <v>-1639080.36</v>
      </c>
      <c r="IC15" s="47"/>
      <c r="ID15" s="46"/>
      <c r="IE15" s="167">
        <v>0</v>
      </c>
      <c r="IF15" s="168"/>
      <c r="IG15" s="61">
        <f>II15/IH15</f>
        <v>-230388.87</v>
      </c>
      <c r="IH15" s="17">
        <v>1</v>
      </c>
      <c r="II15" s="69">
        <v>-230388.87</v>
      </c>
      <c r="IJ15" s="61">
        <f>IL15/IK15</f>
        <v>-1642940.72</v>
      </c>
      <c r="IK15" s="46">
        <v>1</v>
      </c>
      <c r="IL15" s="69">
        <v>-1642940.72</v>
      </c>
      <c r="IM15" s="47"/>
      <c r="IN15" s="46"/>
      <c r="IO15" s="167">
        <v>0</v>
      </c>
      <c r="IP15" s="168"/>
      <c r="IQ15" s="61">
        <f>IS15/IR15</f>
        <v>-226590.21</v>
      </c>
      <c r="IR15" s="17">
        <v>1</v>
      </c>
      <c r="IS15" s="69">
        <v>-226590.21</v>
      </c>
      <c r="IT15" s="61">
        <f>IV15/IU15</f>
        <v>-1754041.55</v>
      </c>
      <c r="IU15" s="46">
        <v>1</v>
      </c>
      <c r="IV15" s="69">
        <v>-1754041.55</v>
      </c>
      <c r="IW15" s="47"/>
      <c r="IX15" s="46"/>
      <c r="IY15" s="167">
        <v>0</v>
      </c>
      <c r="IZ15" s="168"/>
      <c r="JA15" s="61">
        <f>JC15/JB15</f>
        <v>-229732</v>
      </c>
      <c r="JB15" s="17">
        <v>1</v>
      </c>
      <c r="JC15" s="69">
        <v>-229732</v>
      </c>
      <c r="JD15" s="61">
        <f>JF15/JE15</f>
        <v>-1748504.13</v>
      </c>
      <c r="JE15" s="46">
        <v>1</v>
      </c>
      <c r="JF15" s="69">
        <v>-1748504.13</v>
      </c>
      <c r="JG15" s="47"/>
      <c r="JH15" s="46"/>
      <c r="JI15" s="167">
        <v>0</v>
      </c>
      <c r="JJ15" s="168"/>
      <c r="JK15" s="61">
        <f>JM15/JL15</f>
        <v>-225678.65</v>
      </c>
      <c r="JL15" s="17">
        <v>1</v>
      </c>
      <c r="JM15" s="69">
        <v>-225678.65</v>
      </c>
      <c r="JN15" s="61">
        <f>JP15/JO15</f>
        <v>-1772409.52</v>
      </c>
      <c r="JO15" s="46">
        <v>1</v>
      </c>
      <c r="JP15" s="69">
        <v>-1772409.52</v>
      </c>
      <c r="JQ15" s="47"/>
      <c r="JR15" s="46"/>
      <c r="JS15" s="167">
        <v>0</v>
      </c>
      <c r="JT15" s="168"/>
      <c r="JU15" s="61">
        <f>JW15/JV15</f>
        <v>-227460.06</v>
      </c>
      <c r="JV15" s="17">
        <v>1</v>
      </c>
      <c r="JW15" s="69">
        <v>-227460.06</v>
      </c>
      <c r="JX15" s="61">
        <f>JZ15/JY15</f>
        <v>-1786004.34</v>
      </c>
      <c r="JY15" s="46">
        <v>1</v>
      </c>
      <c r="JZ15" s="69">
        <v>-1786004.34</v>
      </c>
      <c r="KA15" s="47"/>
      <c r="KB15" s="46"/>
      <c r="KC15" s="167">
        <v>0</v>
      </c>
      <c r="KD15" s="168"/>
      <c r="KE15" s="61">
        <f>KG15/KF15</f>
        <v>-226758.04</v>
      </c>
      <c r="KF15" s="17">
        <v>1</v>
      </c>
      <c r="KG15" s="69">
        <v>-226758.04</v>
      </c>
      <c r="KH15" s="61">
        <f>KJ15/KI15</f>
        <v>-1802968.25</v>
      </c>
      <c r="KI15" s="46">
        <v>1</v>
      </c>
      <c r="KJ15" s="69">
        <v>-1802968.25</v>
      </c>
      <c r="KK15" s="47"/>
      <c r="KL15" s="46"/>
      <c r="KM15" s="167">
        <v>0</v>
      </c>
      <c r="KN15" s="168"/>
      <c r="KO15" s="61">
        <f>KQ15/KP15</f>
        <v>-227134.15</v>
      </c>
      <c r="KP15" s="17">
        <v>1</v>
      </c>
      <c r="KQ15" s="69">
        <v>-227134.15</v>
      </c>
      <c r="KR15" s="61">
        <f>KT15/KS15</f>
        <v>-1811979.78</v>
      </c>
      <c r="KS15" s="46">
        <v>1</v>
      </c>
      <c r="KT15" s="69">
        <v>-1811979.78</v>
      </c>
      <c r="KU15" s="47"/>
      <c r="KV15" s="46"/>
      <c r="KW15" s="167">
        <v>0</v>
      </c>
      <c r="KX15" s="168"/>
      <c r="KY15" s="61">
        <f>LA15/KZ15</f>
        <v>-230932.06</v>
      </c>
      <c r="KZ15" s="17">
        <v>1</v>
      </c>
      <c r="LA15" s="69">
        <v>-230932.06</v>
      </c>
      <c r="LB15" s="61">
        <f>LD15/LC15</f>
        <v>-1795391.42</v>
      </c>
      <c r="LC15" s="46">
        <v>1</v>
      </c>
      <c r="LD15" s="69">
        <v>-1795391.42</v>
      </c>
      <c r="LE15" s="47"/>
      <c r="LF15" s="46"/>
      <c r="LG15" s="167">
        <v>0</v>
      </c>
      <c r="LH15" s="168"/>
      <c r="LI15" s="61">
        <f>LK15/LJ15</f>
        <v>-229880.52</v>
      </c>
      <c r="LJ15" s="17">
        <v>1</v>
      </c>
      <c r="LK15" s="69">
        <v>-229880.52</v>
      </c>
      <c r="LL15" s="61">
        <f>LN15/LM15</f>
        <v>-1795934.09</v>
      </c>
      <c r="LM15" s="46">
        <v>1</v>
      </c>
      <c r="LN15" s="69">
        <v>-1795934.09</v>
      </c>
      <c r="LO15" s="47"/>
      <c r="LP15" s="46"/>
      <c r="LQ15" s="167">
        <v>0</v>
      </c>
      <c r="LR15" s="168"/>
      <c r="LS15" s="61">
        <f>LU15/LT15</f>
        <v>-229460.17</v>
      </c>
      <c r="LT15" s="17">
        <v>1</v>
      </c>
      <c r="LU15" s="69">
        <v>-229460.17</v>
      </c>
      <c r="LV15" s="61">
        <f>LX15/LW15</f>
        <v>-1703620.26</v>
      </c>
      <c r="LW15" s="46">
        <v>1</v>
      </c>
      <c r="LX15" s="69">
        <v>-1703620.26</v>
      </c>
      <c r="LY15" s="47"/>
      <c r="LZ15" s="46"/>
      <c r="MA15" s="167">
        <v>0</v>
      </c>
      <c r="MB15" s="168"/>
      <c r="MC15" s="61">
        <f>ME15/MD15</f>
        <v>-232956.86</v>
      </c>
      <c r="MD15" s="17">
        <v>1</v>
      </c>
      <c r="ME15" s="69">
        <v>-232956.86</v>
      </c>
      <c r="MF15" s="61">
        <f>MH15/MG15</f>
        <v>-1714824.83</v>
      </c>
      <c r="MG15" s="46">
        <v>1</v>
      </c>
      <c r="MH15" s="69">
        <v>-1714824.83</v>
      </c>
      <c r="MI15" s="47"/>
      <c r="MJ15" s="46"/>
      <c r="MK15" s="167">
        <v>0</v>
      </c>
      <c r="ML15" s="168"/>
      <c r="MM15" s="61">
        <f>MO15/MN15</f>
        <v>-229732</v>
      </c>
      <c r="MN15" s="17">
        <v>1</v>
      </c>
      <c r="MO15" s="69">
        <v>-229732</v>
      </c>
      <c r="MP15" s="61">
        <f>MR15/MQ15</f>
        <v>-1669415.25</v>
      </c>
      <c r="MQ15" s="46">
        <v>1</v>
      </c>
      <c r="MR15" s="69">
        <v>-1669415.25</v>
      </c>
      <c r="MS15" s="47"/>
      <c r="MT15" s="46"/>
      <c r="MU15" s="167">
        <v>0</v>
      </c>
      <c r="MV15" s="168"/>
      <c r="MW15" s="61">
        <f>MY15/MX15</f>
        <v>-230413.86</v>
      </c>
      <c r="MX15" s="17">
        <v>1</v>
      </c>
      <c r="MY15" s="69">
        <v>-230413.86</v>
      </c>
      <c r="MZ15" s="61">
        <f>NB15/NA15</f>
        <v>-1633236.26</v>
      </c>
      <c r="NA15" s="46">
        <v>1</v>
      </c>
      <c r="NB15" s="69">
        <v>-1633236.26</v>
      </c>
      <c r="NC15" s="47"/>
      <c r="ND15" s="46"/>
      <c r="NE15" s="167">
        <v>0</v>
      </c>
      <c r="NF15" s="168"/>
      <c r="NG15" s="61">
        <f>NI15/NH15</f>
        <v>-230053.31</v>
      </c>
      <c r="NH15" s="17">
        <v>1</v>
      </c>
      <c r="NI15" s="69">
        <v>-230053.31</v>
      </c>
      <c r="NJ15" s="61">
        <f>NL15/NK15</f>
        <v>-1646544.06</v>
      </c>
      <c r="NK15" s="46">
        <v>1</v>
      </c>
      <c r="NL15" s="69">
        <v>-1646544.06</v>
      </c>
      <c r="NM15" s="47"/>
      <c r="NN15" s="46"/>
      <c r="NO15" s="167">
        <v>0</v>
      </c>
      <c r="NP15" s="168"/>
      <c r="NQ15" s="61">
        <f>NS15/NR15</f>
        <v>-229630.44</v>
      </c>
      <c r="NR15" s="17">
        <v>1</v>
      </c>
      <c r="NS15" s="69">
        <v>-229630.44</v>
      </c>
      <c r="NT15" s="61">
        <f>NV15/NU15</f>
        <v>-1638857.95</v>
      </c>
      <c r="NU15" s="46">
        <v>1</v>
      </c>
      <c r="NV15" s="69">
        <v>-1638857.95</v>
      </c>
      <c r="NW15" s="47"/>
      <c r="NX15" s="46"/>
      <c r="NY15" s="167">
        <v>0</v>
      </c>
      <c r="NZ15" s="168"/>
      <c r="OA15" s="61">
        <f>OC15/OB15</f>
        <v>-231548.1</v>
      </c>
      <c r="OB15" s="17">
        <v>1</v>
      </c>
      <c r="OC15" s="69">
        <v>-231548.1</v>
      </c>
      <c r="OD15" s="61">
        <f>OF15/OE15</f>
        <v>-1647207.57</v>
      </c>
      <c r="OE15" s="46">
        <v>1</v>
      </c>
      <c r="OF15" s="69">
        <v>-1647207.57</v>
      </c>
      <c r="OG15" s="47"/>
      <c r="OH15" s="46"/>
      <c r="OI15" s="167">
        <v>0</v>
      </c>
      <c r="OJ15" s="168"/>
      <c r="OK15" s="61">
        <f>OM15/OL15</f>
        <v>-231548.1</v>
      </c>
      <c r="OL15" s="17">
        <v>1</v>
      </c>
      <c r="OM15" s="69">
        <v>-231548.1</v>
      </c>
      <c r="ON15" s="61">
        <f>OP15/OO15</f>
        <v>-1647207.57</v>
      </c>
      <c r="OO15" s="46">
        <v>1</v>
      </c>
      <c r="OP15" s="69">
        <v>-1647207.57</v>
      </c>
      <c r="OQ15" s="47"/>
      <c r="OR15" s="46"/>
      <c r="OS15" s="167">
        <v>0</v>
      </c>
      <c r="OT15" s="168"/>
      <c r="OU15" s="61">
        <f>OW15/OV15</f>
        <v>-229336.46</v>
      </c>
      <c r="OV15" s="17">
        <v>1</v>
      </c>
      <c r="OW15" s="69">
        <v>-229336.46</v>
      </c>
      <c r="OX15" s="61">
        <f>OZ15/OY15</f>
        <v>-1647207.57</v>
      </c>
      <c r="OY15" s="46">
        <v>1</v>
      </c>
      <c r="OZ15" s="69">
        <v>-1647207.57</v>
      </c>
      <c r="PA15" s="47"/>
      <c r="PB15" s="46"/>
      <c r="PC15" s="167">
        <v>0</v>
      </c>
      <c r="PD15" s="168"/>
      <c r="PE15" s="61">
        <f>PG15/PF15</f>
        <v>-231548.1</v>
      </c>
      <c r="PF15" s="17">
        <v>1</v>
      </c>
      <c r="PG15" s="69">
        <v>-231548.1</v>
      </c>
      <c r="PH15" s="61">
        <f>PJ15/PI15</f>
        <v>-1647207.57</v>
      </c>
      <c r="PI15" s="46">
        <v>1</v>
      </c>
      <c r="PJ15" s="69">
        <v>-1647207.57</v>
      </c>
      <c r="PK15" s="47"/>
      <c r="PL15" s="46"/>
      <c r="PM15" s="167">
        <v>0</v>
      </c>
      <c r="PN15" s="168"/>
      <c r="PO15" s="61">
        <f>PQ15/PP15</f>
        <v>-231548.1</v>
      </c>
      <c r="PP15" s="17">
        <v>1</v>
      </c>
      <c r="PQ15" s="69">
        <v>-231548.1</v>
      </c>
      <c r="PR15" s="61">
        <f>PT15/PS15</f>
        <v>-1647207.57</v>
      </c>
      <c r="PS15" s="46">
        <v>1</v>
      </c>
      <c r="PT15" s="69">
        <v>-1647207.57</v>
      </c>
      <c r="PU15" s="47"/>
      <c r="PV15" s="46"/>
      <c r="PW15" s="167">
        <v>0</v>
      </c>
      <c r="PX15" s="168"/>
      <c r="PY15" s="61">
        <f>QA15/PZ15</f>
        <v>-231548.1</v>
      </c>
      <c r="PZ15" s="17">
        <v>1</v>
      </c>
      <c r="QA15" s="69">
        <v>-231548.1</v>
      </c>
      <c r="QB15" s="61">
        <f>QD15/QC15</f>
        <v>-1647207.57</v>
      </c>
      <c r="QC15" s="46">
        <v>1</v>
      </c>
      <c r="QD15" s="69">
        <v>-1647207.57</v>
      </c>
      <c r="QE15" s="47"/>
      <c r="QF15" s="46"/>
      <c r="QG15" s="167">
        <v>0</v>
      </c>
      <c r="QH15" s="168"/>
      <c r="QI15" s="61">
        <f>QK15/QJ15</f>
        <v>-231548.1</v>
      </c>
      <c r="QJ15" s="17">
        <v>1</v>
      </c>
      <c r="QK15" s="69">
        <v>-231548.1</v>
      </c>
      <c r="QL15" s="61">
        <f>QN15/QM15</f>
        <v>-1647207.57</v>
      </c>
      <c r="QM15" s="46">
        <v>1</v>
      </c>
      <c r="QN15" s="69">
        <v>-1647207.57</v>
      </c>
      <c r="QO15" s="47"/>
      <c r="QP15" s="46"/>
      <c r="QQ15" s="167">
        <v>0</v>
      </c>
      <c r="QR15" s="168"/>
      <c r="QS15" s="61">
        <f>QU15/QT15</f>
        <v>-231548.1</v>
      </c>
      <c r="QT15" s="17">
        <v>1</v>
      </c>
      <c r="QU15" s="69">
        <v>-231548.1</v>
      </c>
      <c r="QV15" s="61">
        <f>QX15/QW15</f>
        <v>-1647207.57</v>
      </c>
      <c r="QW15" s="46">
        <v>1</v>
      </c>
      <c r="QX15" s="69">
        <v>-1647207.57</v>
      </c>
      <c r="QY15" s="47"/>
      <c r="QZ15" s="46"/>
      <c r="RA15" s="167">
        <v>0</v>
      </c>
      <c r="RB15" s="168"/>
      <c r="RC15" s="61">
        <f>RE15/RD15</f>
        <v>-231548.1</v>
      </c>
      <c r="RD15" s="17">
        <v>1</v>
      </c>
      <c r="RE15" s="69">
        <v>-231548.1</v>
      </c>
      <c r="RF15" s="61">
        <f>RH15/RG15</f>
        <v>-1647207.57</v>
      </c>
      <c r="RG15" s="46">
        <v>1</v>
      </c>
      <c r="RH15" s="69">
        <v>-1647207.57</v>
      </c>
      <c r="RI15" s="47"/>
      <c r="RJ15" s="46"/>
      <c r="RK15" s="167">
        <v>0</v>
      </c>
      <c r="RL15" s="168"/>
      <c r="RM15" s="61">
        <f>RO15/RN15</f>
        <v>-231548.1</v>
      </c>
      <c r="RN15" s="17">
        <v>1</v>
      </c>
      <c r="RO15" s="69">
        <v>-231548.1</v>
      </c>
      <c r="RP15" s="61">
        <f>RR15/RQ15</f>
        <v>-1647207.57</v>
      </c>
      <c r="RQ15" s="46">
        <v>1</v>
      </c>
      <c r="RR15" s="69">
        <v>-1647207.57</v>
      </c>
      <c r="RS15" s="47"/>
      <c r="RT15" s="46"/>
      <c r="RU15" s="167">
        <v>0</v>
      </c>
    </row>
    <row r="16" spans="1:489" x14ac:dyDescent="0.25">
      <c r="A16" s="67" t="s">
        <v>165</v>
      </c>
      <c r="B16" s="17"/>
      <c r="C16" s="17"/>
      <c r="D16" s="54">
        <v>-316100.62</v>
      </c>
      <c r="E16" s="53"/>
      <c r="F16" s="46"/>
      <c r="G16" s="54">
        <v>3681301.22</v>
      </c>
      <c r="H16" s="47"/>
      <c r="I16" s="46"/>
      <c r="J16" s="167">
        <v>-43090.12</v>
      </c>
      <c r="K16" s="47"/>
      <c r="L16" s="17"/>
      <c r="M16" s="69">
        <v>-725661.64</v>
      </c>
      <c r="N16" s="53"/>
      <c r="O16" s="46"/>
      <c r="P16" s="69">
        <v>2226854.0299999998</v>
      </c>
      <c r="Q16" s="47"/>
      <c r="R16" s="46"/>
      <c r="S16" s="69">
        <v>-43839.88</v>
      </c>
      <c r="T16" s="73"/>
      <c r="U16" s="47"/>
      <c r="V16" s="17"/>
      <c r="W16" s="69">
        <v>-907304.48</v>
      </c>
      <c r="X16" s="61">
        <f>Z16/Y16</f>
        <v>3560276.77</v>
      </c>
      <c r="Y16" s="46">
        <v>1</v>
      </c>
      <c r="Z16" s="69">
        <v>3560276.77</v>
      </c>
      <c r="AA16" s="47"/>
      <c r="AB16" s="46"/>
      <c r="AC16" s="69">
        <v>-45590.26</v>
      </c>
      <c r="AD16" s="73"/>
      <c r="AE16" s="47"/>
      <c r="AF16" s="17"/>
      <c r="AG16" s="69">
        <v>-512655.55</v>
      </c>
      <c r="AH16" s="61">
        <f>AJ16/AI16</f>
        <v>2547154.34</v>
      </c>
      <c r="AI16" s="46">
        <v>1</v>
      </c>
      <c r="AJ16" s="69">
        <v>2547154.34</v>
      </c>
      <c r="AK16" s="47"/>
      <c r="AL16" s="46"/>
      <c r="AM16" s="69">
        <v>-47895.61</v>
      </c>
      <c r="AN16" s="73"/>
      <c r="AO16" s="47"/>
      <c r="AP16" s="17"/>
      <c r="AQ16" s="69">
        <v>-512655.55</v>
      </c>
      <c r="AR16" s="61">
        <f>AT16/AS16</f>
        <v>2547154.34</v>
      </c>
      <c r="AS16" s="46">
        <v>1</v>
      </c>
      <c r="AT16" s="69">
        <v>2547154.34</v>
      </c>
      <c r="AU16" s="47"/>
      <c r="AV16" s="46"/>
      <c r="AW16" s="69">
        <v>-47895.61</v>
      </c>
      <c r="AX16" s="73"/>
      <c r="AY16" s="47"/>
      <c r="AZ16" s="17"/>
      <c r="BA16" s="69">
        <v>-497955.4</v>
      </c>
      <c r="BB16" s="61">
        <f>BD16/BC16</f>
        <v>1963997.44</v>
      </c>
      <c r="BC16" s="46">
        <v>1</v>
      </c>
      <c r="BD16" s="69">
        <v>1963997.44</v>
      </c>
      <c r="BE16" s="47"/>
      <c r="BF16" s="46"/>
      <c r="BG16" s="69">
        <v>-29381.439999999999</v>
      </c>
      <c r="BH16" s="73"/>
      <c r="BI16" s="47"/>
      <c r="BJ16" s="17"/>
      <c r="BK16" s="69">
        <v>15085.19</v>
      </c>
      <c r="BL16" s="61">
        <f>BN16/BM16</f>
        <v>1374067.75</v>
      </c>
      <c r="BM16" s="46">
        <v>1</v>
      </c>
      <c r="BN16" s="69">
        <v>1374067.75</v>
      </c>
      <c r="BO16" s="47"/>
      <c r="BP16" s="46"/>
      <c r="BQ16" s="69">
        <v>-27184.34</v>
      </c>
      <c r="BR16" s="73"/>
      <c r="BS16" s="47"/>
      <c r="BT16" s="17"/>
      <c r="BU16" s="69">
        <v>-33316.57</v>
      </c>
      <c r="BV16" s="61">
        <f>BX16/BW16</f>
        <v>2593259.98</v>
      </c>
      <c r="BW16" s="46">
        <v>1</v>
      </c>
      <c r="BX16" s="69">
        <v>2593259.98</v>
      </c>
      <c r="BY16" s="47"/>
      <c r="BZ16" s="46"/>
      <c r="CA16" s="69">
        <v>-27998.25</v>
      </c>
      <c r="CB16" s="73"/>
      <c r="CC16" s="47"/>
      <c r="CD16" s="17"/>
      <c r="CE16" s="69">
        <v>557092.22</v>
      </c>
      <c r="CF16" s="61">
        <f>CH16/CG16</f>
        <v>2933057.4</v>
      </c>
      <c r="CG16" s="46">
        <v>1</v>
      </c>
      <c r="CH16" s="69">
        <v>2933057.4</v>
      </c>
      <c r="CI16" s="47"/>
      <c r="CJ16" s="46"/>
      <c r="CK16" s="69">
        <v>-28810.18</v>
      </c>
      <c r="CL16" s="73"/>
      <c r="CM16" s="47"/>
      <c r="CN16" s="17"/>
      <c r="CO16" s="69">
        <v>461043.09</v>
      </c>
      <c r="CP16" s="61">
        <f>CR16/CQ16</f>
        <v>2323992.86</v>
      </c>
      <c r="CQ16" s="46">
        <v>1</v>
      </c>
      <c r="CR16" s="69">
        <v>2323992.86</v>
      </c>
      <c r="CS16" s="47"/>
      <c r="CT16" s="46"/>
      <c r="CU16" s="69">
        <v>-29591.4</v>
      </c>
      <c r="CV16" s="73"/>
      <c r="CW16" s="47"/>
      <c r="CX16" s="17"/>
      <c r="CY16" s="69">
        <v>326969.84000000003</v>
      </c>
      <c r="CZ16" s="61">
        <f>DB16/DA16</f>
        <v>1418024.35</v>
      </c>
      <c r="DA16" s="46">
        <v>1</v>
      </c>
      <c r="DB16" s="69">
        <v>1418024.35</v>
      </c>
      <c r="DC16" s="47"/>
      <c r="DD16" s="46"/>
      <c r="DE16" s="69">
        <v>-29591.4</v>
      </c>
      <c r="DF16" s="73"/>
      <c r="DG16" s="47"/>
      <c r="DH16" s="17"/>
      <c r="DI16" s="69">
        <v>1420966.45</v>
      </c>
      <c r="DJ16" s="61">
        <f>DL16/DK16</f>
        <v>2516255.96</v>
      </c>
      <c r="DK16" s="46">
        <v>1</v>
      </c>
      <c r="DL16" s="69">
        <v>2516255.96</v>
      </c>
      <c r="DM16" s="47"/>
      <c r="DN16" s="46"/>
      <c r="DO16" s="69">
        <v>-31217.25</v>
      </c>
      <c r="DP16" s="73"/>
      <c r="DQ16" s="47"/>
      <c r="DR16" s="17"/>
      <c r="DS16" s="69">
        <v>464652.06</v>
      </c>
      <c r="DT16" s="61">
        <f>DV16/DU16</f>
        <v>1934780.6</v>
      </c>
      <c r="DU16" s="46">
        <v>1</v>
      </c>
      <c r="DV16" s="69">
        <v>1934780.6</v>
      </c>
      <c r="DW16" s="47"/>
      <c r="DX16" s="46"/>
      <c r="DY16" s="69">
        <v>-31217.25</v>
      </c>
      <c r="DZ16" s="73"/>
      <c r="EA16" s="47"/>
      <c r="EB16" s="17"/>
      <c r="EC16" s="69">
        <v>530234.66</v>
      </c>
      <c r="ED16" s="61">
        <f>EF16/EE16</f>
        <v>3289567.69</v>
      </c>
      <c r="EE16" s="46">
        <v>1</v>
      </c>
      <c r="EF16" s="69">
        <v>3289567.69</v>
      </c>
      <c r="EG16" s="47"/>
      <c r="EH16" s="46"/>
      <c r="EI16" s="69">
        <v>-32844.080000000002</v>
      </c>
      <c r="EJ16" s="73"/>
      <c r="EK16" s="47"/>
      <c r="EL16" s="17"/>
      <c r="EM16" s="69">
        <v>83101.64</v>
      </c>
      <c r="EN16" s="61">
        <f>EP16/EO16</f>
        <v>2620331.61</v>
      </c>
      <c r="EO16" s="46">
        <v>1</v>
      </c>
      <c r="EP16" s="69">
        <v>2620331.61</v>
      </c>
      <c r="EQ16" s="47"/>
      <c r="ER16" s="46"/>
      <c r="ES16" s="69">
        <v>-33657.58</v>
      </c>
      <c r="ET16" s="73"/>
      <c r="EU16" s="47"/>
      <c r="EV16" s="17"/>
      <c r="EW16" s="69">
        <v>423296.46</v>
      </c>
      <c r="EX16" s="61">
        <f>EZ16/EY16</f>
        <v>1491620.87</v>
      </c>
      <c r="EY16" s="46">
        <v>1</v>
      </c>
      <c r="EZ16" s="69">
        <v>1491620.87</v>
      </c>
      <c r="FA16" s="47"/>
      <c r="FB16" s="46"/>
      <c r="FC16" s="69">
        <v>-34472.26</v>
      </c>
      <c r="FD16" s="73"/>
      <c r="FE16" s="47"/>
      <c r="FF16" s="17"/>
      <c r="FG16" s="69">
        <v>486174.21</v>
      </c>
      <c r="FH16" s="61">
        <f>FJ16/FI16</f>
        <v>1565737.81</v>
      </c>
      <c r="FI16" s="46">
        <v>1</v>
      </c>
      <c r="FJ16" s="69">
        <v>1565737.81</v>
      </c>
      <c r="FK16" s="47"/>
      <c r="FL16" s="46"/>
      <c r="FM16" s="69">
        <v>-35288.17</v>
      </c>
      <c r="FN16" s="73"/>
      <c r="FO16" s="47"/>
      <c r="FP16" s="17"/>
      <c r="FQ16" s="69">
        <v>878475.83</v>
      </c>
      <c r="FR16" s="61">
        <f>FT16/FS16</f>
        <v>1133194.8600000001</v>
      </c>
      <c r="FS16" s="46">
        <v>1</v>
      </c>
      <c r="FT16" s="69">
        <v>1133194.8600000001</v>
      </c>
      <c r="FU16" s="47"/>
      <c r="FV16" s="46"/>
      <c r="FW16" s="69">
        <v>-36103.440000000002</v>
      </c>
      <c r="FX16" s="73"/>
      <c r="FY16" s="47"/>
      <c r="FZ16" s="17"/>
      <c r="GA16" s="69">
        <v>685254.81</v>
      </c>
      <c r="GB16" s="61">
        <f>GD16/GC16</f>
        <v>3227093.07</v>
      </c>
      <c r="GC16" s="46">
        <v>1</v>
      </c>
      <c r="GD16" s="69">
        <v>3227093.07</v>
      </c>
      <c r="GE16" s="47"/>
      <c r="GF16" s="46"/>
      <c r="GG16" s="69">
        <v>-36918.99</v>
      </c>
      <c r="GH16" s="73"/>
      <c r="GI16" s="47"/>
      <c r="GJ16" s="17"/>
      <c r="GK16" s="69">
        <v>295766.64</v>
      </c>
      <c r="GL16" s="61">
        <f>GN16/GM16</f>
        <v>3052275.01</v>
      </c>
      <c r="GM16" s="46">
        <v>1</v>
      </c>
      <c r="GN16" s="69">
        <v>3052275.01</v>
      </c>
      <c r="GO16" s="47"/>
      <c r="GP16" s="46"/>
      <c r="GQ16" s="69">
        <v>-37734.97</v>
      </c>
      <c r="GR16" s="73"/>
      <c r="GS16" s="47"/>
      <c r="GT16" s="17"/>
      <c r="GU16" s="69">
        <v>-2564143.61</v>
      </c>
      <c r="GV16" s="61">
        <f>GX16/GW16</f>
        <v>1992926.98</v>
      </c>
      <c r="GW16" s="46">
        <v>1</v>
      </c>
      <c r="GX16" s="69">
        <v>1992926.98</v>
      </c>
      <c r="GY16" s="47"/>
      <c r="GZ16" s="46"/>
      <c r="HA16" s="69">
        <v>2961448.59</v>
      </c>
      <c r="HB16" s="73"/>
      <c r="HC16" s="47"/>
      <c r="HD16" s="17"/>
      <c r="HE16" s="69">
        <v>-2564143.61</v>
      </c>
      <c r="HF16" s="61">
        <f>HH16/HG16</f>
        <v>1992926.98</v>
      </c>
      <c r="HG16" s="46">
        <v>1</v>
      </c>
      <c r="HH16" s="69">
        <v>1992926.98</v>
      </c>
      <c r="HI16" s="47"/>
      <c r="HJ16" s="46"/>
      <c r="HK16" s="69">
        <v>2961448.59</v>
      </c>
      <c r="HL16" s="73"/>
      <c r="HM16" s="47"/>
      <c r="HN16" s="17"/>
      <c r="HO16" s="69">
        <v>485968.48</v>
      </c>
      <c r="HP16" s="61">
        <f>HR16/HQ16</f>
        <v>992893.4</v>
      </c>
      <c r="HQ16" s="46">
        <v>1</v>
      </c>
      <c r="HR16" s="69">
        <v>992893.4</v>
      </c>
      <c r="HS16" s="47"/>
      <c r="HT16" s="46"/>
      <c r="HU16" s="69">
        <v>-39368.19</v>
      </c>
      <c r="HV16" s="73"/>
      <c r="HW16" s="47"/>
      <c r="HX16" s="17"/>
      <c r="HY16" s="69">
        <v>73922.42</v>
      </c>
      <c r="HZ16" s="61">
        <f>IB16/IA16</f>
        <v>3013957.53</v>
      </c>
      <c r="IA16" s="46">
        <v>1</v>
      </c>
      <c r="IB16" s="69">
        <v>3013957.53</v>
      </c>
      <c r="IC16" s="47"/>
      <c r="ID16" s="46"/>
      <c r="IE16" s="69">
        <v>-40185.4</v>
      </c>
      <c r="IF16" s="73"/>
      <c r="IG16" s="47"/>
      <c r="IH16" s="17"/>
      <c r="II16" s="69">
        <v>482902.66</v>
      </c>
      <c r="IJ16" s="61">
        <f>IL16/IK16</f>
        <v>3324474.27</v>
      </c>
      <c r="IK16" s="46">
        <v>1</v>
      </c>
      <c r="IL16" s="69">
        <v>3324474.27</v>
      </c>
      <c r="IM16" s="47"/>
      <c r="IN16" s="46"/>
      <c r="IO16" s="69">
        <v>-41002.839999999997</v>
      </c>
      <c r="IP16" s="73"/>
      <c r="IQ16" s="47"/>
      <c r="IR16" s="17"/>
      <c r="IS16" s="69">
        <v>285104.03000000003</v>
      </c>
      <c r="IT16" s="61">
        <f>IV16/IU16</f>
        <v>1082427.96</v>
      </c>
      <c r="IU16" s="46">
        <v>1</v>
      </c>
      <c r="IV16" s="69">
        <v>1082427.96</v>
      </c>
      <c r="IW16" s="47"/>
      <c r="IX16" s="46"/>
      <c r="IY16" s="69">
        <v>-41002.839999999997</v>
      </c>
      <c r="IZ16" s="73"/>
      <c r="JA16" s="47"/>
      <c r="JB16" s="17"/>
      <c r="JC16" s="69">
        <v>220838.42</v>
      </c>
      <c r="JD16" s="61">
        <f>JF16/JE16</f>
        <v>2616004.34</v>
      </c>
      <c r="JE16" s="46">
        <v>1</v>
      </c>
      <c r="JF16" s="69">
        <v>2616004.34</v>
      </c>
      <c r="JG16" s="47"/>
      <c r="JH16" s="46"/>
      <c r="JI16" s="69">
        <v>-42706.37</v>
      </c>
      <c r="JJ16" s="73"/>
      <c r="JK16" s="47"/>
      <c r="JL16" s="17"/>
      <c r="JM16" s="69">
        <v>495439.02</v>
      </c>
      <c r="JN16" s="61">
        <f>JP16/JO16</f>
        <v>3465870.64</v>
      </c>
      <c r="JO16" s="46">
        <v>1</v>
      </c>
      <c r="JP16" s="69">
        <v>3465870.64</v>
      </c>
      <c r="JQ16" s="47"/>
      <c r="JR16" s="46"/>
      <c r="JS16" s="69">
        <v>-27125.360000000001</v>
      </c>
      <c r="JT16" s="73"/>
      <c r="JU16" s="47"/>
      <c r="JV16" s="17"/>
      <c r="JW16" s="69">
        <v>363687.43</v>
      </c>
      <c r="JX16" s="61">
        <f>JZ16/JY16</f>
        <v>1530506.26</v>
      </c>
      <c r="JY16" s="46">
        <v>1</v>
      </c>
      <c r="JZ16" s="69">
        <v>1530506.26</v>
      </c>
      <c r="KA16" s="47"/>
      <c r="KB16" s="46"/>
      <c r="KC16" s="69">
        <v>-27962.22</v>
      </c>
      <c r="KD16" s="73"/>
      <c r="KE16" s="47"/>
      <c r="KF16" s="17"/>
      <c r="KG16" s="69">
        <v>725037.67</v>
      </c>
      <c r="KH16" s="61">
        <f>KJ16/KI16</f>
        <v>2987290.3</v>
      </c>
      <c r="KI16" s="46">
        <v>1</v>
      </c>
      <c r="KJ16" s="69">
        <v>2987290.3</v>
      </c>
      <c r="KK16" s="47"/>
      <c r="KL16" s="46"/>
      <c r="KM16" s="69">
        <v>-28806.39</v>
      </c>
      <c r="KN16" s="73"/>
      <c r="KO16" s="47"/>
      <c r="KP16" s="17"/>
      <c r="KQ16" s="69">
        <v>320762.84000000003</v>
      </c>
      <c r="KR16" s="61">
        <f>KT16/KS16</f>
        <v>1878078.63</v>
      </c>
      <c r="KS16" s="46">
        <v>1</v>
      </c>
      <c r="KT16" s="69">
        <v>1878078.63</v>
      </c>
      <c r="KU16" s="47"/>
      <c r="KV16" s="46"/>
      <c r="KW16" s="69">
        <v>-29643.66</v>
      </c>
      <c r="KX16" s="73"/>
      <c r="KY16" s="47"/>
      <c r="KZ16" s="17"/>
      <c r="LA16" s="69">
        <v>313204.95</v>
      </c>
      <c r="LB16" s="61">
        <f>LD16/LC16</f>
        <v>2033764.8</v>
      </c>
      <c r="LC16" s="46">
        <v>1</v>
      </c>
      <c r="LD16" s="69">
        <v>2033764.8</v>
      </c>
      <c r="LE16" s="47"/>
      <c r="LF16" s="46"/>
      <c r="LG16" s="69">
        <v>-30547.040000000001</v>
      </c>
      <c r="LH16" s="73"/>
      <c r="LI16" s="47"/>
      <c r="LJ16" s="17"/>
      <c r="LK16" s="69">
        <v>247837.17</v>
      </c>
      <c r="LL16" s="61">
        <f>LN16/LM16</f>
        <v>1213912.08</v>
      </c>
      <c r="LM16" s="46">
        <v>1</v>
      </c>
      <c r="LN16" s="69">
        <v>1213912.08</v>
      </c>
      <c r="LO16" s="47"/>
      <c r="LP16" s="46"/>
      <c r="LQ16" s="69">
        <v>-31316.32</v>
      </c>
      <c r="LR16" s="73"/>
      <c r="LS16" s="47"/>
      <c r="LT16" s="17"/>
      <c r="LU16" s="69">
        <v>473665.21</v>
      </c>
      <c r="LV16" s="61">
        <f>LX16/LW16</f>
        <v>1779928.17</v>
      </c>
      <c r="LW16" s="46">
        <v>1</v>
      </c>
      <c r="LX16" s="69">
        <v>1779928.17</v>
      </c>
      <c r="LY16" s="47"/>
      <c r="LZ16" s="46"/>
      <c r="MA16" s="69">
        <v>-31454.94</v>
      </c>
      <c r="MB16" s="73"/>
      <c r="MC16" s="47"/>
      <c r="MD16" s="17"/>
      <c r="ME16" s="69">
        <v>567439.39</v>
      </c>
      <c r="MF16" s="61">
        <f>MH16/MG16</f>
        <v>2283062.61</v>
      </c>
      <c r="MG16" s="46">
        <v>1</v>
      </c>
      <c r="MH16" s="69">
        <v>2283062.61</v>
      </c>
      <c r="MI16" s="47"/>
      <c r="MJ16" s="46"/>
      <c r="MK16" s="69">
        <v>-32300.06</v>
      </c>
      <c r="ML16" s="73"/>
      <c r="MM16" s="47"/>
      <c r="MN16" s="17"/>
      <c r="MO16" s="69">
        <v>220838.42</v>
      </c>
      <c r="MP16" s="61">
        <f>MR16/MQ16</f>
        <v>1539041.92</v>
      </c>
      <c r="MQ16" s="46">
        <v>1</v>
      </c>
      <c r="MR16" s="69">
        <v>1539041.92</v>
      </c>
      <c r="MS16" s="47"/>
      <c r="MT16" s="46"/>
      <c r="MU16" s="69">
        <v>-42706.37</v>
      </c>
      <c r="MV16" s="73"/>
      <c r="MW16" s="47"/>
      <c r="MX16" s="17"/>
      <c r="MY16" s="69">
        <v>361875.7</v>
      </c>
      <c r="MZ16" s="61">
        <f>NB16/NA16</f>
        <v>1465654.97</v>
      </c>
      <c r="NA16" s="46">
        <v>1</v>
      </c>
      <c r="NB16" s="69">
        <v>1465654.97</v>
      </c>
      <c r="NC16" s="47"/>
      <c r="ND16" s="46"/>
      <c r="NE16" s="69">
        <v>-37845.06</v>
      </c>
      <c r="NF16" s="73"/>
      <c r="NG16" s="47"/>
      <c r="NH16" s="17"/>
      <c r="NI16" s="69">
        <v>295304.92</v>
      </c>
      <c r="NJ16" s="61">
        <f>NL16/NK16</f>
        <v>1145113.21</v>
      </c>
      <c r="NK16" s="46">
        <v>1</v>
      </c>
      <c r="NL16" s="69">
        <v>1145113.21</v>
      </c>
      <c r="NM16" s="47"/>
      <c r="NN16" s="46"/>
      <c r="NO16" s="69">
        <v>-38685.550000000003</v>
      </c>
      <c r="NP16" s="73"/>
      <c r="NQ16" s="47"/>
      <c r="NR16" s="17"/>
      <c r="NS16" s="69">
        <v>212593.92000000001</v>
      </c>
      <c r="NT16" s="61">
        <f>NV16/NU16</f>
        <v>2015519.06</v>
      </c>
      <c r="NU16" s="46">
        <v>1</v>
      </c>
      <c r="NV16" s="69">
        <v>2015519.06</v>
      </c>
      <c r="NW16" s="47"/>
      <c r="NX16" s="46"/>
      <c r="NY16" s="69">
        <v>-27626.33</v>
      </c>
      <c r="NZ16" s="73"/>
      <c r="OA16" s="47"/>
      <c r="OB16" s="17"/>
      <c r="OC16" s="69">
        <v>455165.27</v>
      </c>
      <c r="OD16" s="61">
        <f>OF16/OE16</f>
        <v>2138414.67</v>
      </c>
      <c r="OE16" s="46">
        <v>1</v>
      </c>
      <c r="OF16" s="69">
        <v>2138414.67</v>
      </c>
      <c r="OG16" s="47"/>
      <c r="OH16" s="46"/>
      <c r="OI16" s="69">
        <v>-24602.36</v>
      </c>
      <c r="OJ16" s="73"/>
      <c r="OK16" s="47"/>
      <c r="OL16" s="17"/>
      <c r="OM16" s="69">
        <v>455165.27</v>
      </c>
      <c r="ON16" s="61">
        <f>OP16/OO16</f>
        <v>2138414.67</v>
      </c>
      <c r="OO16" s="46">
        <v>1</v>
      </c>
      <c r="OP16" s="69">
        <v>2138414.67</v>
      </c>
      <c r="OQ16" s="47"/>
      <c r="OR16" s="46"/>
      <c r="OS16" s="69">
        <v>-42706.37</v>
      </c>
      <c r="OT16" s="73"/>
      <c r="OU16" s="47"/>
      <c r="OV16" s="17"/>
      <c r="OW16" s="69">
        <v>151837.15</v>
      </c>
      <c r="OX16" s="61">
        <f>OZ16/OY16</f>
        <v>2138414.67</v>
      </c>
      <c r="OY16" s="46">
        <v>1</v>
      </c>
      <c r="OZ16" s="69">
        <v>2138414.67</v>
      </c>
      <c r="PA16" s="47"/>
      <c r="PB16" s="46"/>
      <c r="PC16" s="69">
        <v>-42706.37</v>
      </c>
      <c r="PD16" s="73"/>
      <c r="PE16" s="47"/>
      <c r="PF16" s="17"/>
      <c r="PG16" s="69">
        <v>455165.27</v>
      </c>
      <c r="PH16" s="61">
        <f>PJ16/PI16</f>
        <v>2138414.67</v>
      </c>
      <c r="PI16" s="46">
        <v>1</v>
      </c>
      <c r="PJ16" s="69">
        <v>2138414.67</v>
      </c>
      <c r="PK16" s="47"/>
      <c r="PL16" s="46"/>
      <c r="PM16" s="69">
        <v>-42706.37</v>
      </c>
      <c r="PN16" s="73"/>
      <c r="PO16" s="47"/>
      <c r="PP16" s="17"/>
      <c r="PQ16" s="69">
        <v>455165.27</v>
      </c>
      <c r="PR16" s="61">
        <f>PT16/PS16</f>
        <v>2138414.67</v>
      </c>
      <c r="PS16" s="46">
        <v>1</v>
      </c>
      <c r="PT16" s="69">
        <v>2138414.67</v>
      </c>
      <c r="PU16" s="47"/>
      <c r="PV16" s="46"/>
      <c r="PW16" s="69">
        <v>-42706.37</v>
      </c>
      <c r="PX16" s="73"/>
      <c r="PY16" s="47"/>
      <c r="PZ16" s="17"/>
      <c r="QA16" s="69">
        <v>455165.27</v>
      </c>
      <c r="QB16" s="61">
        <f>QD16/QC16</f>
        <v>2138414.67</v>
      </c>
      <c r="QC16" s="46">
        <v>1</v>
      </c>
      <c r="QD16" s="69">
        <v>2138414.67</v>
      </c>
      <c r="QE16" s="47"/>
      <c r="QF16" s="46"/>
      <c r="QG16" s="69">
        <v>-42706.37</v>
      </c>
      <c r="QH16" s="73"/>
      <c r="QI16" s="47"/>
      <c r="QJ16" s="17"/>
      <c r="QK16" s="69">
        <v>455165.27</v>
      </c>
      <c r="QL16" s="61">
        <f>QN16/QM16</f>
        <v>2138414.67</v>
      </c>
      <c r="QM16" s="46">
        <v>1</v>
      </c>
      <c r="QN16" s="69">
        <v>2138414.67</v>
      </c>
      <c r="QO16" s="47"/>
      <c r="QP16" s="46"/>
      <c r="QQ16" s="69">
        <v>-42706.37</v>
      </c>
      <c r="QR16" s="73"/>
      <c r="QS16" s="47"/>
      <c r="QT16" s="17"/>
      <c r="QU16" s="69">
        <v>455165.27</v>
      </c>
      <c r="QV16" s="61">
        <f>QX16/QW16</f>
        <v>2138414.67</v>
      </c>
      <c r="QW16" s="46">
        <v>1</v>
      </c>
      <c r="QX16" s="69">
        <v>2138414.67</v>
      </c>
      <c r="QY16" s="47"/>
      <c r="QZ16" s="46"/>
      <c r="RA16" s="69">
        <v>-42706.37</v>
      </c>
      <c r="RB16" s="73"/>
      <c r="RC16" s="47"/>
      <c r="RD16" s="17"/>
      <c r="RE16" s="69">
        <v>455165.27</v>
      </c>
      <c r="RF16" s="61">
        <f>RH16/RG16</f>
        <v>2138414.67</v>
      </c>
      <c r="RG16" s="46">
        <v>1</v>
      </c>
      <c r="RH16" s="69">
        <v>2138414.67</v>
      </c>
      <c r="RI16" s="47"/>
      <c r="RJ16" s="46"/>
      <c r="RK16" s="69">
        <v>-42706.37</v>
      </c>
      <c r="RL16" s="73"/>
      <c r="RM16" s="47"/>
      <c r="RN16" s="17"/>
      <c r="RO16" s="69">
        <v>455165.27</v>
      </c>
      <c r="RP16" s="61">
        <f>RR16/RQ16</f>
        <v>2138414.67</v>
      </c>
      <c r="RQ16" s="46">
        <v>1</v>
      </c>
      <c r="RR16" s="69">
        <v>2138414.67</v>
      </c>
      <c r="RS16" s="47"/>
      <c r="RT16" s="46"/>
      <c r="RU16" s="69">
        <v>-42706.37</v>
      </c>
    </row>
    <row r="17" spans="1:489" ht="15.75" customHeight="1" thickBot="1" x14ac:dyDescent="0.3">
      <c r="A17" s="68" t="s">
        <v>166</v>
      </c>
      <c r="B17" s="17"/>
      <c r="C17" s="17"/>
      <c r="D17" s="54">
        <v>4505.6899999999996</v>
      </c>
      <c r="E17" s="53"/>
      <c r="F17" s="46"/>
      <c r="G17" s="54">
        <v>1196.8900000000001</v>
      </c>
      <c r="H17" s="47"/>
      <c r="I17" s="46"/>
      <c r="J17" s="167">
        <v>6722.39</v>
      </c>
      <c r="K17" s="47"/>
      <c r="L17" s="17"/>
      <c r="M17" s="70">
        <v>1648.03</v>
      </c>
      <c r="N17" s="53"/>
      <c r="O17" s="46"/>
      <c r="P17" s="70">
        <v>1163.05</v>
      </c>
      <c r="Q17" s="47"/>
      <c r="R17" s="46"/>
      <c r="S17" s="70">
        <v>1789.37</v>
      </c>
      <c r="T17" s="74"/>
      <c r="U17" s="47"/>
      <c r="V17" s="17"/>
      <c r="W17" s="70">
        <v>5867.25</v>
      </c>
      <c r="X17" s="53"/>
      <c r="Y17" s="46"/>
      <c r="Z17" s="70">
        <v>1314.23</v>
      </c>
      <c r="AA17" s="47"/>
      <c r="AB17" s="46"/>
      <c r="AC17" s="70">
        <v>6720.69</v>
      </c>
      <c r="AD17" s="74"/>
      <c r="AE17" s="47"/>
      <c r="AF17" s="17"/>
      <c r="AG17" s="84">
        <v>4673.38</v>
      </c>
      <c r="AH17" s="85"/>
      <c r="AI17" s="86"/>
      <c r="AJ17" s="70">
        <v>1569.54</v>
      </c>
      <c r="AK17" s="47"/>
      <c r="AL17" s="86"/>
      <c r="AM17" s="84">
        <v>6719.24</v>
      </c>
      <c r="AN17" s="74"/>
      <c r="AO17" s="47"/>
      <c r="AP17" s="17"/>
      <c r="AQ17" s="84">
        <v>4673.38</v>
      </c>
      <c r="AR17" s="85"/>
      <c r="AS17" s="86"/>
      <c r="AT17" s="70">
        <v>1569.54</v>
      </c>
      <c r="AU17" s="47"/>
      <c r="AV17" s="86"/>
      <c r="AW17" s="84">
        <v>6719.24</v>
      </c>
      <c r="AX17" s="74"/>
      <c r="AY17" s="47"/>
      <c r="AZ17" s="17"/>
      <c r="BA17" s="84">
        <v>15190.85</v>
      </c>
      <c r="BB17" s="85"/>
      <c r="BC17" s="86"/>
      <c r="BD17" s="70">
        <v>969.72</v>
      </c>
      <c r="BE17" s="47"/>
      <c r="BF17" s="86"/>
      <c r="BG17" s="84">
        <v>9388.27</v>
      </c>
      <c r="BH17" s="74"/>
      <c r="BI17" s="47"/>
      <c r="BJ17" s="17"/>
      <c r="BK17" s="84">
        <v>7809.85</v>
      </c>
      <c r="BL17" s="85"/>
      <c r="BM17" s="86"/>
      <c r="BN17" s="70">
        <v>1524.97</v>
      </c>
      <c r="BO17" s="47"/>
      <c r="BP17" s="86"/>
      <c r="BQ17" s="84">
        <v>6378.94</v>
      </c>
      <c r="BR17" s="74"/>
      <c r="BS17" s="47"/>
      <c r="BT17" s="17"/>
      <c r="BU17" s="84">
        <v>4887.91</v>
      </c>
      <c r="BV17" s="85"/>
      <c r="BW17" s="86"/>
      <c r="BX17" s="70">
        <v>1900.57</v>
      </c>
      <c r="BY17" s="47"/>
      <c r="BZ17" s="86"/>
      <c r="CA17" s="84">
        <v>6377</v>
      </c>
      <c r="CB17" s="74"/>
      <c r="CC17" s="47"/>
      <c r="CD17" s="17"/>
      <c r="CE17" s="84">
        <v>1724.27</v>
      </c>
      <c r="CF17" s="85"/>
      <c r="CG17" s="86"/>
      <c r="CH17" s="70">
        <v>1959.11</v>
      </c>
      <c r="CI17" s="47"/>
      <c r="CJ17" s="86"/>
      <c r="CK17" s="84">
        <v>1363.51</v>
      </c>
      <c r="CL17" s="74"/>
      <c r="CM17" s="47"/>
      <c r="CN17" s="17"/>
      <c r="CO17" s="84">
        <v>9340.51</v>
      </c>
      <c r="CP17" s="85"/>
      <c r="CQ17" s="86"/>
      <c r="CR17" s="70">
        <v>1764.26</v>
      </c>
      <c r="CS17" s="47"/>
      <c r="CT17" s="86"/>
      <c r="CU17" s="84">
        <v>6343.42</v>
      </c>
      <c r="CV17" s="74"/>
      <c r="CW17" s="47"/>
      <c r="CX17" s="17"/>
      <c r="CY17" s="84">
        <v>1923.84</v>
      </c>
      <c r="CZ17" s="85"/>
      <c r="DA17" s="86"/>
      <c r="DB17" s="70">
        <v>1788.01</v>
      </c>
      <c r="DC17" s="47"/>
      <c r="DD17" s="86"/>
      <c r="DE17" s="84">
        <v>6343.42</v>
      </c>
      <c r="DF17" s="74"/>
      <c r="DG17" s="47"/>
      <c r="DH17" s="17"/>
      <c r="DI17" s="84">
        <v>2014.46</v>
      </c>
      <c r="DJ17" s="85"/>
      <c r="DK17" s="86"/>
      <c r="DL17" s="70">
        <v>1465.99</v>
      </c>
      <c r="DM17" s="47"/>
      <c r="DN17" s="86"/>
      <c r="DO17" s="84">
        <v>6340.64</v>
      </c>
      <c r="DP17" s="74"/>
      <c r="DQ17" s="47"/>
      <c r="DR17" s="17"/>
      <c r="DS17" s="84">
        <v>10152.790000000001</v>
      </c>
      <c r="DT17" s="85"/>
      <c r="DU17" s="86"/>
      <c r="DV17" s="70">
        <v>1534.9</v>
      </c>
      <c r="DW17" s="47"/>
      <c r="DX17" s="86"/>
      <c r="DY17" s="84">
        <v>6340.64</v>
      </c>
      <c r="DZ17" s="74"/>
      <c r="EA17" s="47"/>
      <c r="EB17" s="17"/>
      <c r="EC17" s="84">
        <v>1447.77</v>
      </c>
      <c r="ED17" s="85"/>
      <c r="EE17" s="86"/>
      <c r="EF17" s="70">
        <v>1401.92</v>
      </c>
      <c r="EG17" s="47"/>
      <c r="EH17" s="86"/>
      <c r="EI17" s="84">
        <v>6336.75</v>
      </c>
      <c r="EJ17" s="74"/>
      <c r="EK17" s="47"/>
      <c r="EL17" s="17"/>
      <c r="EM17" s="84">
        <v>4574.6099999999997</v>
      </c>
      <c r="EN17" s="85"/>
      <c r="EO17" s="86"/>
      <c r="EP17" s="70">
        <v>1416.2</v>
      </c>
      <c r="EQ17" s="47"/>
      <c r="ER17" s="86"/>
      <c r="ES17" s="84">
        <v>6334.81</v>
      </c>
      <c r="ET17" s="74"/>
      <c r="EU17" s="47"/>
      <c r="EV17" s="17"/>
      <c r="EW17" s="84">
        <v>2027.21</v>
      </c>
      <c r="EX17" s="85"/>
      <c r="EY17" s="86"/>
      <c r="EZ17" s="70">
        <v>1403.51</v>
      </c>
      <c r="FA17" s="47"/>
      <c r="FB17" s="86"/>
      <c r="FC17" s="84">
        <v>1224.27</v>
      </c>
      <c r="FD17" s="74"/>
      <c r="FE17" s="47"/>
      <c r="FF17" s="17"/>
      <c r="FG17" s="84">
        <v>3740.9</v>
      </c>
      <c r="FH17" s="85"/>
      <c r="FI17" s="86"/>
      <c r="FJ17" s="70">
        <v>1325.9</v>
      </c>
      <c r="FK17" s="47"/>
      <c r="FL17" s="86"/>
      <c r="FM17" s="84">
        <v>6319.47</v>
      </c>
      <c r="FN17" s="74"/>
      <c r="FO17" s="47"/>
      <c r="FP17" s="17"/>
      <c r="FQ17" s="84">
        <v>3736.45</v>
      </c>
      <c r="FR17" s="85"/>
      <c r="FS17" s="86"/>
      <c r="FT17" s="70">
        <v>1359.89</v>
      </c>
      <c r="FU17" s="47"/>
      <c r="FV17" s="86"/>
      <c r="FW17" s="84">
        <v>6317.53</v>
      </c>
      <c r="FX17" s="74"/>
      <c r="FY17" s="47"/>
      <c r="FZ17" s="17"/>
      <c r="GA17" s="84">
        <v>3791.14</v>
      </c>
      <c r="GB17" s="85"/>
      <c r="GC17" s="86"/>
      <c r="GD17" s="70">
        <v>1882.3</v>
      </c>
      <c r="GE17" s="47"/>
      <c r="GF17" s="86"/>
      <c r="GG17" s="84">
        <v>6315.59</v>
      </c>
      <c r="GH17" s="74"/>
      <c r="GI17" s="47"/>
      <c r="GJ17" s="17"/>
      <c r="GK17" s="84">
        <v>9781.9599999999991</v>
      </c>
      <c r="GL17" s="85"/>
      <c r="GM17" s="86"/>
      <c r="GN17" s="70">
        <v>1403.51</v>
      </c>
      <c r="GO17" s="47"/>
      <c r="GP17" s="86"/>
      <c r="GQ17" s="84">
        <v>6313.65</v>
      </c>
      <c r="GR17" s="74"/>
      <c r="GS17" s="47"/>
      <c r="GT17" s="17"/>
      <c r="GU17" s="84">
        <v>6704.49</v>
      </c>
      <c r="GV17" s="85"/>
      <c r="GW17" s="86"/>
      <c r="GX17" s="70">
        <v>1852.9</v>
      </c>
      <c r="GY17" s="47"/>
      <c r="GZ17" s="86"/>
      <c r="HA17" s="84">
        <v>6298.9</v>
      </c>
      <c r="HB17" s="74"/>
      <c r="HC17" s="47"/>
      <c r="HD17" s="17"/>
      <c r="HE17" s="84">
        <v>6704.49</v>
      </c>
      <c r="HF17" s="85"/>
      <c r="HG17" s="86"/>
      <c r="HH17" s="70">
        <v>1852.9</v>
      </c>
      <c r="HI17" s="47"/>
      <c r="HJ17" s="86"/>
      <c r="HK17" s="84">
        <v>6298.9</v>
      </c>
      <c r="HL17" s="74"/>
      <c r="HM17" s="47"/>
      <c r="HN17" s="17"/>
      <c r="HO17" s="84">
        <v>6097.33</v>
      </c>
      <c r="HP17" s="85"/>
      <c r="HQ17" s="86"/>
      <c r="HR17" s="70">
        <v>1241.58</v>
      </c>
      <c r="HS17" s="47"/>
      <c r="HT17" s="86"/>
      <c r="HU17" s="84">
        <v>6290.61</v>
      </c>
      <c r="HV17" s="74"/>
      <c r="HW17" s="47"/>
      <c r="HX17" s="17"/>
      <c r="HY17" s="84">
        <v>4528.51</v>
      </c>
      <c r="HZ17" s="85"/>
      <c r="IA17" s="86"/>
      <c r="IB17" s="70">
        <v>1409.42</v>
      </c>
      <c r="IC17" s="47"/>
      <c r="ID17" s="86"/>
      <c r="IE17" s="84">
        <v>6156.06</v>
      </c>
      <c r="IF17" s="74"/>
      <c r="IG17" s="47"/>
      <c r="IH17" s="17"/>
      <c r="II17" s="84">
        <v>8652.15</v>
      </c>
      <c r="IJ17" s="85"/>
      <c r="IK17" s="86"/>
      <c r="IL17" s="70">
        <v>1574.97</v>
      </c>
      <c r="IM17" s="47"/>
      <c r="IN17" s="86"/>
      <c r="IO17" s="84">
        <v>10217.26</v>
      </c>
      <c r="IP17" s="74"/>
      <c r="IQ17" s="47"/>
      <c r="IR17" s="17"/>
      <c r="IS17" s="84">
        <v>4042.11</v>
      </c>
      <c r="IT17" s="85"/>
      <c r="IU17" s="86"/>
      <c r="IV17" s="70">
        <v>1768.82</v>
      </c>
      <c r="IW17" s="47"/>
      <c r="IX17" s="86"/>
      <c r="IY17" s="84">
        <v>10217.26</v>
      </c>
      <c r="IZ17" s="74"/>
      <c r="JA17" s="47"/>
      <c r="JB17" s="17"/>
      <c r="JC17" s="84">
        <v>7609.41</v>
      </c>
      <c r="JD17" s="85"/>
      <c r="JE17" s="86"/>
      <c r="JF17" s="70">
        <v>1585.83</v>
      </c>
      <c r="JG17" s="47"/>
      <c r="JH17" s="86"/>
      <c r="JI17" s="84">
        <v>10201.219999999999</v>
      </c>
      <c r="JJ17" s="74"/>
      <c r="JK17" s="47"/>
      <c r="JL17" s="17"/>
      <c r="JM17" s="84">
        <v>1861.7</v>
      </c>
      <c r="JN17" s="85"/>
      <c r="JO17" s="86"/>
      <c r="JP17" s="70">
        <v>1795.56</v>
      </c>
      <c r="JQ17" s="47"/>
      <c r="JR17" s="86"/>
      <c r="JS17" s="84">
        <v>9265.35</v>
      </c>
      <c r="JT17" s="74"/>
      <c r="JU17" s="47"/>
      <c r="JV17" s="17"/>
      <c r="JW17" s="84">
        <v>5384.78</v>
      </c>
      <c r="JX17" s="85"/>
      <c r="JY17" s="86"/>
      <c r="JZ17" s="70">
        <v>1830.16</v>
      </c>
      <c r="KA17" s="47"/>
      <c r="KB17" s="86"/>
      <c r="KC17" s="84">
        <v>1929.97</v>
      </c>
      <c r="KD17" s="74"/>
      <c r="KE17" s="47"/>
      <c r="KF17" s="17"/>
      <c r="KG17" s="84">
        <v>6462.4</v>
      </c>
      <c r="KH17" s="85"/>
      <c r="KI17" s="86"/>
      <c r="KJ17" s="70">
        <v>84662.06</v>
      </c>
      <c r="KK17" s="47"/>
      <c r="KL17" s="86"/>
      <c r="KM17" s="84">
        <v>1846.74</v>
      </c>
      <c r="KN17" s="74"/>
      <c r="KO17" s="47"/>
      <c r="KP17" s="17"/>
      <c r="KQ17" s="84">
        <v>8794.99</v>
      </c>
      <c r="KR17" s="85"/>
      <c r="KS17" s="86"/>
      <c r="KT17" s="70">
        <v>1570.18</v>
      </c>
      <c r="KU17" s="47"/>
      <c r="KV17" s="86"/>
      <c r="KW17" s="84">
        <v>1616.08</v>
      </c>
      <c r="KX17" s="74"/>
      <c r="KY17" s="47"/>
      <c r="KZ17" s="17"/>
      <c r="LA17" s="84">
        <v>6127.69</v>
      </c>
      <c r="LB17" s="85"/>
      <c r="LC17" s="86"/>
      <c r="LD17" s="70">
        <v>1200.3</v>
      </c>
      <c r="LE17" s="47"/>
      <c r="LF17" s="86"/>
      <c r="LG17" s="84">
        <v>9032.2199999999993</v>
      </c>
      <c r="LH17" s="74"/>
      <c r="LI17" s="47"/>
      <c r="LJ17" s="17"/>
      <c r="LK17" s="84">
        <v>3578.44</v>
      </c>
      <c r="LL17" s="85"/>
      <c r="LM17" s="86"/>
      <c r="LN17" s="70">
        <v>1956.36</v>
      </c>
      <c r="LO17" s="47"/>
      <c r="LP17" s="86"/>
      <c r="LQ17" s="84">
        <v>8987.9599999999991</v>
      </c>
      <c r="LR17" s="74"/>
      <c r="LS17" s="47"/>
      <c r="LT17" s="17"/>
      <c r="LU17" s="84">
        <v>3703.97</v>
      </c>
      <c r="LV17" s="85"/>
      <c r="LW17" s="86"/>
      <c r="LX17" s="70">
        <v>7905.65</v>
      </c>
      <c r="LY17" s="47"/>
      <c r="LZ17" s="86"/>
      <c r="MA17" s="84">
        <v>5643.14</v>
      </c>
      <c r="MB17" s="74"/>
      <c r="MC17" s="47"/>
      <c r="MD17" s="17"/>
      <c r="ME17" s="84">
        <v>10401.91</v>
      </c>
      <c r="MF17" s="85"/>
      <c r="MG17" s="86"/>
      <c r="MH17" s="70">
        <v>7810.29</v>
      </c>
      <c r="MI17" s="47"/>
      <c r="MJ17" s="86"/>
      <c r="MK17" s="84">
        <v>1271.81</v>
      </c>
      <c r="ML17" s="74"/>
      <c r="MM17" s="47"/>
      <c r="MN17" s="17"/>
      <c r="MO17" s="84">
        <v>7609.41</v>
      </c>
      <c r="MP17" s="85"/>
      <c r="MQ17" s="86"/>
      <c r="MR17" s="70">
        <v>7753.3</v>
      </c>
      <c r="MS17" s="47"/>
      <c r="MT17" s="86"/>
      <c r="MU17" s="84">
        <v>10201.219999999999</v>
      </c>
      <c r="MV17" s="74"/>
      <c r="MW17" s="47"/>
      <c r="MX17" s="17"/>
      <c r="MY17" s="84">
        <v>8588.15</v>
      </c>
      <c r="MZ17" s="85"/>
      <c r="NA17" s="86"/>
      <c r="NB17" s="70">
        <v>1941.41</v>
      </c>
      <c r="NC17" s="47"/>
      <c r="ND17" s="86"/>
      <c r="NE17" s="84">
        <v>5635.85</v>
      </c>
      <c r="NF17" s="74"/>
      <c r="NG17" s="47"/>
      <c r="NH17" s="17"/>
      <c r="NI17" s="84">
        <v>10107.1</v>
      </c>
      <c r="NJ17" s="85"/>
      <c r="NK17" s="86"/>
      <c r="NL17" s="70">
        <v>1010.59</v>
      </c>
      <c r="NM17" s="47"/>
      <c r="NN17" s="86"/>
      <c r="NO17" s="84">
        <v>4087.26</v>
      </c>
      <c r="NP17" s="74"/>
      <c r="NQ17" s="47"/>
      <c r="NR17" s="17"/>
      <c r="NS17" s="84">
        <v>8456</v>
      </c>
      <c r="NT17" s="85"/>
      <c r="NU17" s="86"/>
      <c r="NV17" s="70">
        <v>1445.69</v>
      </c>
      <c r="NW17" s="47"/>
      <c r="NX17" s="86"/>
      <c r="NY17" s="84">
        <v>1669.1</v>
      </c>
      <c r="NZ17" s="74"/>
      <c r="OA17" s="47"/>
      <c r="OB17" s="17"/>
      <c r="OC17" s="84">
        <v>4877.5</v>
      </c>
      <c r="OD17" s="85"/>
      <c r="OE17" s="86"/>
      <c r="OF17" s="70">
        <v>1656.92</v>
      </c>
      <c r="OG17" s="47"/>
      <c r="OH17" s="86"/>
      <c r="OI17" s="84">
        <v>7725.88</v>
      </c>
      <c r="OJ17" s="74"/>
      <c r="OK17" s="47"/>
      <c r="OL17" s="17"/>
      <c r="OM17" s="84">
        <v>4877.5</v>
      </c>
      <c r="ON17" s="85"/>
      <c r="OO17" s="86"/>
      <c r="OP17" s="70">
        <v>1656.92</v>
      </c>
      <c r="OQ17" s="47"/>
      <c r="OR17" s="86"/>
      <c r="OS17" s="84">
        <v>10201.219999999999</v>
      </c>
      <c r="OT17" s="74"/>
      <c r="OU17" s="47"/>
      <c r="OV17" s="17"/>
      <c r="OW17" s="84">
        <v>1791.2</v>
      </c>
      <c r="OX17" s="85"/>
      <c r="OY17" s="86"/>
      <c r="OZ17" s="70">
        <v>1328.26</v>
      </c>
      <c r="PA17" s="47"/>
      <c r="PB17" s="86"/>
      <c r="PC17" s="84">
        <v>10201.219999999999</v>
      </c>
      <c r="PD17" s="74"/>
      <c r="PE17" s="47"/>
      <c r="PF17" s="17"/>
      <c r="PG17" s="84">
        <v>4877.5</v>
      </c>
      <c r="PH17" s="85"/>
      <c r="PI17" s="86"/>
      <c r="PJ17" s="70">
        <v>1656.92</v>
      </c>
      <c r="PK17" s="47"/>
      <c r="PL17" s="86"/>
      <c r="PM17" s="84">
        <v>10201.219999999999</v>
      </c>
      <c r="PN17" s="74"/>
      <c r="PO17" s="47"/>
      <c r="PP17" s="17"/>
      <c r="PQ17" s="84">
        <v>4877.5</v>
      </c>
      <c r="PR17" s="85"/>
      <c r="PS17" s="86"/>
      <c r="PT17" s="70">
        <v>1656.92</v>
      </c>
      <c r="PU17" s="47"/>
      <c r="PV17" s="86"/>
      <c r="PW17" s="84">
        <v>10201.219999999999</v>
      </c>
      <c r="PX17" s="74"/>
      <c r="PY17" s="47"/>
      <c r="PZ17" s="17"/>
      <c r="QA17" s="84">
        <v>4877.5</v>
      </c>
      <c r="QB17" s="85"/>
      <c r="QC17" s="86"/>
      <c r="QD17" s="70">
        <v>1656.92</v>
      </c>
      <c r="QE17" s="47"/>
      <c r="QF17" s="86"/>
      <c r="QG17" s="84">
        <v>10201.219999999999</v>
      </c>
      <c r="QH17" s="74"/>
      <c r="QI17" s="47"/>
      <c r="QJ17" s="17"/>
      <c r="QK17" s="84">
        <v>4877.5</v>
      </c>
      <c r="QL17" s="85"/>
      <c r="QM17" s="86"/>
      <c r="QN17" s="70">
        <v>1656.92</v>
      </c>
      <c r="QO17" s="47"/>
      <c r="QP17" s="86"/>
      <c r="QQ17" s="84">
        <v>10201.219999999999</v>
      </c>
      <c r="QR17" s="74"/>
      <c r="QS17" s="47"/>
      <c r="QT17" s="17"/>
      <c r="QU17" s="84">
        <v>4877.5</v>
      </c>
      <c r="QV17" s="85"/>
      <c r="QW17" s="86"/>
      <c r="QX17" s="70">
        <v>1656.92</v>
      </c>
      <c r="QY17" s="47"/>
      <c r="QZ17" s="86"/>
      <c r="RA17" s="84">
        <v>10201.219999999999</v>
      </c>
      <c r="RB17" s="74"/>
      <c r="RC17" s="47"/>
      <c r="RD17" s="17"/>
      <c r="RE17" s="84">
        <v>4877.5</v>
      </c>
      <c r="RF17" s="85"/>
      <c r="RG17" s="86"/>
      <c r="RH17" s="70">
        <v>1656.92</v>
      </c>
      <c r="RI17" s="47"/>
      <c r="RJ17" s="86"/>
      <c r="RK17" s="84">
        <v>10201.219999999999</v>
      </c>
      <c r="RL17" s="74"/>
      <c r="RM17" s="47"/>
      <c r="RN17" s="17"/>
      <c r="RO17" s="84">
        <v>4877.5</v>
      </c>
      <c r="RP17" s="85"/>
      <c r="RQ17" s="86"/>
      <c r="RR17" s="70">
        <v>1656.92</v>
      </c>
      <c r="RS17" s="47"/>
      <c r="RT17" s="86"/>
      <c r="RU17" s="84">
        <v>10201.219999999999</v>
      </c>
    </row>
    <row r="18" spans="1:489" x14ac:dyDescent="0.25">
      <c r="A18" s="67" t="s">
        <v>167</v>
      </c>
      <c r="B18" s="46"/>
      <c r="C18" s="17"/>
      <c r="D18" s="54"/>
      <c r="E18" s="53"/>
      <c r="F18" s="46"/>
      <c r="G18" s="54"/>
      <c r="H18" s="53">
        <v>21900</v>
      </c>
      <c r="I18" s="46">
        <v>991.97268172999998</v>
      </c>
      <c r="J18" s="170">
        <f>H18*I18</f>
        <v>21724201.729887001</v>
      </c>
      <c r="K18" s="53"/>
      <c r="L18" s="17"/>
      <c r="M18" s="54"/>
      <c r="N18" s="53"/>
      <c r="O18" s="46"/>
      <c r="P18" s="54"/>
      <c r="Q18" s="53">
        <v>21900</v>
      </c>
      <c r="R18" s="46">
        <v>984.89998949000005</v>
      </c>
      <c r="S18" s="171">
        <f>Q18*R18</f>
        <v>21569309.769831002</v>
      </c>
      <c r="T18" s="172"/>
      <c r="U18" s="53"/>
      <c r="V18" s="17"/>
      <c r="W18" s="54"/>
      <c r="X18" s="53"/>
      <c r="Y18" s="46"/>
      <c r="Z18" s="54"/>
      <c r="AA18" s="53">
        <v>21900</v>
      </c>
      <c r="AB18" s="46">
        <v>983.22061414999996</v>
      </c>
      <c r="AC18" s="171">
        <f>AA18*AB18</f>
        <v>21532531.449885</v>
      </c>
      <c r="AD18" s="172"/>
      <c r="AE18" s="79"/>
      <c r="AF18" s="77"/>
      <c r="AG18" s="54"/>
      <c r="AH18" s="53"/>
      <c r="AI18" s="46"/>
      <c r="AJ18" s="78"/>
      <c r="AK18" s="79">
        <v>21900</v>
      </c>
      <c r="AL18" s="46">
        <v>982.48419908000005</v>
      </c>
      <c r="AM18" s="171">
        <f>AK18*AL18</f>
        <v>21516403.959852003</v>
      </c>
      <c r="AN18" s="172"/>
      <c r="AO18" s="79"/>
      <c r="AP18" s="77"/>
      <c r="AQ18" s="54"/>
      <c r="AR18" s="53"/>
      <c r="AS18" s="46"/>
      <c r="AT18" s="78"/>
      <c r="AU18" s="79">
        <v>21900</v>
      </c>
      <c r="AV18" s="46">
        <v>982.48419908000005</v>
      </c>
      <c r="AW18" s="171">
        <f>AU18*AV18</f>
        <v>21516403.959852003</v>
      </c>
      <c r="AX18" s="172"/>
      <c r="AY18" s="79"/>
      <c r="AZ18" s="77"/>
      <c r="BA18" s="54"/>
      <c r="BB18" s="53"/>
      <c r="BC18" s="46"/>
      <c r="BD18" s="78"/>
      <c r="BE18" s="79">
        <v>26987.425561489999</v>
      </c>
      <c r="BF18" s="46">
        <v>982.81536301000006</v>
      </c>
      <c r="BG18" s="171">
        <f>BE18*BF18</f>
        <v>26523656.44992115</v>
      </c>
      <c r="BH18" s="172"/>
      <c r="BI18" s="79"/>
      <c r="BJ18" s="77"/>
      <c r="BK18" s="54"/>
      <c r="BL18" s="53"/>
      <c r="BM18" s="46"/>
      <c r="BN18" s="78"/>
      <c r="BO18" s="79">
        <v>26987.425561489999</v>
      </c>
      <c r="BP18" s="46">
        <v>992.49306936999994</v>
      </c>
      <c r="BQ18" s="171">
        <f>BO18*BP18</f>
        <v>26784832.829917602</v>
      </c>
      <c r="BR18" s="172"/>
      <c r="BS18" s="79"/>
      <c r="BT18" s="77"/>
      <c r="BU18" s="54"/>
      <c r="BV18" s="53"/>
      <c r="BW18" s="46"/>
      <c r="BX18" s="78"/>
      <c r="BY18" s="79">
        <v>26987.425561489999</v>
      </c>
      <c r="BZ18" s="46">
        <v>992.80357101000004</v>
      </c>
      <c r="CA18" s="171">
        <f>BY18*BZ18</f>
        <v>26793212.469813827</v>
      </c>
      <c r="CB18" s="172"/>
      <c r="CC18" s="79"/>
      <c r="CD18" s="77"/>
      <c r="CE18" s="54"/>
      <c r="CF18" s="53"/>
      <c r="CG18" s="46"/>
      <c r="CH18" s="78"/>
      <c r="CI18" s="79">
        <v>26987.425561489999</v>
      </c>
      <c r="CJ18" s="46">
        <v>993.00206678999996</v>
      </c>
      <c r="CK18" s="171">
        <f>CI18*CJ18</f>
        <v>26798569.359900843</v>
      </c>
      <c r="CL18" s="172"/>
      <c r="CM18" s="79"/>
      <c r="CN18" s="77"/>
      <c r="CO18" s="54"/>
      <c r="CP18" s="53"/>
      <c r="CQ18" s="46"/>
      <c r="CR18" s="78"/>
      <c r="CS18" s="79">
        <v>26987.425561489999</v>
      </c>
      <c r="CT18" s="46">
        <v>994.42997882999998</v>
      </c>
      <c r="CU18" s="171">
        <f>CS18*CT18</f>
        <v>26837105.029788699</v>
      </c>
      <c r="CV18" s="172"/>
      <c r="CW18" s="79"/>
      <c r="CX18" s="77"/>
      <c r="CY18" s="54"/>
      <c r="CZ18" s="53"/>
      <c r="DA18" s="46"/>
      <c r="DB18" s="78"/>
      <c r="DC18" s="79">
        <v>26987.425561489999</v>
      </c>
      <c r="DD18" s="46">
        <v>994.42997882999998</v>
      </c>
      <c r="DE18" s="171">
        <f>DC18*DD18</f>
        <v>26837105.029788699</v>
      </c>
      <c r="DF18" s="172"/>
      <c r="DG18" s="79"/>
      <c r="DH18" s="77"/>
      <c r="DI18" s="54"/>
      <c r="DJ18" s="53"/>
      <c r="DK18" s="46"/>
      <c r="DL18" s="78"/>
      <c r="DM18" s="79">
        <v>26987.425561489999</v>
      </c>
      <c r="DN18" s="46">
        <v>995.80896809000001</v>
      </c>
      <c r="DO18" s="171">
        <f>DM18*DN18</f>
        <v>26874320.399793044</v>
      </c>
      <c r="DP18" s="172"/>
      <c r="DQ18" s="79"/>
      <c r="DR18" s="77"/>
      <c r="DS18" s="54"/>
      <c r="DT18" s="53"/>
      <c r="DU18" s="46"/>
      <c r="DV18" s="78"/>
      <c r="DW18" s="79">
        <v>26987.425561489999</v>
      </c>
      <c r="DX18" s="46">
        <v>996.15747483999996</v>
      </c>
      <c r="DY18" s="171">
        <f>DW18*DX18</f>
        <v>26883725.699766345</v>
      </c>
      <c r="DZ18" s="172"/>
      <c r="EA18" s="79"/>
      <c r="EB18" s="77"/>
      <c r="EC18" s="54"/>
      <c r="ED18" s="53"/>
      <c r="EE18" s="46"/>
      <c r="EF18" s="78"/>
      <c r="EG18" s="79">
        <v>26987.425561489999</v>
      </c>
      <c r="EH18" s="46">
        <v>996.88354669</v>
      </c>
      <c r="EI18" s="171">
        <f>EG18*EH18</f>
        <v>26903320.509770516</v>
      </c>
      <c r="EJ18" s="172"/>
      <c r="EK18" s="79"/>
      <c r="EL18" s="77"/>
      <c r="EM18" s="54"/>
      <c r="EN18" s="53"/>
      <c r="EO18" s="46"/>
      <c r="EP18" s="78"/>
      <c r="EQ18" s="79">
        <v>26987.425561489999</v>
      </c>
      <c r="ER18" s="46">
        <v>997.18546952999998</v>
      </c>
      <c r="ES18" s="171">
        <f>EQ18*ER18</f>
        <v>26911468.629940327</v>
      </c>
      <c r="ET18" s="172"/>
      <c r="EU18" s="79"/>
      <c r="EV18" s="77"/>
      <c r="EW18" s="54"/>
      <c r="EX18" s="53"/>
      <c r="EY18" s="46"/>
      <c r="EZ18" s="78"/>
      <c r="FA18" s="79">
        <v>26987.425561489999</v>
      </c>
      <c r="FB18" s="46">
        <v>997.56400137000003</v>
      </c>
      <c r="FC18" s="171">
        <f>FA18*FB18</f>
        <v>26921684.229794983</v>
      </c>
      <c r="FD18" s="172"/>
      <c r="FE18" s="79"/>
      <c r="FF18" s="77"/>
      <c r="FG18" s="54"/>
      <c r="FH18" s="53"/>
      <c r="FI18" s="46"/>
      <c r="FJ18" s="78"/>
      <c r="FK18" s="79">
        <v>26987.425561489999</v>
      </c>
      <c r="FL18" s="46">
        <v>997.71791934999999</v>
      </c>
      <c r="FM18" s="171">
        <f>FK18*FL18</f>
        <v>26925838.079822809</v>
      </c>
      <c r="FN18" s="172"/>
      <c r="FO18" s="79"/>
      <c r="FP18" s="77"/>
      <c r="FQ18" s="54"/>
      <c r="FR18" s="53"/>
      <c r="FS18" s="46"/>
      <c r="FT18" s="78"/>
      <c r="FU18" s="79">
        <v>26987.425561489999</v>
      </c>
      <c r="FV18" s="46">
        <v>997.97803270999998</v>
      </c>
      <c r="FW18" s="171">
        <f>FU18*FV18</f>
        <v>26932857.869763356</v>
      </c>
      <c r="FX18" s="172"/>
      <c r="FY18" s="79"/>
      <c r="FZ18" s="77"/>
      <c r="GA18" s="54"/>
      <c r="GB18" s="53"/>
      <c r="GC18" s="46"/>
      <c r="GD18" s="78"/>
      <c r="GE18" s="79">
        <v>26987.425561489999</v>
      </c>
      <c r="GF18" s="46">
        <v>998.23776108000004</v>
      </c>
      <c r="GG18" s="171">
        <f>GE18*GF18</f>
        <v>26939867.269814938</v>
      </c>
      <c r="GH18" s="172"/>
      <c r="GI18" s="79"/>
      <c r="GJ18" s="77"/>
      <c r="GK18" s="54"/>
      <c r="GL18" s="53"/>
      <c r="GM18" s="46"/>
      <c r="GN18" s="78"/>
      <c r="GO18" s="79">
        <v>26987.425561489999</v>
      </c>
      <c r="GP18" s="46">
        <v>998.83157726000002</v>
      </c>
      <c r="GQ18" s="171">
        <f>GO18*GP18</f>
        <v>26955892.839769896</v>
      </c>
      <c r="GR18" s="172"/>
      <c r="GS18" s="79"/>
      <c r="GT18" s="77"/>
      <c r="GU18" s="54"/>
      <c r="GV18" s="53"/>
      <c r="GW18" s="46"/>
      <c r="GX18" s="78"/>
      <c r="GY18" s="79">
        <v>26987.425561489999</v>
      </c>
      <c r="GZ18" s="46">
        <v>888.15516749999995</v>
      </c>
      <c r="HA18" s="171">
        <f>GY18*GZ18</f>
        <v>23969021.469958931</v>
      </c>
      <c r="HB18" s="172"/>
      <c r="HC18" s="79"/>
      <c r="HD18" s="77"/>
      <c r="HE18" s="54"/>
      <c r="HF18" s="53"/>
      <c r="HG18" s="46"/>
      <c r="HH18" s="78"/>
      <c r="HI18" s="79">
        <v>26987.425561489999</v>
      </c>
      <c r="HJ18" s="46">
        <v>888.15516749999995</v>
      </c>
      <c r="HK18" s="171">
        <f>HI18*HJ18</f>
        <v>23969021.469958931</v>
      </c>
      <c r="HL18" s="172"/>
      <c r="HM18" s="79"/>
      <c r="HN18" s="77"/>
      <c r="HO18" s="54"/>
      <c r="HP18" s="53"/>
      <c r="HQ18" s="46"/>
      <c r="HR18" s="78"/>
      <c r="HS18" s="79">
        <v>26987.425561489999</v>
      </c>
      <c r="HT18" s="46">
        <v>888.94146221000005</v>
      </c>
      <c r="HU18" s="171">
        <f>HS18*HT18</f>
        <v>23990241.539914452</v>
      </c>
      <c r="HV18" s="172"/>
      <c r="HW18" s="79"/>
      <c r="HX18" s="77"/>
      <c r="HY18" s="54"/>
      <c r="HZ18" s="53"/>
      <c r="IA18" s="46"/>
      <c r="IB18" s="78"/>
      <c r="IC18" s="79">
        <v>26987.425561489999</v>
      </c>
      <c r="ID18" s="46">
        <v>889.39338674999999</v>
      </c>
      <c r="IE18" s="171">
        <f>IC18*ID18</f>
        <v>24002437.81979711</v>
      </c>
      <c r="IF18" s="172"/>
      <c r="IG18" s="79"/>
      <c r="IH18" s="77"/>
      <c r="II18" s="54"/>
      <c r="IJ18" s="53"/>
      <c r="IK18" s="46"/>
      <c r="IL18" s="78"/>
      <c r="IM18" s="79">
        <v>26987.425561489999</v>
      </c>
      <c r="IN18" s="46">
        <v>887.51422565999997</v>
      </c>
      <c r="IO18" s="171">
        <f>IM18*IN18</f>
        <v>23951724.099762686</v>
      </c>
      <c r="IP18" s="172"/>
      <c r="IQ18" s="79"/>
      <c r="IR18" s="77"/>
      <c r="IS18" s="54"/>
      <c r="IT18" s="53"/>
      <c r="IU18" s="46"/>
      <c r="IV18" s="78"/>
      <c r="IW18" s="79">
        <v>26987.425561489999</v>
      </c>
      <c r="IX18" s="46">
        <v>887.77522907000002</v>
      </c>
      <c r="IY18" s="171">
        <f>IW18*IX18</f>
        <v>23958767.90986136</v>
      </c>
      <c r="IZ18" s="172"/>
      <c r="JA18" s="79"/>
      <c r="JB18" s="77"/>
      <c r="JC18" s="54"/>
      <c r="JD18" s="53"/>
      <c r="JE18" s="46"/>
      <c r="JF18" s="78"/>
      <c r="JG18" s="79">
        <v>26987.425561489999</v>
      </c>
      <c r="JH18" s="46">
        <v>887.75243141999999</v>
      </c>
      <c r="JI18" s="171">
        <f>JG18*JH18</f>
        <v>23958152.659979004</v>
      </c>
      <c r="JJ18" s="172"/>
      <c r="JK18" s="79"/>
      <c r="JL18" s="77"/>
      <c r="JM18" s="54"/>
      <c r="JN18" s="53"/>
      <c r="JO18" s="46"/>
      <c r="JP18" s="78"/>
      <c r="JQ18" s="79">
        <v>26987.425561489999</v>
      </c>
      <c r="JR18" s="46">
        <v>888.04744214000004</v>
      </c>
      <c r="JS18" s="171">
        <f>JQ18*JR18</f>
        <v>23966114.23982485</v>
      </c>
      <c r="JT18" s="172"/>
      <c r="JU18" s="79"/>
      <c r="JV18" s="77"/>
      <c r="JW18" s="54"/>
      <c r="JX18" s="53"/>
      <c r="JY18" s="46"/>
      <c r="JZ18" s="78"/>
      <c r="KA18" s="79">
        <v>26987.425561489999</v>
      </c>
      <c r="KB18" s="46">
        <v>888.05310699999995</v>
      </c>
      <c r="KC18" s="171">
        <f>KA18*KB18</f>
        <v>23966267.119812414</v>
      </c>
      <c r="KD18" s="172"/>
      <c r="KE18" s="79"/>
      <c r="KF18" s="77"/>
      <c r="KG18" s="54"/>
      <c r="KH18" s="53"/>
      <c r="KI18" s="46"/>
      <c r="KJ18" s="78"/>
      <c r="KK18" s="79">
        <v>26987.425561489999</v>
      </c>
      <c r="KL18" s="46">
        <v>888.36971444999995</v>
      </c>
      <c r="KM18" s="171">
        <f>KK18*KL18</f>
        <v>23974811.539801501</v>
      </c>
      <c r="KN18" s="172"/>
      <c r="KO18" s="79"/>
      <c r="KP18" s="77"/>
      <c r="KQ18" s="54"/>
      <c r="KR18" s="53"/>
      <c r="KS18" s="46"/>
      <c r="KT18" s="78"/>
      <c r="KU18" s="79">
        <v>26987.425561489999</v>
      </c>
      <c r="KV18" s="46">
        <v>888.80362282999999</v>
      </c>
      <c r="KW18" s="171">
        <f>KU18*KV18</f>
        <v>23986521.609907258</v>
      </c>
      <c r="KX18" s="172"/>
      <c r="KY18" s="79"/>
      <c r="KZ18" s="77"/>
      <c r="LA18" s="54"/>
      <c r="LB18" s="53"/>
      <c r="LC18" s="46"/>
      <c r="LD18" s="78"/>
      <c r="LE18" s="79">
        <v>26987.425561489999</v>
      </c>
      <c r="LF18" s="46">
        <v>889.07525934</v>
      </c>
      <c r="LG18" s="171">
        <f t="shared" ref="LG18:LG25" si="41">LE18*LF18</f>
        <v>23993852.380000666</v>
      </c>
      <c r="LH18" s="172"/>
      <c r="LI18" s="79"/>
      <c r="LJ18" s="77"/>
      <c r="LK18" s="54"/>
      <c r="LL18" s="53"/>
      <c r="LM18" s="46"/>
      <c r="LN18" s="78"/>
      <c r="LO18" s="79">
        <v>26987.425561489999</v>
      </c>
      <c r="LP18" s="46">
        <v>889.54387276</v>
      </c>
      <c r="LQ18" s="171">
        <f t="shared" ref="LQ18:LQ25" si="42">LO18*LP18</f>
        <v>24006499.049790032</v>
      </c>
      <c r="LR18" s="172"/>
      <c r="LS18" s="79"/>
      <c r="LT18" s="77"/>
      <c r="LU18" s="54"/>
      <c r="LV18" s="53"/>
      <c r="LW18" s="46"/>
      <c r="LX18" s="78"/>
      <c r="LY18" s="79">
        <v>26987.425561489999</v>
      </c>
      <c r="LZ18" s="46">
        <v>890.07332749</v>
      </c>
      <c r="MA18" s="171">
        <f t="shared" ref="MA18:MA25" si="43">LY18*LZ18</f>
        <v>24020787.669904087</v>
      </c>
      <c r="MB18" s="172"/>
      <c r="MC18" s="79"/>
      <c r="MD18" s="77"/>
      <c r="ME18" s="54"/>
      <c r="MF18" s="53"/>
      <c r="MG18" s="46"/>
      <c r="MH18" s="78"/>
      <c r="MI18" s="79">
        <v>26987.425561489999</v>
      </c>
      <c r="MJ18" s="46">
        <v>890.30811831999995</v>
      </c>
      <c r="MK18" s="171">
        <f t="shared" ref="MK18:MK25" si="44">MI18*MJ18</f>
        <v>24027124.069951229</v>
      </c>
      <c r="ML18" s="172"/>
      <c r="MM18" s="79"/>
      <c r="MN18" s="77"/>
      <c r="MO18" s="54"/>
      <c r="MP18" s="53"/>
      <c r="MQ18" s="46"/>
      <c r="MR18" s="78"/>
      <c r="MS18" s="79"/>
      <c r="MT18" s="46"/>
      <c r="MU18" s="171">
        <f t="shared" ref="MU18:MU25" si="45">MS18*MT18</f>
        <v>0</v>
      </c>
      <c r="MV18" s="172"/>
      <c r="MW18" s="79"/>
      <c r="MX18" s="77"/>
      <c r="MY18" s="54"/>
      <c r="MZ18" s="53"/>
      <c r="NA18" s="46"/>
      <c r="NB18" s="78"/>
      <c r="NC18" s="79">
        <v>26987.425561489999</v>
      </c>
      <c r="ND18" s="46">
        <v>891.00512292999997</v>
      </c>
      <c r="NE18" s="171">
        <f t="shared" ref="NE18:NE25" si="46">NC18*ND18</f>
        <v>24045934.429979619</v>
      </c>
      <c r="NF18" s="172"/>
      <c r="NG18" s="79"/>
      <c r="NH18" s="77"/>
      <c r="NI18" s="54"/>
      <c r="NJ18" s="53"/>
      <c r="NK18" s="46"/>
      <c r="NL18" s="78"/>
      <c r="NM18" s="79">
        <v>26987.425561489999</v>
      </c>
      <c r="NN18" s="46">
        <v>891.44173996999996</v>
      </c>
      <c r="NO18" s="171">
        <f t="shared" ref="NO18:NO25" si="47">NM18*NN18</f>
        <v>24057717.599845499</v>
      </c>
      <c r="NP18" s="172"/>
      <c r="NQ18" s="79"/>
      <c r="NR18" s="77"/>
      <c r="NS18" s="54"/>
      <c r="NT18" s="53"/>
      <c r="NU18" s="46"/>
      <c r="NV18" s="78"/>
      <c r="NW18" s="79">
        <v>26987.425561489999</v>
      </c>
      <c r="NX18" s="46">
        <v>891.83586130000003</v>
      </c>
      <c r="NY18" s="171">
        <f t="shared" ref="NY18:NY25" si="48">NW18*NX18</f>
        <v>24068353.919901069</v>
      </c>
      <c r="NZ18" s="172"/>
      <c r="OA18" s="79"/>
      <c r="OB18" s="77"/>
      <c r="OC18" s="54"/>
      <c r="OD18" s="53"/>
      <c r="OE18" s="46"/>
      <c r="OF18" s="78"/>
      <c r="OG18" s="79">
        <v>26987.425561489999</v>
      </c>
      <c r="OH18" s="46">
        <v>892.16512871999998</v>
      </c>
      <c r="OI18" s="171">
        <f t="shared" ref="OI18:OI25" si="49">OG18*OH18</f>
        <v>24077239.999888144</v>
      </c>
      <c r="OJ18" s="172"/>
      <c r="OK18" s="79"/>
      <c r="OL18" s="77"/>
      <c r="OM18" s="54"/>
      <c r="ON18" s="53"/>
      <c r="OO18" s="46"/>
      <c r="OP18" s="78"/>
      <c r="OQ18" s="79"/>
      <c r="OR18" s="46"/>
      <c r="OS18" s="171">
        <f t="shared" ref="OS18:OS25" si="50">OQ18*OR18</f>
        <v>0</v>
      </c>
      <c r="OT18" s="172"/>
      <c r="OU18" s="79"/>
      <c r="OV18" s="77"/>
      <c r="OW18" s="54"/>
      <c r="OX18" s="53"/>
      <c r="OY18" s="46"/>
      <c r="OZ18" s="78"/>
      <c r="PA18" s="79"/>
      <c r="PB18" s="46"/>
      <c r="PC18" s="171">
        <f t="shared" ref="PC18:PC25" si="51">PA18*PB18</f>
        <v>0</v>
      </c>
      <c r="PD18" s="172"/>
      <c r="PE18" s="79"/>
      <c r="PF18" s="77"/>
      <c r="PG18" s="54"/>
      <c r="PH18" s="53"/>
      <c r="PI18" s="46"/>
      <c r="PJ18" s="78"/>
      <c r="PK18" s="79"/>
      <c r="PL18" s="46"/>
      <c r="PM18" s="171">
        <f t="shared" ref="PM18:PM25" si="52">PK18*PL18</f>
        <v>0</v>
      </c>
      <c r="PN18" s="172"/>
      <c r="PO18" s="79"/>
      <c r="PP18" s="77"/>
      <c r="PQ18" s="54"/>
      <c r="PR18" s="53"/>
      <c r="PS18" s="46"/>
      <c r="PT18" s="78"/>
      <c r="PU18" s="79"/>
      <c r="PV18" s="46"/>
      <c r="PW18" s="171">
        <f t="shared" ref="PW18:PW25" si="53">PU18*PV18</f>
        <v>0</v>
      </c>
      <c r="PX18" s="172"/>
      <c r="PY18" s="79"/>
      <c r="PZ18" s="77"/>
      <c r="QA18" s="54"/>
      <c r="QB18" s="53"/>
      <c r="QC18" s="46"/>
      <c r="QD18" s="78"/>
      <c r="QE18" s="79"/>
      <c r="QF18" s="46"/>
      <c r="QG18" s="171">
        <f t="shared" ref="QG18:QG25" si="54">QE18*QF18</f>
        <v>0</v>
      </c>
      <c r="QH18" s="172"/>
      <c r="QI18" s="79"/>
      <c r="QJ18" s="77"/>
      <c r="QK18" s="54"/>
      <c r="QL18" s="53"/>
      <c r="QM18" s="46"/>
      <c r="QN18" s="78"/>
      <c r="QO18" s="79"/>
      <c r="QP18" s="46"/>
      <c r="QQ18" s="171">
        <f t="shared" ref="QQ18:QQ25" si="55">QO18*QP18</f>
        <v>0</v>
      </c>
      <c r="QR18" s="172"/>
      <c r="QS18" s="79"/>
      <c r="QT18" s="77"/>
      <c r="QU18" s="54"/>
      <c r="QV18" s="53"/>
      <c r="QW18" s="46"/>
      <c r="QX18" s="78"/>
      <c r="QY18" s="79"/>
      <c r="QZ18" s="46"/>
      <c r="RA18" s="171">
        <f t="shared" ref="RA18:RA25" si="56">QY18*QZ18</f>
        <v>0</v>
      </c>
      <c r="RB18" s="172"/>
      <c r="RC18" s="79"/>
      <c r="RD18" s="77"/>
      <c r="RE18" s="54"/>
      <c r="RF18" s="53"/>
      <c r="RG18" s="46"/>
      <c r="RH18" s="78"/>
      <c r="RI18" s="79"/>
      <c r="RJ18" s="46"/>
      <c r="RK18" s="171">
        <f t="shared" ref="RK18:RK25" si="57">RI18*RJ18</f>
        <v>0</v>
      </c>
      <c r="RL18" s="172"/>
      <c r="RM18" s="79"/>
      <c r="RN18" s="77"/>
      <c r="RO18" s="54"/>
      <c r="RP18" s="53"/>
      <c r="RQ18" s="46"/>
      <c r="RR18" s="78"/>
      <c r="RS18" s="79"/>
      <c r="RT18" s="46"/>
      <c r="RU18" s="171">
        <f t="shared" ref="RU18:RU25" si="58">RS18*RT18</f>
        <v>0</v>
      </c>
    </row>
    <row r="19" spans="1:489" x14ac:dyDescent="0.25">
      <c r="A19" s="67" t="s">
        <v>168</v>
      </c>
      <c r="B19" s="46"/>
      <c r="C19" s="17"/>
      <c r="D19" s="54"/>
      <c r="E19" s="53"/>
      <c r="F19" s="46"/>
      <c r="G19" s="54"/>
      <c r="H19" s="53"/>
      <c r="I19" s="46"/>
      <c r="J19" s="170"/>
      <c r="K19" s="53"/>
      <c r="L19" s="17"/>
      <c r="M19" s="54"/>
      <c r="N19" s="53"/>
      <c r="O19" s="46"/>
      <c r="P19" s="54"/>
      <c r="Q19" s="53"/>
      <c r="R19" s="46"/>
      <c r="S19" s="171"/>
      <c r="T19" s="172"/>
      <c r="U19" s="53"/>
      <c r="V19" s="17"/>
      <c r="W19" s="54"/>
      <c r="X19" s="53"/>
      <c r="Y19" s="46"/>
      <c r="Z19" s="54"/>
      <c r="AA19" s="53"/>
      <c r="AB19" s="46"/>
      <c r="AC19" s="171"/>
      <c r="AD19" s="172"/>
      <c r="AE19" s="53"/>
      <c r="AF19" s="17"/>
      <c r="AG19" s="54"/>
      <c r="AH19" s="53"/>
      <c r="AI19" s="46"/>
      <c r="AJ19" s="54"/>
      <c r="AK19" s="53"/>
      <c r="AL19" s="46"/>
      <c r="AM19" s="171"/>
      <c r="AN19" s="172"/>
      <c r="AO19" s="53"/>
      <c r="AP19" s="17"/>
      <c r="AQ19" s="54"/>
      <c r="AR19" s="53"/>
      <c r="AS19" s="46"/>
      <c r="AT19" s="54"/>
      <c r="AU19" s="53"/>
      <c r="AV19" s="46"/>
      <c r="AW19" s="171"/>
      <c r="AX19" s="172"/>
      <c r="AY19" s="53"/>
      <c r="AZ19" s="17"/>
      <c r="BA19" s="54"/>
      <c r="BB19" s="53"/>
      <c r="BC19" s="46"/>
      <c r="BD19" s="54"/>
      <c r="BE19" s="53"/>
      <c r="BF19" s="46"/>
      <c r="BG19" s="171"/>
      <c r="BH19" s="172"/>
      <c r="BI19" s="53"/>
      <c r="BJ19" s="17"/>
      <c r="BK19" s="54"/>
      <c r="BL19" s="53"/>
      <c r="BM19" s="46"/>
      <c r="BN19" s="54"/>
      <c r="BO19" s="53"/>
      <c r="BP19" s="46"/>
      <c r="BQ19" s="171"/>
      <c r="BR19" s="172"/>
      <c r="BS19" s="53"/>
      <c r="BT19" s="17"/>
      <c r="BU19" s="54"/>
      <c r="BV19" s="53"/>
      <c r="BW19" s="46"/>
      <c r="BX19" s="54"/>
      <c r="BY19" s="53"/>
      <c r="BZ19" s="46"/>
      <c r="CA19" s="171"/>
      <c r="CB19" s="172"/>
      <c r="CC19" s="53"/>
      <c r="CD19" s="17"/>
      <c r="CE19" s="54"/>
      <c r="CF19" s="53"/>
      <c r="CG19" s="46"/>
      <c r="CH19" s="54"/>
      <c r="CI19" s="53"/>
      <c r="CJ19" s="46"/>
      <c r="CK19" s="171"/>
      <c r="CL19" s="172"/>
      <c r="CM19" s="53"/>
      <c r="CN19" s="17"/>
      <c r="CO19" s="54"/>
      <c r="CP19" s="53"/>
      <c r="CQ19" s="46"/>
      <c r="CR19" s="54"/>
      <c r="CS19" s="53"/>
      <c r="CT19" s="46"/>
      <c r="CU19" s="171"/>
      <c r="CV19" s="172"/>
      <c r="CW19" s="53"/>
      <c r="CX19" s="17"/>
      <c r="CY19" s="54"/>
      <c r="CZ19" s="53"/>
      <c r="DA19" s="46"/>
      <c r="DB19" s="54"/>
      <c r="DC19" s="53"/>
      <c r="DD19" s="46"/>
      <c r="DE19" s="171"/>
      <c r="DF19" s="172"/>
      <c r="DG19" s="53"/>
      <c r="DH19" s="17"/>
      <c r="DI19" s="54"/>
      <c r="DJ19" s="53"/>
      <c r="DK19" s="46"/>
      <c r="DL19" s="54"/>
      <c r="DM19" s="53"/>
      <c r="DN19" s="46"/>
      <c r="DO19" s="171"/>
      <c r="DP19" s="172"/>
      <c r="DQ19" s="53"/>
      <c r="DR19" s="17"/>
      <c r="DS19" s="54"/>
      <c r="DT19" s="53"/>
      <c r="DU19" s="46"/>
      <c r="DV19" s="54"/>
      <c r="DW19" s="53"/>
      <c r="DX19" s="46"/>
      <c r="DY19" s="171"/>
      <c r="DZ19" s="172"/>
      <c r="EA19" s="53"/>
      <c r="EB19" s="17"/>
      <c r="EC19" s="54"/>
      <c r="ED19" s="53"/>
      <c r="EE19" s="46"/>
      <c r="EF19" s="54"/>
      <c r="EG19" s="53"/>
      <c r="EH19" s="46"/>
      <c r="EI19" s="171"/>
      <c r="EJ19" s="172"/>
      <c r="EK19" s="53"/>
      <c r="EL19" s="17"/>
      <c r="EM19" s="54"/>
      <c r="EN19" s="53"/>
      <c r="EO19" s="46"/>
      <c r="EP19" s="54"/>
      <c r="EQ19" s="53"/>
      <c r="ER19" s="46"/>
      <c r="ES19" s="171"/>
      <c r="ET19" s="172"/>
      <c r="EU19" s="53"/>
      <c r="EV19" s="17"/>
      <c r="EW19" s="54"/>
      <c r="EX19" s="53"/>
      <c r="EY19" s="46"/>
      <c r="EZ19" s="54"/>
      <c r="FA19" s="53"/>
      <c r="FB19" s="46"/>
      <c r="FC19" s="171"/>
      <c r="FD19" s="172"/>
      <c r="FE19" s="53"/>
      <c r="FF19" s="17"/>
      <c r="FG19" s="54"/>
      <c r="FH19" s="53"/>
      <c r="FI19" s="46"/>
      <c r="FJ19" s="54"/>
      <c r="FK19" s="53"/>
      <c r="FL19" s="46"/>
      <c r="FM19" s="171"/>
      <c r="FN19" s="172"/>
      <c r="FO19" s="53"/>
      <c r="FP19" s="17"/>
      <c r="FQ19" s="54"/>
      <c r="FR19" s="53"/>
      <c r="FS19" s="46"/>
      <c r="FT19" s="54"/>
      <c r="FU19" s="53"/>
      <c r="FV19" s="46"/>
      <c r="FW19" s="171"/>
      <c r="FX19" s="172"/>
      <c r="FY19" s="53"/>
      <c r="FZ19" s="17"/>
      <c r="GA19" s="54"/>
      <c r="GB19" s="53"/>
      <c r="GC19" s="46"/>
      <c r="GD19" s="54"/>
      <c r="GE19" s="53"/>
      <c r="GF19" s="46"/>
      <c r="GG19" s="171"/>
      <c r="GH19" s="172"/>
      <c r="GI19" s="53"/>
      <c r="GJ19" s="17"/>
      <c r="GK19" s="54"/>
      <c r="GL19" s="53"/>
      <c r="GM19" s="46"/>
      <c r="GN19" s="54"/>
      <c r="GO19" s="53"/>
      <c r="GP19" s="46"/>
      <c r="GQ19" s="171"/>
      <c r="GR19" s="172"/>
      <c r="GS19" s="53"/>
      <c r="GT19" s="17"/>
      <c r="GU19" s="54"/>
      <c r="GV19" s="53"/>
      <c r="GW19" s="46"/>
      <c r="GX19" s="54"/>
      <c r="GY19" s="53"/>
      <c r="GZ19" s="46"/>
      <c r="HA19" s="171"/>
      <c r="HB19" s="172"/>
      <c r="HC19" s="53"/>
      <c r="HD19" s="17"/>
      <c r="HE19" s="54"/>
      <c r="HF19" s="53"/>
      <c r="HG19" s="46"/>
      <c r="HH19" s="54"/>
      <c r="HI19" s="53"/>
      <c r="HJ19" s="46"/>
      <c r="HK19" s="171"/>
      <c r="HL19" s="172"/>
      <c r="HM19" s="53"/>
      <c r="HN19" s="17"/>
      <c r="HO19" s="54"/>
      <c r="HP19" s="53"/>
      <c r="HQ19" s="46"/>
      <c r="HR19" s="54"/>
      <c r="HS19" s="53"/>
      <c r="HT19" s="46"/>
      <c r="HU19" s="171"/>
      <c r="HV19" s="172"/>
      <c r="HW19" s="53"/>
      <c r="HX19" s="17"/>
      <c r="HY19" s="54"/>
      <c r="HZ19" s="53"/>
      <c r="IA19" s="46"/>
      <c r="IB19" s="54"/>
      <c r="IC19" s="53"/>
      <c r="ID19" s="46"/>
      <c r="IE19" s="171"/>
      <c r="IF19" s="172"/>
      <c r="IG19" s="53"/>
      <c r="IH19" s="17"/>
      <c r="II19" s="54"/>
      <c r="IJ19" s="53"/>
      <c r="IK19" s="46"/>
      <c r="IL19" s="54"/>
      <c r="IM19" s="53"/>
      <c r="IN19" s="46"/>
      <c r="IO19" s="171"/>
      <c r="IP19" s="172"/>
      <c r="IQ19" s="53"/>
      <c r="IR19" s="17"/>
      <c r="IS19" s="54"/>
      <c r="IT19" s="53"/>
      <c r="IU19" s="46"/>
      <c r="IV19" s="54"/>
      <c r="IW19" s="53">
        <v>2471730.6237521898</v>
      </c>
      <c r="IX19" s="46">
        <v>3.2365986499999999</v>
      </c>
      <c r="IY19" s="167">
        <f>IW19*IX19</f>
        <v>7999999.9999999953</v>
      </c>
      <c r="IZ19" s="172"/>
      <c r="JA19" s="53"/>
      <c r="JB19" s="17"/>
      <c r="JC19" s="54"/>
      <c r="JD19" s="53"/>
      <c r="JE19" s="46"/>
      <c r="JF19" s="54"/>
      <c r="JG19" s="53">
        <v>2471730.6237521898</v>
      </c>
      <c r="JH19" s="46">
        <v>3.23765729</v>
      </c>
      <c r="JI19" s="167">
        <f>JG19*JH19</f>
        <v>8002616.6729075247</v>
      </c>
      <c r="JJ19" s="172"/>
      <c r="JK19" s="53"/>
      <c r="JL19" s="17"/>
      <c r="JM19" s="54"/>
      <c r="JN19" s="53"/>
      <c r="JO19" s="46"/>
      <c r="JP19" s="54"/>
      <c r="JQ19" s="53">
        <v>2471730.6237521898</v>
      </c>
      <c r="JR19" s="46">
        <v>3.2386064800000001</v>
      </c>
      <c r="JS19" s="167">
        <f>JQ19*JR19</f>
        <v>8004962.8148982842</v>
      </c>
      <c r="JT19" s="172"/>
      <c r="JU19" s="53"/>
      <c r="JV19" s="17"/>
      <c r="JW19" s="54"/>
      <c r="JX19" s="53"/>
      <c r="JY19" s="46"/>
      <c r="JZ19" s="54"/>
      <c r="KA19" s="53">
        <v>2471730.6237521898</v>
      </c>
      <c r="KB19" s="46">
        <v>3.2396561699999999</v>
      </c>
      <c r="KC19" s="167">
        <f>KA19*KB19</f>
        <v>8007557.3658167301</v>
      </c>
      <c r="KD19" s="172"/>
      <c r="KE19" s="53"/>
      <c r="KF19" s="17"/>
      <c r="KG19" s="54"/>
      <c r="KH19" s="53"/>
      <c r="KI19" s="46"/>
      <c r="KJ19" s="54"/>
      <c r="KK19" s="53">
        <v>2471730.6237521898</v>
      </c>
      <c r="KL19" s="46">
        <v>3.2407962800000001</v>
      </c>
      <c r="KM19" s="167">
        <f>KK19*KL19</f>
        <v>8010375.4106181767</v>
      </c>
      <c r="KN19" s="172"/>
      <c r="KO19" s="53"/>
      <c r="KP19" s="17"/>
      <c r="KQ19" s="54"/>
      <c r="KR19" s="53"/>
      <c r="KS19" s="46"/>
      <c r="KT19" s="54"/>
      <c r="KU19" s="53">
        <v>2471730.6237521898</v>
      </c>
      <c r="KV19" s="46">
        <v>3.23975021</v>
      </c>
      <c r="KW19" s="167">
        <f>KU19*KV19</f>
        <v>8007789.8073645877</v>
      </c>
      <c r="KX19" s="172"/>
      <c r="KY19" s="53"/>
      <c r="KZ19" s="17"/>
      <c r="LA19" s="54"/>
      <c r="LB19" s="53"/>
      <c r="LC19" s="46"/>
      <c r="LD19" s="54"/>
      <c r="LE19" s="53">
        <v>2471730.6237521898</v>
      </c>
      <c r="LF19" s="46">
        <v>3.2408064300000001</v>
      </c>
      <c r="LG19" s="167">
        <f t="shared" si="41"/>
        <v>8010400.4986840077</v>
      </c>
      <c r="LH19" s="172"/>
      <c r="LI19" s="53"/>
      <c r="LJ19" s="17"/>
      <c r="LK19" s="54"/>
      <c r="LL19" s="53"/>
      <c r="LM19" s="46"/>
      <c r="LN19" s="54"/>
      <c r="LO19" s="53">
        <v>2471730.6237521898</v>
      </c>
      <c r="LP19" s="46">
        <v>3.2419594699999998</v>
      </c>
      <c r="LQ19" s="167">
        <f t="shared" si="42"/>
        <v>8013250.5029624179</v>
      </c>
      <c r="LR19" s="172"/>
      <c r="LS19" s="53"/>
      <c r="LT19" s="17"/>
      <c r="LU19" s="54"/>
      <c r="LV19" s="53"/>
      <c r="LW19" s="46"/>
      <c r="LX19" s="54"/>
      <c r="LY19" s="53">
        <v>2471730.6237521898</v>
      </c>
      <c r="LZ19" s="46">
        <v>3.2429906599999998</v>
      </c>
      <c r="MA19" s="167">
        <f t="shared" si="43"/>
        <v>8015799.3268643254</v>
      </c>
      <c r="MB19" s="172"/>
      <c r="MC19" s="53"/>
      <c r="MD19" s="17"/>
      <c r="ME19" s="54"/>
      <c r="MF19" s="53"/>
      <c r="MG19" s="46"/>
      <c r="MH19" s="54"/>
      <c r="MI19" s="53">
        <v>2471730.6237521898</v>
      </c>
      <c r="MJ19" s="46">
        <v>3.2441768999999998</v>
      </c>
      <c r="MK19" s="167">
        <f t="shared" si="44"/>
        <v>8018731.3925994448</v>
      </c>
      <c r="ML19" s="172"/>
      <c r="MM19" s="53"/>
      <c r="MN19" s="17"/>
      <c r="MO19" s="54"/>
      <c r="MP19" s="53"/>
      <c r="MQ19" s="46"/>
      <c r="MR19" s="54"/>
      <c r="MS19" s="53"/>
      <c r="MT19" s="46"/>
      <c r="MU19" s="167">
        <f t="shared" si="45"/>
        <v>0</v>
      </c>
      <c r="MV19" s="172"/>
      <c r="MW19" s="53"/>
      <c r="MX19" s="17"/>
      <c r="MY19" s="54"/>
      <c r="MZ19" s="53"/>
      <c r="NA19" s="46"/>
      <c r="NB19" s="54"/>
      <c r="NC19" s="53">
        <v>2471730.6237521898</v>
      </c>
      <c r="ND19" s="46">
        <v>3.2464409299999999</v>
      </c>
      <c r="NE19" s="167">
        <f t="shared" si="46"/>
        <v>8024327.4648835389</v>
      </c>
      <c r="NF19" s="172"/>
      <c r="NG19" s="53"/>
      <c r="NH19" s="17"/>
      <c r="NI19" s="54"/>
      <c r="NJ19" s="53"/>
      <c r="NK19" s="46"/>
      <c r="NL19" s="54"/>
      <c r="NM19" s="53">
        <v>2471730.6237521898</v>
      </c>
      <c r="NN19" s="46">
        <v>3.2476281</v>
      </c>
      <c r="NO19" s="167">
        <f t="shared" si="47"/>
        <v>8027261.8293281393</v>
      </c>
      <c r="NP19" s="172"/>
      <c r="NQ19" s="53"/>
      <c r="NR19" s="17"/>
      <c r="NS19" s="54"/>
      <c r="NT19" s="53"/>
      <c r="NU19" s="46"/>
      <c r="NV19" s="54"/>
      <c r="NW19" s="53">
        <v>2471730.6237521898</v>
      </c>
      <c r="NX19" s="46">
        <v>3.2487706599999999</v>
      </c>
      <c r="NY19" s="167">
        <f t="shared" si="48"/>
        <v>8030085.9298696127</v>
      </c>
      <c r="NZ19" s="172"/>
      <c r="OA19" s="53"/>
      <c r="OB19" s="17"/>
      <c r="OC19" s="54"/>
      <c r="OD19" s="53"/>
      <c r="OE19" s="46"/>
      <c r="OF19" s="54"/>
      <c r="OG19" s="53">
        <v>2471730.6237521898</v>
      </c>
      <c r="OH19" s="46">
        <v>3.24987527</v>
      </c>
      <c r="OI19" s="167">
        <f t="shared" si="49"/>
        <v>8032816.2282339158</v>
      </c>
      <c r="OJ19" s="172"/>
      <c r="OK19" s="53"/>
      <c r="OL19" s="17"/>
      <c r="OM19" s="54"/>
      <c r="ON19" s="53"/>
      <c r="OO19" s="46"/>
      <c r="OP19" s="54"/>
      <c r="OQ19" s="53"/>
      <c r="OR19" s="46"/>
      <c r="OS19" s="167">
        <f t="shared" si="50"/>
        <v>0</v>
      </c>
      <c r="OT19" s="172"/>
      <c r="OU19" s="53"/>
      <c r="OV19" s="17"/>
      <c r="OW19" s="54"/>
      <c r="OX19" s="53"/>
      <c r="OY19" s="46"/>
      <c r="OZ19" s="54"/>
      <c r="PA19" s="53"/>
      <c r="PB19" s="46"/>
      <c r="PC19" s="167">
        <f t="shared" si="51"/>
        <v>0</v>
      </c>
      <c r="PD19" s="172"/>
      <c r="PE19" s="53"/>
      <c r="PF19" s="17"/>
      <c r="PG19" s="54"/>
      <c r="PH19" s="53"/>
      <c r="PI19" s="46"/>
      <c r="PJ19" s="54"/>
      <c r="PK19" s="53"/>
      <c r="PL19" s="46"/>
      <c r="PM19" s="167">
        <f t="shared" si="52"/>
        <v>0</v>
      </c>
      <c r="PN19" s="172"/>
      <c r="PO19" s="53"/>
      <c r="PP19" s="17"/>
      <c r="PQ19" s="54"/>
      <c r="PR19" s="53"/>
      <c r="PS19" s="46"/>
      <c r="PT19" s="54"/>
      <c r="PU19" s="53"/>
      <c r="PV19" s="46"/>
      <c r="PW19" s="167">
        <f t="shared" si="53"/>
        <v>0</v>
      </c>
      <c r="PX19" s="172"/>
      <c r="PY19" s="53"/>
      <c r="PZ19" s="17"/>
      <c r="QA19" s="54"/>
      <c r="QB19" s="53"/>
      <c r="QC19" s="46"/>
      <c r="QD19" s="54"/>
      <c r="QE19" s="53"/>
      <c r="QF19" s="46"/>
      <c r="QG19" s="167">
        <f t="shared" si="54"/>
        <v>0</v>
      </c>
      <c r="QH19" s="172"/>
      <c r="QI19" s="53"/>
      <c r="QJ19" s="17"/>
      <c r="QK19" s="54"/>
      <c r="QL19" s="53"/>
      <c r="QM19" s="46"/>
      <c r="QN19" s="54"/>
      <c r="QO19" s="53"/>
      <c r="QP19" s="46"/>
      <c r="QQ19" s="167">
        <f t="shared" si="55"/>
        <v>0</v>
      </c>
      <c r="QR19" s="172"/>
      <c r="QS19" s="53"/>
      <c r="QT19" s="17"/>
      <c r="QU19" s="54"/>
      <c r="QV19" s="53"/>
      <c r="QW19" s="46"/>
      <c r="QX19" s="54"/>
      <c r="QY19" s="53"/>
      <c r="QZ19" s="46"/>
      <c r="RA19" s="167">
        <f t="shared" si="56"/>
        <v>0</v>
      </c>
      <c r="RB19" s="172"/>
      <c r="RC19" s="53"/>
      <c r="RD19" s="17"/>
      <c r="RE19" s="54"/>
      <c r="RF19" s="53"/>
      <c r="RG19" s="46"/>
      <c r="RH19" s="54"/>
      <c r="RI19" s="53"/>
      <c r="RJ19" s="46"/>
      <c r="RK19" s="167">
        <f t="shared" si="57"/>
        <v>0</v>
      </c>
      <c r="RL19" s="172"/>
      <c r="RM19" s="53"/>
      <c r="RN19" s="17"/>
      <c r="RO19" s="54"/>
      <c r="RP19" s="53"/>
      <c r="RQ19" s="46"/>
      <c r="RR19" s="54"/>
      <c r="RS19" s="53"/>
      <c r="RT19" s="46"/>
      <c r="RU19" s="167">
        <f t="shared" si="58"/>
        <v>0</v>
      </c>
    </row>
    <row r="20" spans="1:489" x14ac:dyDescent="0.25">
      <c r="A20" s="67" t="s">
        <v>163</v>
      </c>
      <c r="B20" s="46"/>
      <c r="C20" s="17"/>
      <c r="D20" s="54"/>
      <c r="E20" s="53"/>
      <c r="F20" s="46"/>
      <c r="G20" s="54"/>
      <c r="H20" s="53">
        <v>20045566.612681799</v>
      </c>
      <c r="I20" s="46">
        <v>1.26933301</v>
      </c>
      <c r="J20" s="167">
        <f>H20*I20</f>
        <v>25444499.40563089</v>
      </c>
      <c r="K20" s="53"/>
      <c r="L20" s="17"/>
      <c r="M20" s="54"/>
      <c r="N20" s="53"/>
      <c r="O20" s="46"/>
      <c r="P20" s="54"/>
      <c r="Q20" s="53">
        <v>20045566.612681799</v>
      </c>
      <c r="R20" s="46">
        <v>1.26966702</v>
      </c>
      <c r="S20" s="167">
        <f>Q20*R20</f>
        <v>25451194.825335193</v>
      </c>
      <c r="T20" s="168"/>
      <c r="U20" s="53"/>
      <c r="V20" s="17"/>
      <c r="W20" s="54"/>
      <c r="X20" s="53"/>
      <c r="Y20" s="46"/>
      <c r="Z20" s="54"/>
      <c r="AA20" s="53">
        <v>20045566.612681799</v>
      </c>
      <c r="AB20" s="46">
        <f>$V$13</f>
        <v>1.27000091</v>
      </c>
      <c r="AC20" s="167">
        <f>AA20*AB20</f>
        <v>25457887.839571502</v>
      </c>
      <c r="AD20" s="168"/>
      <c r="AE20" s="53"/>
      <c r="AF20" s="17"/>
      <c r="AG20" s="54"/>
      <c r="AH20" s="53"/>
      <c r="AI20" s="46"/>
      <c r="AJ20" s="54"/>
      <c r="AK20" s="53">
        <v>20045566.612681799</v>
      </c>
      <c r="AL20" s="46">
        <f>AF13</f>
        <v>1.2703340999999999</v>
      </c>
      <c r="AM20" s="167">
        <f>AK20*AL20</f>
        <v>25464566.821911179</v>
      </c>
      <c r="AN20" s="168"/>
      <c r="AO20" s="53"/>
      <c r="AP20" s="17"/>
      <c r="AQ20" s="54"/>
      <c r="AR20" s="53"/>
      <c r="AS20" s="46"/>
      <c r="AT20" s="54"/>
      <c r="AU20" s="53">
        <v>20045566.612681799</v>
      </c>
      <c r="AV20" s="46">
        <f>AP13</f>
        <v>1.2703340999999999</v>
      </c>
      <c r="AW20" s="167">
        <f>AU20*AV20</f>
        <v>25464566.821911179</v>
      </c>
      <c r="AX20" s="168"/>
      <c r="AY20" s="53"/>
      <c r="AZ20" s="17"/>
      <c r="BA20" s="54"/>
      <c r="BB20" s="53"/>
      <c r="BC20" s="46"/>
      <c r="BD20" s="54"/>
      <c r="BE20" s="53">
        <v>20045566.612681799</v>
      </c>
      <c r="BF20" s="46">
        <v>1.27098321</v>
      </c>
      <c r="BG20" s="167">
        <f>BE20*BF20</f>
        <v>25477578.59965514</v>
      </c>
      <c r="BH20" s="168"/>
      <c r="BI20" s="53"/>
      <c r="BJ20" s="17"/>
      <c r="BK20" s="54"/>
      <c r="BL20" s="53"/>
      <c r="BM20" s="46"/>
      <c r="BN20" s="54"/>
      <c r="BO20" s="53">
        <v>20045566.612681799</v>
      </c>
      <c r="BP20" s="46">
        <v>1.2713222799999999</v>
      </c>
      <c r="BQ20" s="167">
        <f>BO20*BP20</f>
        <v>25484375.449926499</v>
      </c>
      <c r="BR20" s="168"/>
      <c r="BS20" s="53"/>
      <c r="BT20" s="17"/>
      <c r="BU20" s="54"/>
      <c r="BV20" s="53"/>
      <c r="BW20" s="46"/>
      <c r="BX20" s="54"/>
      <c r="BY20" s="53">
        <v>20045566.612681799</v>
      </c>
      <c r="BZ20" s="46">
        <v>1.27165741</v>
      </c>
      <c r="CA20" s="167">
        <f>BY20*BZ20</f>
        <v>25491093.320665408</v>
      </c>
      <c r="CB20" s="168"/>
      <c r="CC20" s="53"/>
      <c r="CD20" s="17"/>
      <c r="CE20" s="54"/>
      <c r="CF20" s="53"/>
      <c r="CG20" s="46"/>
      <c r="CH20" s="54"/>
      <c r="CI20" s="53">
        <v>20045566.612681799</v>
      </c>
      <c r="CJ20" s="46">
        <v>1.2719871</v>
      </c>
      <c r="CK20" s="167">
        <f>CI20*CJ20</f>
        <v>25497702.143521946</v>
      </c>
      <c r="CL20" s="168"/>
      <c r="CM20" s="53"/>
      <c r="CN20" s="17"/>
      <c r="CO20" s="54"/>
      <c r="CP20" s="53"/>
      <c r="CQ20" s="46"/>
      <c r="CR20" s="54"/>
      <c r="CS20" s="53">
        <v>20045566.612681799</v>
      </c>
      <c r="CT20" s="46">
        <v>1.2723110799999999</v>
      </c>
      <c r="CU20" s="167">
        <f>CS20*CT20</f>
        <v>25504196.50619312</v>
      </c>
      <c r="CV20" s="168"/>
      <c r="CW20" s="53"/>
      <c r="CX20" s="17"/>
      <c r="CY20" s="54"/>
      <c r="CZ20" s="53"/>
      <c r="DA20" s="46"/>
      <c r="DB20" s="54"/>
      <c r="DC20" s="53">
        <v>20045566.612681799</v>
      </c>
      <c r="DD20" s="46">
        <v>1.2723110799999999</v>
      </c>
      <c r="DE20" s="167">
        <f>DC20*DD20</f>
        <v>25504196.50619312</v>
      </c>
      <c r="DF20" s="168"/>
      <c r="DG20" s="53"/>
      <c r="DH20" s="17"/>
      <c r="DI20" s="54"/>
      <c r="DJ20" s="53"/>
      <c r="DK20" s="46"/>
      <c r="DL20" s="54"/>
      <c r="DM20" s="53">
        <v>20045566.612681799</v>
      </c>
      <c r="DN20" s="46">
        <v>1.27295388</v>
      </c>
      <c r="DO20" s="167">
        <f>DM20*DN20</f>
        <v>25517081.796411753</v>
      </c>
      <c r="DP20" s="168"/>
      <c r="DQ20" s="53"/>
      <c r="DR20" s="17"/>
      <c r="DS20" s="54"/>
      <c r="DT20" s="53"/>
      <c r="DU20" s="46"/>
      <c r="DV20" s="54"/>
      <c r="DW20" s="53">
        <v>20045566.612681799</v>
      </c>
      <c r="DX20" s="46">
        <v>1.2732713200000001</v>
      </c>
      <c r="DY20" s="167">
        <f>DW20*DX20</f>
        <v>25523445.061077286</v>
      </c>
      <c r="DZ20" s="168"/>
      <c r="EA20" s="53"/>
      <c r="EB20" s="17"/>
      <c r="EC20" s="54"/>
      <c r="ED20" s="53"/>
      <c r="EE20" s="46"/>
      <c r="EF20" s="54"/>
      <c r="EG20" s="53">
        <v>20045566.612681799</v>
      </c>
      <c r="EH20" s="46">
        <v>1.2735878199999999</v>
      </c>
      <c r="EI20" s="167">
        <f>EG20*EH20</f>
        <v>25529789.482910194</v>
      </c>
      <c r="EJ20" s="168"/>
      <c r="EK20" s="53"/>
      <c r="EL20" s="17"/>
      <c r="EM20" s="54"/>
      <c r="EN20" s="53"/>
      <c r="EO20" s="46"/>
      <c r="EP20" s="54"/>
      <c r="EQ20" s="53">
        <v>20045566.612681799</v>
      </c>
      <c r="ER20" s="46">
        <v>1.27390326</v>
      </c>
      <c r="ES20" s="167">
        <f>EQ20*ER20</f>
        <v>25536112.656442501</v>
      </c>
      <c r="ET20" s="168"/>
      <c r="EU20" s="53"/>
      <c r="EV20" s="17"/>
      <c r="EW20" s="54"/>
      <c r="EX20" s="53"/>
      <c r="EY20" s="46"/>
      <c r="EZ20" s="54"/>
      <c r="FA20" s="53">
        <v>23969538.803898901</v>
      </c>
      <c r="FB20" s="46">
        <v>1.2742190200000001</v>
      </c>
      <c r="FC20" s="167">
        <f>FA20*FB20</f>
        <v>30542442.244556032</v>
      </c>
      <c r="FD20" s="168"/>
      <c r="FE20" s="53"/>
      <c r="FF20" s="17"/>
      <c r="FG20" s="54"/>
      <c r="FH20" s="53"/>
      <c r="FI20" s="46"/>
      <c r="FJ20" s="54"/>
      <c r="FK20" s="53">
        <v>29461732.834828701</v>
      </c>
      <c r="FL20" s="46">
        <v>1.2745361799999999</v>
      </c>
      <c r="FM20" s="167">
        <f>FK20*FL20</f>
        <v>37550044.423483141</v>
      </c>
      <c r="FN20" s="168"/>
      <c r="FO20" s="53"/>
      <c r="FP20" s="17"/>
      <c r="FQ20" s="54"/>
      <c r="FR20" s="53"/>
      <c r="FS20" s="46"/>
      <c r="FT20" s="54"/>
      <c r="FU20" s="53">
        <v>29461732.834828701</v>
      </c>
      <c r="FV20" s="46">
        <v>1.2748526899999999</v>
      </c>
      <c r="FW20" s="167">
        <f>FU20*FV20</f>
        <v>37559369.356542692</v>
      </c>
      <c r="FX20" s="168"/>
      <c r="FY20" s="53"/>
      <c r="FZ20" s="17"/>
      <c r="GA20" s="54"/>
      <c r="GB20" s="53"/>
      <c r="GC20" s="46"/>
      <c r="GD20" s="54"/>
      <c r="GE20" s="53">
        <v>29461732.834828701</v>
      </c>
      <c r="GF20" s="46">
        <v>1.2751695199999999</v>
      </c>
      <c r="GG20" s="167">
        <f>GE20*GF20</f>
        <v>37568703.717356749</v>
      </c>
      <c r="GH20" s="168"/>
      <c r="GI20" s="53"/>
      <c r="GJ20" s="17"/>
      <c r="GK20" s="54"/>
      <c r="GL20" s="53"/>
      <c r="GM20" s="46"/>
      <c r="GN20" s="54"/>
      <c r="GO20" s="53">
        <v>29461732.834828701</v>
      </c>
      <c r="GP20" s="46">
        <v>1.27548624</v>
      </c>
      <c r="GQ20" s="167">
        <f>GO20*GP20</f>
        <v>37578034.837380201</v>
      </c>
      <c r="GR20" s="168"/>
      <c r="GS20" s="53"/>
      <c r="GT20" s="17"/>
      <c r="GU20" s="54"/>
      <c r="GV20" s="53"/>
      <c r="GW20" s="46"/>
      <c r="GX20" s="54"/>
      <c r="GY20" s="53">
        <v>29461732.834828701</v>
      </c>
      <c r="GZ20" s="46">
        <v>1.2758021500000001</v>
      </c>
      <c r="HA20" s="167">
        <f>GY20*GZ20</f>
        <v>37587342.093400054</v>
      </c>
      <c r="HB20" s="168"/>
      <c r="HC20" s="53"/>
      <c r="HD20" s="17"/>
      <c r="HE20" s="54"/>
      <c r="HF20" s="53"/>
      <c r="HG20" s="46"/>
      <c r="HH20" s="54"/>
      <c r="HI20" s="53">
        <v>29461732.834828701</v>
      </c>
      <c r="HJ20" s="46">
        <v>1.2758021500000001</v>
      </c>
      <c r="HK20" s="167">
        <f>HI20*HJ20</f>
        <v>37587342.093400054</v>
      </c>
      <c r="HL20" s="168"/>
      <c r="HM20" s="53"/>
      <c r="HN20" s="17"/>
      <c r="HO20" s="54"/>
      <c r="HP20" s="53"/>
      <c r="HQ20" s="46"/>
      <c r="HR20" s="54"/>
      <c r="HS20" s="53">
        <v>31812615.762590699</v>
      </c>
      <c r="HT20" s="46">
        <v>1.27611629</v>
      </c>
      <c r="HU20" s="167">
        <f>HS20*HT20</f>
        <v>40596597.202152766</v>
      </c>
      <c r="HV20" s="168"/>
      <c r="HW20" s="53"/>
      <c r="HX20" s="17"/>
      <c r="HY20" s="54"/>
      <c r="HZ20" s="53"/>
      <c r="IA20" s="46"/>
      <c r="IB20" s="54"/>
      <c r="IC20" s="53">
        <v>31812615.762590699</v>
      </c>
      <c r="ID20" s="46">
        <v>1.2764375800000001</v>
      </c>
      <c r="IE20" s="167">
        <f>IC20*ID20</f>
        <v>40606818.277471125</v>
      </c>
      <c r="IF20" s="168"/>
      <c r="IG20" s="53"/>
      <c r="IH20" s="17"/>
      <c r="II20" s="54"/>
      <c r="IJ20" s="53"/>
      <c r="IK20" s="46"/>
      <c r="IL20" s="54"/>
      <c r="IM20" s="53">
        <v>32987461.129639301</v>
      </c>
      <c r="IN20" s="46">
        <v>1.2767637700000001</v>
      </c>
      <c r="IO20" s="167">
        <f>IM20*IN20</f>
        <v>42117195.234606735</v>
      </c>
      <c r="IP20" s="168"/>
      <c r="IQ20" s="53"/>
      <c r="IR20" s="17"/>
      <c r="IS20" s="54"/>
      <c r="IT20" s="53"/>
      <c r="IU20" s="46"/>
      <c r="IV20" s="54"/>
      <c r="IW20" s="53">
        <v>25157190.943190999</v>
      </c>
      <c r="IX20" s="46">
        <v>1.2770951399999999</v>
      </c>
      <c r="IY20" s="167">
        <f>IW20*IX20</f>
        <v>32128126.28960124</v>
      </c>
      <c r="IZ20" s="168"/>
      <c r="JA20" s="53"/>
      <c r="JB20" s="17"/>
      <c r="JC20" s="54"/>
      <c r="JD20" s="53"/>
      <c r="JE20" s="46"/>
      <c r="JF20" s="54"/>
      <c r="JG20" s="53">
        <v>25157190.943190999</v>
      </c>
      <c r="JH20" s="46">
        <v>1.2774257</v>
      </c>
      <c r="JI20" s="167">
        <f>JG20*JH20</f>
        <v>32136442.250639424</v>
      </c>
      <c r="JJ20" s="168"/>
      <c r="JK20" s="53"/>
      <c r="JL20" s="17"/>
      <c r="JM20" s="54"/>
      <c r="JN20" s="53"/>
      <c r="JO20" s="46"/>
      <c r="JP20" s="54"/>
      <c r="JQ20" s="53">
        <v>25157190.943190999</v>
      </c>
      <c r="JR20" s="46">
        <v>1.2777554900000001</v>
      </c>
      <c r="JS20" s="167">
        <f>JQ20*JR20</f>
        <v>32144738.840640578</v>
      </c>
      <c r="JT20" s="168"/>
      <c r="JU20" s="53"/>
      <c r="JV20" s="17"/>
      <c r="JW20" s="54"/>
      <c r="JX20" s="53"/>
      <c r="JY20" s="46"/>
      <c r="JZ20" s="54"/>
      <c r="KA20" s="53">
        <v>25157190.943190999</v>
      </c>
      <c r="KB20" s="46">
        <v>1.2780866799999999</v>
      </c>
      <c r="KC20" s="167">
        <f>KA20*KB20</f>
        <v>32153070.650709052</v>
      </c>
      <c r="KD20" s="168"/>
      <c r="KE20" s="53"/>
      <c r="KF20" s="17"/>
      <c r="KG20" s="54"/>
      <c r="KH20" s="53"/>
      <c r="KI20" s="46"/>
      <c r="KJ20" s="54"/>
      <c r="KK20" s="53">
        <v>25157190.943190999</v>
      </c>
      <c r="KL20" s="46">
        <v>1.27841925</v>
      </c>
      <c r="KM20" s="167">
        <f>KK20*KL20</f>
        <v>32161437.17770103</v>
      </c>
      <c r="KN20" s="168"/>
      <c r="KO20" s="53"/>
      <c r="KP20" s="17"/>
      <c r="KQ20" s="54"/>
      <c r="KR20" s="53"/>
      <c r="KS20" s="46"/>
      <c r="KT20" s="54"/>
      <c r="KU20" s="53">
        <v>23593167.4376694</v>
      </c>
      <c r="KV20" s="46">
        <v>1.2787531599999999</v>
      </c>
      <c r="KW20" s="167">
        <f>KU20*KV20</f>
        <v>30169837.415328845</v>
      </c>
      <c r="KX20" s="168"/>
      <c r="KY20" s="53"/>
      <c r="KZ20" s="17"/>
      <c r="LA20" s="54"/>
      <c r="LB20" s="53"/>
      <c r="LC20" s="46"/>
      <c r="LD20" s="54"/>
      <c r="LE20" s="53">
        <v>22029552.360235799</v>
      </c>
      <c r="LF20" s="46">
        <v>1.2790871800000001</v>
      </c>
      <c r="LG20" s="167">
        <f t="shared" si="41"/>
        <v>28177718.005116355</v>
      </c>
      <c r="LH20" s="168"/>
      <c r="LI20" s="53"/>
      <c r="LJ20" s="17"/>
      <c r="LK20" s="54"/>
      <c r="LL20" s="53"/>
      <c r="LM20" s="46"/>
      <c r="LN20" s="54"/>
      <c r="LO20" s="53">
        <v>19684737.906068001</v>
      </c>
      <c r="LP20" s="46">
        <v>1.2794189300000001</v>
      </c>
      <c r="LQ20" s="167">
        <f t="shared" si="42"/>
        <v>25185026.309111964</v>
      </c>
      <c r="LR20" s="168"/>
      <c r="LS20" s="53"/>
      <c r="LT20" s="17"/>
      <c r="LU20" s="54"/>
      <c r="LV20" s="53"/>
      <c r="LW20" s="46"/>
      <c r="LX20" s="54"/>
      <c r="LY20" s="53">
        <v>19684737.906068001</v>
      </c>
      <c r="LZ20" s="46">
        <v>1.2797504</v>
      </c>
      <c r="MA20" s="167">
        <f t="shared" si="43"/>
        <v>25191551.209185686</v>
      </c>
      <c r="MB20" s="168"/>
      <c r="MC20" s="53"/>
      <c r="MD20" s="17"/>
      <c r="ME20" s="54"/>
      <c r="MF20" s="53"/>
      <c r="MG20" s="46"/>
      <c r="MH20" s="54"/>
      <c r="MI20" s="53">
        <v>19684737.906068001</v>
      </c>
      <c r="MJ20" s="46">
        <v>1.2800794099999999</v>
      </c>
      <c r="MK20" s="167">
        <f t="shared" si="44"/>
        <v>25198027.68480416</v>
      </c>
      <c r="ML20" s="168"/>
      <c r="MM20" s="53"/>
      <c r="MN20" s="17"/>
      <c r="MO20" s="54"/>
      <c r="MP20" s="53"/>
      <c r="MQ20" s="46"/>
      <c r="MR20" s="54"/>
      <c r="MS20" s="53"/>
      <c r="MT20" s="46"/>
      <c r="MU20" s="167">
        <f t="shared" si="45"/>
        <v>0</v>
      </c>
      <c r="MV20" s="168"/>
      <c r="MW20" s="53"/>
      <c r="MX20" s="17"/>
      <c r="MY20" s="54"/>
      <c r="MZ20" s="53"/>
      <c r="NA20" s="46"/>
      <c r="NB20" s="54"/>
      <c r="NC20" s="53">
        <v>19684737.906068001</v>
      </c>
      <c r="ND20" s="46">
        <v>1.2807406699999999</v>
      </c>
      <c r="NE20" s="167">
        <f t="shared" si="46"/>
        <v>25211044.414591927</v>
      </c>
      <c r="NF20" s="168"/>
      <c r="NG20" s="53"/>
      <c r="NH20" s="17"/>
      <c r="NI20" s="54"/>
      <c r="NJ20" s="53"/>
      <c r="NK20" s="46"/>
      <c r="NL20" s="54"/>
      <c r="NM20" s="53">
        <v>21636225.470787201</v>
      </c>
      <c r="NN20" s="46">
        <v>1.28107401</v>
      </c>
      <c r="NO20" s="167">
        <f t="shared" si="47"/>
        <v>27717606.125125498</v>
      </c>
      <c r="NP20" s="168"/>
      <c r="NQ20" s="53"/>
      <c r="NR20" s="17"/>
      <c r="NS20" s="54"/>
      <c r="NT20" s="53"/>
      <c r="NU20" s="46"/>
      <c r="NV20" s="54"/>
      <c r="NW20" s="53">
        <v>21636225.470787201</v>
      </c>
      <c r="NX20" s="46">
        <v>1.2814066900000001</v>
      </c>
      <c r="NY20" s="167">
        <f t="shared" si="48"/>
        <v>27724804.064615119</v>
      </c>
      <c r="NZ20" s="168"/>
      <c r="OA20" s="53"/>
      <c r="OB20" s="17"/>
      <c r="OC20" s="54"/>
      <c r="OD20" s="53"/>
      <c r="OE20" s="46"/>
      <c r="OF20" s="54"/>
      <c r="OG20" s="53">
        <v>21636225.470787201</v>
      </c>
      <c r="OH20" s="46">
        <v>1.2817370800000001</v>
      </c>
      <c r="OI20" s="167">
        <f t="shared" si="49"/>
        <v>27731952.457148414</v>
      </c>
      <c r="OJ20" s="168"/>
      <c r="OK20" s="53"/>
      <c r="OL20" s="17"/>
      <c r="OM20" s="54"/>
      <c r="ON20" s="53"/>
      <c r="OO20" s="46"/>
      <c r="OP20" s="54"/>
      <c r="OQ20" s="53"/>
      <c r="OR20" s="46"/>
      <c r="OS20" s="167">
        <f t="shared" si="50"/>
        <v>0</v>
      </c>
      <c r="OT20" s="168"/>
      <c r="OU20" s="53"/>
      <c r="OV20" s="17"/>
      <c r="OW20" s="54"/>
      <c r="OX20" s="53"/>
      <c r="OY20" s="46"/>
      <c r="OZ20" s="54"/>
      <c r="PA20" s="53"/>
      <c r="PB20" s="46"/>
      <c r="PC20" s="167">
        <f t="shared" si="51"/>
        <v>0</v>
      </c>
      <c r="PD20" s="168"/>
      <c r="PE20" s="53"/>
      <c r="PF20" s="17"/>
      <c r="PG20" s="54"/>
      <c r="PH20" s="53"/>
      <c r="PI20" s="46"/>
      <c r="PJ20" s="54"/>
      <c r="PK20" s="53"/>
      <c r="PL20" s="46"/>
      <c r="PM20" s="167">
        <f t="shared" si="52"/>
        <v>0</v>
      </c>
      <c r="PN20" s="168"/>
      <c r="PO20" s="53"/>
      <c r="PP20" s="17"/>
      <c r="PQ20" s="54"/>
      <c r="PR20" s="53"/>
      <c r="PS20" s="46"/>
      <c r="PT20" s="54"/>
      <c r="PU20" s="53"/>
      <c r="PV20" s="46"/>
      <c r="PW20" s="167">
        <f t="shared" si="53"/>
        <v>0</v>
      </c>
      <c r="PX20" s="168"/>
      <c r="PY20" s="53"/>
      <c r="PZ20" s="17"/>
      <c r="QA20" s="54"/>
      <c r="QB20" s="53"/>
      <c r="QC20" s="46"/>
      <c r="QD20" s="54"/>
      <c r="QE20" s="53"/>
      <c r="QF20" s="46"/>
      <c r="QG20" s="167">
        <f t="shared" si="54"/>
        <v>0</v>
      </c>
      <c r="QH20" s="168"/>
      <c r="QI20" s="53"/>
      <c r="QJ20" s="17"/>
      <c r="QK20" s="54"/>
      <c r="QL20" s="53"/>
      <c r="QM20" s="46"/>
      <c r="QN20" s="54"/>
      <c r="QO20" s="53"/>
      <c r="QP20" s="46"/>
      <c r="QQ20" s="167">
        <f t="shared" si="55"/>
        <v>0</v>
      </c>
      <c r="QR20" s="168"/>
      <c r="QS20" s="53"/>
      <c r="QT20" s="17"/>
      <c r="QU20" s="54"/>
      <c r="QV20" s="53"/>
      <c r="QW20" s="46"/>
      <c r="QX20" s="54"/>
      <c r="QY20" s="53"/>
      <c r="QZ20" s="46"/>
      <c r="RA20" s="167">
        <f t="shared" si="56"/>
        <v>0</v>
      </c>
      <c r="RB20" s="168"/>
      <c r="RC20" s="53"/>
      <c r="RD20" s="17"/>
      <c r="RE20" s="54"/>
      <c r="RF20" s="53"/>
      <c r="RG20" s="46"/>
      <c r="RH20" s="54"/>
      <c r="RI20" s="53"/>
      <c r="RJ20" s="46"/>
      <c r="RK20" s="167">
        <f t="shared" si="57"/>
        <v>0</v>
      </c>
      <c r="RL20" s="168"/>
      <c r="RM20" s="53"/>
      <c r="RN20" s="17"/>
      <c r="RO20" s="54"/>
      <c r="RP20" s="53"/>
      <c r="RQ20" s="46"/>
      <c r="RR20" s="54"/>
      <c r="RS20" s="53"/>
      <c r="RT20" s="46"/>
      <c r="RU20" s="167">
        <f t="shared" si="58"/>
        <v>0</v>
      </c>
    </row>
    <row r="21" spans="1:489" x14ac:dyDescent="0.25">
      <c r="A21" s="67" t="s">
        <v>169</v>
      </c>
      <c r="B21" s="46"/>
      <c r="C21" s="17"/>
      <c r="D21" s="54"/>
      <c r="E21" s="53"/>
      <c r="F21" s="46"/>
      <c r="G21" s="54"/>
      <c r="H21" s="53"/>
      <c r="I21" s="46"/>
      <c r="J21" s="167"/>
      <c r="K21" s="53"/>
      <c r="L21" s="17"/>
      <c r="M21" s="54"/>
      <c r="N21" s="53"/>
      <c r="O21" s="46"/>
      <c r="P21" s="54"/>
      <c r="Q21" s="53"/>
      <c r="R21" s="46"/>
      <c r="S21" s="167"/>
      <c r="T21" s="168"/>
      <c r="U21" s="53"/>
      <c r="V21" s="17"/>
      <c r="W21" s="54"/>
      <c r="X21" s="53"/>
      <c r="Y21" s="46"/>
      <c r="Z21" s="54"/>
      <c r="AA21" s="53"/>
      <c r="AB21" s="46"/>
      <c r="AC21" s="167"/>
      <c r="AD21" s="168"/>
      <c r="AE21" s="53"/>
      <c r="AF21" s="17"/>
      <c r="AG21" s="54"/>
      <c r="AH21" s="53"/>
      <c r="AI21" s="46"/>
      <c r="AJ21" s="54"/>
      <c r="AK21" s="53"/>
      <c r="AL21" s="46"/>
      <c r="AM21" s="167"/>
      <c r="AN21" s="168"/>
      <c r="AO21" s="53"/>
      <c r="AP21" s="17"/>
      <c r="AQ21" s="54"/>
      <c r="AR21" s="53"/>
      <c r="AS21" s="46"/>
      <c r="AT21" s="54"/>
      <c r="AU21" s="53"/>
      <c r="AV21" s="46"/>
      <c r="AW21" s="167"/>
      <c r="AX21" s="168"/>
      <c r="AY21" s="53"/>
      <c r="AZ21" s="17"/>
      <c r="BA21" s="54"/>
      <c r="BB21" s="53"/>
      <c r="BC21" s="46"/>
      <c r="BD21" s="54"/>
      <c r="BE21" s="53"/>
      <c r="BF21" s="46"/>
      <c r="BG21" s="167"/>
      <c r="BH21" s="168"/>
      <c r="BI21" s="53"/>
      <c r="BJ21" s="17"/>
      <c r="BK21" s="54"/>
      <c r="BL21" s="53"/>
      <c r="BM21" s="46"/>
      <c r="BN21" s="54"/>
      <c r="BO21" s="53"/>
      <c r="BP21" s="46"/>
      <c r="BQ21" s="167"/>
      <c r="BR21" s="168"/>
      <c r="BS21" s="53"/>
      <c r="BT21" s="17"/>
      <c r="BU21" s="54"/>
      <c r="BV21" s="53"/>
      <c r="BW21" s="46"/>
      <c r="BX21" s="54"/>
      <c r="BY21" s="53"/>
      <c r="BZ21" s="46"/>
      <c r="CA21" s="167"/>
      <c r="CB21" s="168"/>
      <c r="CC21" s="53"/>
      <c r="CD21" s="17"/>
      <c r="CE21" s="54"/>
      <c r="CF21" s="53"/>
      <c r="CG21" s="46"/>
      <c r="CH21" s="54"/>
      <c r="CI21" s="53"/>
      <c r="CJ21" s="46"/>
      <c r="CK21" s="167"/>
      <c r="CL21" s="168"/>
      <c r="CM21" s="53"/>
      <c r="CN21" s="17"/>
      <c r="CO21" s="54"/>
      <c r="CP21" s="53"/>
      <c r="CQ21" s="46"/>
      <c r="CR21" s="54"/>
      <c r="CS21" s="53"/>
      <c r="CT21" s="46"/>
      <c r="CU21" s="167"/>
      <c r="CV21" s="168"/>
      <c r="CW21" s="53"/>
      <c r="CX21" s="17"/>
      <c r="CY21" s="54"/>
      <c r="CZ21" s="53"/>
      <c r="DA21" s="46"/>
      <c r="DB21" s="54"/>
      <c r="DC21" s="53"/>
      <c r="DD21" s="46"/>
      <c r="DE21" s="167"/>
      <c r="DF21" s="168"/>
      <c r="DG21" s="53"/>
      <c r="DH21" s="17"/>
      <c r="DI21" s="54"/>
      <c r="DJ21" s="53"/>
      <c r="DK21" s="46"/>
      <c r="DL21" s="54"/>
      <c r="DM21" s="53"/>
      <c r="DN21" s="46"/>
      <c r="DO21" s="167"/>
      <c r="DP21" s="168"/>
      <c r="DQ21" s="53"/>
      <c r="DR21" s="17"/>
      <c r="DS21" s="54"/>
      <c r="DT21" s="53"/>
      <c r="DU21" s="46"/>
      <c r="DV21" s="54"/>
      <c r="DW21" s="53"/>
      <c r="DX21" s="46"/>
      <c r="DY21" s="167"/>
      <c r="DZ21" s="168"/>
      <c r="EA21" s="53"/>
      <c r="EB21" s="17"/>
      <c r="EC21" s="54"/>
      <c r="ED21" s="53"/>
      <c r="EE21" s="46"/>
      <c r="EF21" s="54"/>
      <c r="EG21" s="53"/>
      <c r="EH21" s="46"/>
      <c r="EI21" s="167"/>
      <c r="EJ21" s="168"/>
      <c r="EK21" s="53"/>
      <c r="EL21" s="17"/>
      <c r="EM21" s="54"/>
      <c r="EN21" s="53"/>
      <c r="EO21" s="46"/>
      <c r="EP21" s="54"/>
      <c r="EQ21" s="53"/>
      <c r="ER21" s="46"/>
      <c r="ES21" s="167"/>
      <c r="ET21" s="168"/>
      <c r="EU21" s="53"/>
      <c r="EV21" s="17"/>
      <c r="EW21" s="54"/>
      <c r="EX21" s="53"/>
      <c r="EY21" s="46"/>
      <c r="EZ21" s="54"/>
      <c r="FA21" s="53"/>
      <c r="FB21" s="46"/>
      <c r="FC21" s="167"/>
      <c r="FD21" s="168"/>
      <c r="FE21" s="53"/>
      <c r="FF21" s="17"/>
      <c r="FG21" s="54"/>
      <c r="FH21" s="53"/>
      <c r="FI21" s="46"/>
      <c r="FJ21" s="54"/>
      <c r="FK21" s="53"/>
      <c r="FL21" s="46"/>
      <c r="FM21" s="167"/>
      <c r="FN21" s="168"/>
      <c r="FO21" s="53"/>
      <c r="FP21" s="17"/>
      <c r="FQ21" s="54"/>
      <c r="FR21" s="53"/>
      <c r="FS21" s="46"/>
      <c r="FT21" s="54"/>
      <c r="FU21" s="53"/>
      <c r="FV21" s="46"/>
      <c r="FW21" s="167"/>
      <c r="FX21" s="168"/>
      <c r="FY21" s="53"/>
      <c r="FZ21" s="17"/>
      <c r="GA21" s="54"/>
      <c r="GB21" s="53"/>
      <c r="GC21" s="46"/>
      <c r="GD21" s="54"/>
      <c r="GE21" s="53"/>
      <c r="GF21" s="46"/>
      <c r="GG21" s="167"/>
      <c r="GH21" s="168"/>
      <c r="GI21" s="53"/>
      <c r="GJ21" s="17"/>
      <c r="GK21" s="54"/>
      <c r="GL21" s="53"/>
      <c r="GM21" s="46"/>
      <c r="GN21" s="54"/>
      <c r="GO21" s="53"/>
      <c r="GP21" s="46"/>
      <c r="GQ21" s="167"/>
      <c r="GR21" s="168"/>
      <c r="GS21" s="53"/>
      <c r="GT21" s="17"/>
      <c r="GU21" s="54"/>
      <c r="GV21" s="53"/>
      <c r="GW21" s="46"/>
      <c r="GX21" s="54"/>
      <c r="GY21" s="53"/>
      <c r="GZ21" s="46"/>
      <c r="HA21" s="167"/>
      <c r="HB21" s="168"/>
      <c r="HC21" s="53"/>
      <c r="HD21" s="17"/>
      <c r="HE21" s="54"/>
      <c r="HF21" s="53"/>
      <c r="HG21" s="46"/>
      <c r="HH21" s="54"/>
      <c r="HI21" s="53"/>
      <c r="HJ21" s="46"/>
      <c r="HK21" s="167"/>
      <c r="HL21" s="168"/>
      <c r="HM21" s="53"/>
      <c r="HN21" s="17"/>
      <c r="HO21" s="54"/>
      <c r="HP21" s="53"/>
      <c r="HQ21" s="46"/>
      <c r="HR21" s="54"/>
      <c r="HS21" s="53"/>
      <c r="HT21" s="46"/>
      <c r="HU21" s="167"/>
      <c r="HV21" s="168"/>
      <c r="HW21" s="53"/>
      <c r="HX21" s="17"/>
      <c r="HY21" s="54"/>
      <c r="HZ21" s="53"/>
      <c r="IA21" s="46"/>
      <c r="IB21" s="54"/>
      <c r="IC21" s="53"/>
      <c r="ID21" s="46"/>
      <c r="IE21" s="167"/>
      <c r="IF21" s="168"/>
      <c r="IG21" s="53"/>
      <c r="IH21" s="17"/>
      <c r="II21" s="54"/>
      <c r="IJ21" s="53"/>
      <c r="IK21" s="46"/>
      <c r="IL21" s="54"/>
      <c r="IM21" s="53"/>
      <c r="IN21" s="46"/>
      <c r="IO21" s="167"/>
      <c r="IP21" s="168"/>
      <c r="IQ21" s="53"/>
      <c r="IR21" s="17"/>
      <c r="IS21" s="54"/>
      <c r="IT21" s="53"/>
      <c r="IU21" s="46"/>
      <c r="IV21" s="54"/>
      <c r="IW21" s="53"/>
      <c r="IX21" s="46"/>
      <c r="IY21" s="167"/>
      <c r="IZ21" s="168"/>
      <c r="JA21" s="53"/>
      <c r="JB21" s="17"/>
      <c r="JC21" s="54"/>
      <c r="JD21" s="53"/>
      <c r="JE21" s="46"/>
      <c r="JF21" s="54"/>
      <c r="JG21" s="53"/>
      <c r="JH21" s="46"/>
      <c r="JI21" s="167"/>
      <c r="JJ21" s="168"/>
      <c r="JK21" s="53"/>
      <c r="JL21" s="17"/>
      <c r="JM21" s="54"/>
      <c r="JN21" s="53"/>
      <c r="JO21" s="46"/>
      <c r="JP21" s="54"/>
      <c r="JQ21" s="53"/>
      <c r="JR21" s="46"/>
      <c r="JS21" s="167"/>
      <c r="JT21" s="168"/>
      <c r="JU21" s="53"/>
      <c r="JV21" s="17"/>
      <c r="JW21" s="54"/>
      <c r="JX21" s="53"/>
      <c r="JY21" s="46"/>
      <c r="JZ21" s="54"/>
      <c r="KA21" s="53"/>
      <c r="KB21" s="46"/>
      <c r="KC21" s="167"/>
      <c r="KD21" s="168"/>
      <c r="KE21" s="53"/>
      <c r="KF21" s="17"/>
      <c r="KG21" s="54"/>
      <c r="KH21" s="53"/>
      <c r="KI21" s="46"/>
      <c r="KJ21" s="54"/>
      <c r="KK21" s="53"/>
      <c r="KL21" s="46"/>
      <c r="KM21" s="167"/>
      <c r="KN21" s="168"/>
      <c r="KO21" s="53"/>
      <c r="KP21" s="17"/>
      <c r="KQ21" s="54"/>
      <c r="KR21" s="53"/>
      <c r="KS21" s="46"/>
      <c r="KT21" s="54"/>
      <c r="KU21" s="53">
        <v>1448049.6722162201</v>
      </c>
      <c r="KV21" s="46">
        <v>1.3811680900000001</v>
      </c>
      <c r="KW21" s="167">
        <f>KV21*KU21</f>
        <v>2000000.0000000028</v>
      </c>
      <c r="KX21" s="168"/>
      <c r="KY21" s="53"/>
      <c r="KZ21" s="17"/>
      <c r="LA21" s="54"/>
      <c r="LB21" s="53"/>
      <c r="LC21" s="46"/>
      <c r="LD21" s="54"/>
      <c r="LE21" s="53">
        <v>5067109.4650916401</v>
      </c>
      <c r="LF21" s="46">
        <v>1.3815743</v>
      </c>
      <c r="LG21" s="167">
        <f t="shared" si="41"/>
        <v>7000588.2122573573</v>
      </c>
      <c r="LH21" s="168"/>
      <c r="LI21" s="53"/>
      <c r="LJ21" s="17"/>
      <c r="LK21" s="54"/>
      <c r="LL21" s="53"/>
      <c r="LM21" s="46"/>
      <c r="LN21" s="54"/>
      <c r="LO21" s="53">
        <v>7238018.0183258904</v>
      </c>
      <c r="LP21" s="46">
        <v>1.38190989</v>
      </c>
      <c r="LQ21" s="167">
        <f t="shared" si="42"/>
        <v>10002288.68352275</v>
      </c>
      <c r="LR21" s="168"/>
      <c r="LS21" s="53"/>
      <c r="LT21" s="17"/>
      <c r="LU21" s="54"/>
      <c r="LV21" s="53"/>
      <c r="LW21" s="46"/>
      <c r="LX21" s="54"/>
      <c r="LY21" s="53">
        <v>7238018.0183258904</v>
      </c>
      <c r="LZ21" s="46">
        <v>1.3822411400000001</v>
      </c>
      <c r="MA21" s="167">
        <f t="shared" si="43"/>
        <v>10004686.276991321</v>
      </c>
      <c r="MB21" s="168"/>
      <c r="MC21" s="53"/>
      <c r="MD21" s="17"/>
      <c r="ME21" s="54"/>
      <c r="MF21" s="53"/>
      <c r="MG21" s="46"/>
      <c r="MH21" s="54"/>
      <c r="MI21" s="53">
        <v>7238018.0183258904</v>
      </c>
      <c r="MJ21" s="46">
        <v>1.3826207399999999</v>
      </c>
      <c r="MK21" s="167">
        <f t="shared" si="44"/>
        <v>10007433.828631075</v>
      </c>
      <c r="ML21" s="168"/>
      <c r="MM21" s="53"/>
      <c r="MN21" s="17"/>
      <c r="MO21" s="54"/>
      <c r="MP21" s="53"/>
      <c r="MQ21" s="46"/>
      <c r="MR21" s="54"/>
      <c r="MS21" s="53"/>
      <c r="MT21" s="46"/>
      <c r="MU21" s="167">
        <f t="shared" si="45"/>
        <v>0</v>
      </c>
      <c r="MV21" s="168"/>
      <c r="MW21" s="53"/>
      <c r="MX21" s="17"/>
      <c r="MY21" s="54"/>
      <c r="MZ21" s="53"/>
      <c r="NA21" s="46"/>
      <c r="NB21" s="54"/>
      <c r="NC21" s="53">
        <v>7238018.0183258904</v>
      </c>
      <c r="ND21" s="46">
        <v>1.3833112000000001</v>
      </c>
      <c r="NE21" s="167">
        <f t="shared" si="46"/>
        <v>10012431.39055201</v>
      </c>
      <c r="NF21" s="168"/>
      <c r="NG21" s="53"/>
      <c r="NH21" s="17"/>
      <c r="NI21" s="54"/>
      <c r="NJ21" s="53"/>
      <c r="NK21" s="46"/>
      <c r="NL21" s="54"/>
      <c r="NM21" s="53">
        <v>9044845.3263466805</v>
      </c>
      <c r="NN21" s="46">
        <v>1.3836408099999999</v>
      </c>
      <c r="NO21" s="167">
        <f t="shared" si="47"/>
        <v>12514817.113671035</v>
      </c>
      <c r="NP21" s="168"/>
      <c r="NQ21" s="53"/>
      <c r="NR21" s="17"/>
      <c r="NS21" s="54"/>
      <c r="NT21" s="53"/>
      <c r="NU21" s="46"/>
      <c r="NV21" s="54"/>
      <c r="NW21" s="53">
        <v>9044845.3263466805</v>
      </c>
      <c r="NX21" s="46">
        <v>1.3840588899999999</v>
      </c>
      <c r="NY21" s="167">
        <f t="shared" si="48"/>
        <v>12518598.582605073</v>
      </c>
      <c r="NZ21" s="168"/>
      <c r="OA21" s="53"/>
      <c r="OB21" s="17"/>
      <c r="OC21" s="54"/>
      <c r="OD21" s="53"/>
      <c r="OE21" s="46"/>
      <c r="OF21" s="54"/>
      <c r="OG21" s="53">
        <v>9044845.3263466805</v>
      </c>
      <c r="OH21" s="46">
        <v>1.38446957</v>
      </c>
      <c r="OI21" s="167">
        <f t="shared" si="49"/>
        <v>12522313.1196837</v>
      </c>
      <c r="OJ21" s="168"/>
      <c r="OK21" s="53"/>
      <c r="OL21" s="17"/>
      <c r="OM21" s="54"/>
      <c r="ON21" s="53"/>
      <c r="OO21" s="46"/>
      <c r="OP21" s="54"/>
      <c r="OQ21" s="53"/>
      <c r="OR21" s="46"/>
      <c r="OS21" s="167">
        <f t="shared" si="50"/>
        <v>0</v>
      </c>
      <c r="OT21" s="168"/>
      <c r="OU21" s="53"/>
      <c r="OV21" s="17"/>
      <c r="OW21" s="54"/>
      <c r="OX21" s="53"/>
      <c r="OY21" s="46"/>
      <c r="OZ21" s="54"/>
      <c r="PA21" s="53"/>
      <c r="PB21" s="46"/>
      <c r="PC21" s="167">
        <f t="shared" si="51"/>
        <v>0</v>
      </c>
      <c r="PD21" s="168"/>
      <c r="PE21" s="53"/>
      <c r="PF21" s="17"/>
      <c r="PG21" s="54"/>
      <c r="PH21" s="53"/>
      <c r="PI21" s="46"/>
      <c r="PJ21" s="54"/>
      <c r="PK21" s="53"/>
      <c r="PL21" s="46"/>
      <c r="PM21" s="167">
        <f t="shared" si="52"/>
        <v>0</v>
      </c>
      <c r="PN21" s="168"/>
      <c r="PO21" s="53"/>
      <c r="PP21" s="17"/>
      <c r="PQ21" s="54"/>
      <c r="PR21" s="53"/>
      <c r="PS21" s="46"/>
      <c r="PT21" s="54"/>
      <c r="PU21" s="53"/>
      <c r="PV21" s="46"/>
      <c r="PW21" s="167">
        <f t="shared" si="53"/>
        <v>0</v>
      </c>
      <c r="PX21" s="168"/>
      <c r="PY21" s="53"/>
      <c r="PZ21" s="17"/>
      <c r="QA21" s="54"/>
      <c r="QB21" s="53"/>
      <c r="QC21" s="46"/>
      <c r="QD21" s="54"/>
      <c r="QE21" s="53"/>
      <c r="QF21" s="46"/>
      <c r="QG21" s="167">
        <f t="shared" si="54"/>
        <v>0</v>
      </c>
      <c r="QH21" s="168"/>
      <c r="QI21" s="53"/>
      <c r="QJ21" s="17"/>
      <c r="QK21" s="54"/>
      <c r="QL21" s="53"/>
      <c r="QM21" s="46"/>
      <c r="QN21" s="54"/>
      <c r="QO21" s="53"/>
      <c r="QP21" s="46"/>
      <c r="QQ21" s="167">
        <f t="shared" si="55"/>
        <v>0</v>
      </c>
      <c r="QR21" s="168"/>
      <c r="QS21" s="53"/>
      <c r="QT21" s="17"/>
      <c r="QU21" s="54"/>
      <c r="QV21" s="53"/>
      <c r="QW21" s="46"/>
      <c r="QX21" s="54"/>
      <c r="QY21" s="53"/>
      <c r="QZ21" s="46"/>
      <c r="RA21" s="167">
        <f t="shared" si="56"/>
        <v>0</v>
      </c>
      <c r="RB21" s="168"/>
      <c r="RC21" s="53"/>
      <c r="RD21" s="17"/>
      <c r="RE21" s="54"/>
      <c r="RF21" s="53"/>
      <c r="RG21" s="46"/>
      <c r="RH21" s="54"/>
      <c r="RI21" s="53"/>
      <c r="RJ21" s="46"/>
      <c r="RK21" s="167">
        <f t="shared" si="57"/>
        <v>0</v>
      </c>
      <c r="RL21" s="168"/>
      <c r="RM21" s="53"/>
      <c r="RN21" s="17"/>
      <c r="RO21" s="54"/>
      <c r="RP21" s="53"/>
      <c r="RQ21" s="46"/>
      <c r="RR21" s="54"/>
      <c r="RS21" s="53"/>
      <c r="RT21" s="46"/>
      <c r="RU21" s="167">
        <f t="shared" si="58"/>
        <v>0</v>
      </c>
    </row>
    <row r="22" spans="1:489" x14ac:dyDescent="0.25">
      <c r="A22" s="67" t="s">
        <v>170</v>
      </c>
      <c r="B22" s="46"/>
      <c r="C22" s="17"/>
      <c r="D22" s="54"/>
      <c r="E22" s="53"/>
      <c r="F22" s="46"/>
      <c r="G22" s="54"/>
      <c r="H22" s="53">
        <v>2990.7130514800001</v>
      </c>
      <c r="I22" s="46">
        <v>692.48400027000002</v>
      </c>
      <c r="J22" s="167">
        <f>H22*I22</f>
        <v>2071020.9375485689</v>
      </c>
      <c r="K22" s="53"/>
      <c r="L22" s="17"/>
      <c r="M22" s="54"/>
      <c r="N22" s="53"/>
      <c r="O22" s="46"/>
      <c r="P22" s="54"/>
      <c r="Q22" s="53">
        <v>2990.7130514800001</v>
      </c>
      <c r="R22" s="46">
        <v>692.77383540999995</v>
      </c>
      <c r="S22" s="167">
        <f>Q22*R22</f>
        <v>2071887.7512845444</v>
      </c>
      <c r="T22" s="168"/>
      <c r="U22" s="53"/>
      <c r="V22" s="17"/>
      <c r="W22" s="54"/>
      <c r="X22" s="53"/>
      <c r="Y22" s="46"/>
      <c r="Z22" s="54"/>
      <c r="AA22" s="53">
        <v>2990.7130514800001</v>
      </c>
      <c r="AB22" s="46">
        <v>693.06379173000005</v>
      </c>
      <c r="AC22" s="167">
        <f>AA22*AB22</f>
        <v>2072754.9274351278</v>
      </c>
      <c r="AD22" s="168"/>
      <c r="AE22" s="53"/>
      <c r="AF22" s="17"/>
      <c r="AG22" s="54"/>
      <c r="AH22" s="53"/>
      <c r="AI22" s="46"/>
      <c r="AJ22" s="54"/>
      <c r="AK22" s="138">
        <v>2990.7130514800001</v>
      </c>
      <c r="AL22" s="46">
        <v>693.35386963999997</v>
      </c>
      <c r="AM22" s="167">
        <f>AK22*AL22</f>
        <v>2073622.4672265104</v>
      </c>
      <c r="AN22" s="168"/>
      <c r="AO22" s="53"/>
      <c r="AP22" s="17"/>
      <c r="AQ22" s="54"/>
      <c r="AR22" s="53"/>
      <c r="AS22" s="46"/>
      <c r="AT22" s="54"/>
      <c r="AU22" s="138">
        <v>2990.7130514800001</v>
      </c>
      <c r="AV22" s="46">
        <v>693.35386963999997</v>
      </c>
      <c r="AW22" s="167">
        <f>AU22*AV22</f>
        <v>2073622.4672265104</v>
      </c>
      <c r="AX22" s="168"/>
      <c r="AY22" s="53"/>
      <c r="AZ22" s="17"/>
      <c r="BA22" s="54"/>
      <c r="BB22" s="53"/>
      <c r="BC22" s="46"/>
      <c r="BD22" s="54"/>
      <c r="BE22" s="138">
        <v>2990.7130514800001</v>
      </c>
      <c r="BF22" s="46">
        <v>693.93438983999999</v>
      </c>
      <c r="BG22" s="167">
        <f>BE22*BF22</f>
        <v>2075358.6365652983</v>
      </c>
      <c r="BH22" s="168"/>
      <c r="BI22" s="53"/>
      <c r="BJ22" s="17"/>
      <c r="BK22" s="54"/>
      <c r="BL22" s="53"/>
      <c r="BM22" s="46"/>
      <c r="BN22" s="54"/>
      <c r="BO22" s="138">
        <v>2990.7130514800001</v>
      </c>
      <c r="BP22" s="46">
        <v>694.22483212999998</v>
      </c>
      <c r="BQ22" s="167">
        <f>BO22*BP22</f>
        <v>2076227.2661127031</v>
      </c>
      <c r="BR22" s="168"/>
      <c r="BS22" s="53"/>
      <c r="BT22" s="17"/>
      <c r="BU22" s="54"/>
      <c r="BV22" s="53"/>
      <c r="BW22" s="46"/>
      <c r="BX22" s="54"/>
      <c r="BY22" s="138">
        <v>2990.7130514800001</v>
      </c>
      <c r="BZ22" s="46">
        <v>694.51539560000003</v>
      </c>
      <c r="CA22" s="167">
        <f>BY22*BZ22</f>
        <v>2077096.2580747155</v>
      </c>
      <c r="CB22" s="168"/>
      <c r="CC22" s="53"/>
      <c r="CD22" s="17"/>
      <c r="CE22" s="54"/>
      <c r="CF22" s="53"/>
      <c r="CG22" s="46"/>
      <c r="CH22" s="54"/>
      <c r="CI22" s="138">
        <v>2990.7130514800001</v>
      </c>
      <c r="CJ22" s="46">
        <v>694.80608107</v>
      </c>
      <c r="CK22" s="167">
        <f>CI22*CJ22</f>
        <v>2077965.6149037201</v>
      </c>
      <c r="CL22" s="168"/>
      <c r="CM22" s="53"/>
      <c r="CN22" s="17"/>
      <c r="CO22" s="54"/>
      <c r="CP22" s="53"/>
      <c r="CQ22" s="46"/>
      <c r="CR22" s="54"/>
      <c r="CS22" s="138">
        <v>2990.7130514800001</v>
      </c>
      <c r="CT22" s="46">
        <v>695.09688813000002</v>
      </c>
      <c r="CU22" s="167">
        <f>CS22*CT22</f>
        <v>2078835.3353735246</v>
      </c>
      <c r="CV22" s="168"/>
      <c r="CW22" s="53"/>
      <c r="CX22" s="17"/>
      <c r="CY22" s="54"/>
      <c r="CZ22" s="53"/>
      <c r="DA22" s="46"/>
      <c r="DB22" s="54"/>
      <c r="DC22" s="138">
        <v>2990.7130514800001</v>
      </c>
      <c r="DD22" s="46">
        <v>695.09688813000002</v>
      </c>
      <c r="DE22" s="167">
        <f>DC22*DD22</f>
        <v>2078835.3353735246</v>
      </c>
      <c r="DF22" s="168"/>
      <c r="DG22" s="53"/>
      <c r="DH22" s="17"/>
      <c r="DI22" s="54"/>
      <c r="DJ22" s="53"/>
      <c r="DK22" s="46"/>
      <c r="DL22" s="54"/>
      <c r="DM22" s="138">
        <v>2990.7130514800001</v>
      </c>
      <c r="DN22" s="46">
        <v>695.67886784999996</v>
      </c>
      <c r="DO22" s="167">
        <f>DM22*DN22</f>
        <v>2080575.8697178252</v>
      </c>
      <c r="DP22" s="168"/>
      <c r="DQ22" s="53"/>
      <c r="DR22" s="17"/>
      <c r="DS22" s="54"/>
      <c r="DT22" s="53"/>
      <c r="DU22" s="46"/>
      <c r="DV22" s="54"/>
      <c r="DW22" s="138">
        <v>2990.7130514800001</v>
      </c>
      <c r="DX22" s="46">
        <v>695.97004010000001</v>
      </c>
      <c r="DY22" s="167">
        <f>DW22*DX22</f>
        <v>2081446.682366129</v>
      </c>
      <c r="DZ22" s="168"/>
      <c r="EA22" s="53"/>
      <c r="EB22" s="17"/>
      <c r="EC22" s="54"/>
      <c r="ED22" s="53"/>
      <c r="EE22" s="46"/>
      <c r="EF22" s="54"/>
      <c r="EG22" s="138">
        <v>2990.7130514800001</v>
      </c>
      <c r="EH22" s="46">
        <v>696.26133433999996</v>
      </c>
      <c r="EI22" s="167">
        <f>EG22*EH22</f>
        <v>2082317.8598515179</v>
      </c>
      <c r="EJ22" s="168"/>
      <c r="EK22" s="53"/>
      <c r="EL22" s="17"/>
      <c r="EM22" s="54"/>
      <c r="EN22" s="53"/>
      <c r="EO22" s="46"/>
      <c r="EP22" s="54"/>
      <c r="EQ22" s="138">
        <v>2990.7130514800001</v>
      </c>
      <c r="ER22" s="46">
        <v>696.55275058999996</v>
      </c>
      <c r="ES22" s="167">
        <f>EQ22*ER22</f>
        <v>2083189.4022338062</v>
      </c>
      <c r="ET22" s="168"/>
      <c r="EU22" s="53"/>
      <c r="EV22" s="17"/>
      <c r="EW22" s="54"/>
      <c r="EX22" s="53"/>
      <c r="EY22" s="46"/>
      <c r="EZ22" s="54"/>
      <c r="FA22" s="138">
        <v>2990.7130514800001</v>
      </c>
      <c r="FB22" s="46">
        <v>696.84428844000001</v>
      </c>
      <c r="FC22" s="167">
        <f>FA22*FB22</f>
        <v>2084061.3082868019</v>
      </c>
      <c r="FD22" s="168"/>
      <c r="FE22" s="53"/>
      <c r="FF22" s="17"/>
      <c r="FG22" s="54"/>
      <c r="FH22" s="53"/>
      <c r="FI22" s="46"/>
      <c r="FJ22" s="54"/>
      <c r="FK22" s="138">
        <v>2990.7130514800001</v>
      </c>
      <c r="FL22" s="46">
        <v>697.13594868999996</v>
      </c>
      <c r="FM22" s="167">
        <f>FK22*FL22</f>
        <v>2084933.5804030746</v>
      </c>
      <c r="FN22" s="168"/>
      <c r="FO22" s="53"/>
      <c r="FP22" s="17"/>
      <c r="FQ22" s="54"/>
      <c r="FR22" s="53"/>
      <c r="FS22" s="46"/>
      <c r="FT22" s="54"/>
      <c r="FU22" s="138">
        <v>2990.7130514800001</v>
      </c>
      <c r="FV22" s="46">
        <v>697.42773093999995</v>
      </c>
      <c r="FW22" s="167">
        <f>FU22*FV22</f>
        <v>2085806.2173863398</v>
      </c>
      <c r="FX22" s="168"/>
      <c r="FY22" s="53"/>
      <c r="FZ22" s="17"/>
      <c r="GA22" s="54"/>
      <c r="GB22" s="53"/>
      <c r="GC22" s="46"/>
      <c r="GD22" s="54"/>
      <c r="GE22" s="138">
        <v>2990.7130514800001</v>
      </c>
      <c r="GF22" s="46">
        <v>697.71963518999996</v>
      </c>
      <c r="GG22" s="167">
        <f>GE22*GF22</f>
        <v>2086679.2192365972</v>
      </c>
      <c r="GH22" s="168"/>
      <c r="GI22" s="53"/>
      <c r="GJ22" s="17"/>
      <c r="GK22" s="54"/>
      <c r="GL22" s="53"/>
      <c r="GM22" s="46"/>
      <c r="GN22" s="54"/>
      <c r="GO22" s="138">
        <v>2990.7130514800001</v>
      </c>
      <c r="GP22" s="46">
        <v>698.01166185</v>
      </c>
      <c r="GQ22" s="167">
        <f>GO22*GP22</f>
        <v>2087552.5871800394</v>
      </c>
      <c r="GR22" s="168"/>
      <c r="GS22" s="53"/>
      <c r="GT22" s="17"/>
      <c r="GU22" s="54"/>
      <c r="GV22" s="53"/>
      <c r="GW22" s="46"/>
      <c r="GX22" s="54"/>
      <c r="GY22" s="138">
        <v>2990.7130514800001</v>
      </c>
      <c r="GZ22" s="46">
        <v>698.30381050999995</v>
      </c>
      <c r="HA22" s="167">
        <f>GY22*GZ22</f>
        <v>2088426.3199904738</v>
      </c>
      <c r="HB22" s="168"/>
      <c r="HC22" s="53"/>
      <c r="HD22" s="17"/>
      <c r="HE22" s="54"/>
      <c r="HF22" s="53"/>
      <c r="HG22" s="46"/>
      <c r="HH22" s="54"/>
      <c r="HI22" s="138">
        <v>2990.7130514800001</v>
      </c>
      <c r="HJ22" s="46">
        <v>698.30381050999995</v>
      </c>
      <c r="HK22" s="167">
        <f>HI22*HJ22</f>
        <v>2088426.3199904738</v>
      </c>
      <c r="HL22" s="168"/>
      <c r="HM22" s="53"/>
      <c r="HN22" s="17"/>
      <c r="HO22" s="54"/>
      <c r="HP22" s="53"/>
      <c r="HQ22" s="46"/>
      <c r="HR22" s="54"/>
      <c r="HS22" s="138">
        <v>2990.7130514800001</v>
      </c>
      <c r="HT22" s="46">
        <v>666.84171487000003</v>
      </c>
      <c r="HU22" s="167">
        <f>HS22*HT22</f>
        <v>1994332.2199330139</v>
      </c>
      <c r="HV22" s="168"/>
      <c r="HW22" s="53"/>
      <c r="HX22" s="17"/>
      <c r="HY22" s="54"/>
      <c r="HZ22" s="53"/>
      <c r="IA22" s="46"/>
      <c r="IB22" s="54"/>
      <c r="IC22" s="138">
        <v>2990.7130514800001</v>
      </c>
      <c r="ID22" s="46">
        <v>667.12081762000003</v>
      </c>
      <c r="IE22" s="167">
        <f>IC22*ID22</f>
        <v>1995166.9361701428</v>
      </c>
      <c r="IF22" s="168"/>
      <c r="IG22" s="53"/>
      <c r="IH22" s="17"/>
      <c r="II22" s="54"/>
      <c r="IJ22" s="53"/>
      <c r="IK22" s="46"/>
      <c r="IL22" s="54"/>
      <c r="IM22" s="138">
        <v>2990.7130514800001</v>
      </c>
      <c r="IN22" s="46">
        <v>177.76540994000001</v>
      </c>
      <c r="IO22" s="167">
        <f>IM22*IN22</f>
        <v>531645.33160925063</v>
      </c>
      <c r="IP22" s="168"/>
      <c r="IQ22" s="53"/>
      <c r="IR22" s="17"/>
      <c r="IS22" s="54"/>
      <c r="IT22" s="53"/>
      <c r="IU22" s="46"/>
      <c r="IV22" s="54"/>
      <c r="IW22" s="138">
        <v>2990.7130514800001</v>
      </c>
      <c r="IX22" s="46">
        <v>177.83981277999999</v>
      </c>
      <c r="IY22" s="167">
        <f>IW22*IX22</f>
        <v>531867.84915390564</v>
      </c>
      <c r="IZ22" s="168"/>
      <c r="JA22" s="53"/>
      <c r="JB22" s="17"/>
      <c r="JC22" s="54"/>
      <c r="JD22" s="53"/>
      <c r="JE22" s="46"/>
      <c r="JF22" s="54"/>
      <c r="JG22" s="138">
        <v>2990.7130514800001</v>
      </c>
      <c r="JH22" s="46">
        <v>177.91424663000001</v>
      </c>
      <c r="JI22" s="167">
        <f>JG22*JH22</f>
        <v>532090.45944057265</v>
      </c>
      <c r="JJ22" s="168"/>
      <c r="JK22" s="53"/>
      <c r="JL22" s="17"/>
      <c r="JM22" s="54"/>
      <c r="JN22" s="53"/>
      <c r="JO22" s="46"/>
      <c r="JP22" s="54"/>
      <c r="JQ22" s="138">
        <v>2990.7130514800001</v>
      </c>
      <c r="JR22" s="46">
        <v>177.98871148999999</v>
      </c>
      <c r="JS22" s="167">
        <f>JQ22*JR22</f>
        <v>532313.1624692512</v>
      </c>
      <c r="JT22" s="168"/>
      <c r="JU22" s="53"/>
      <c r="JV22" s="17"/>
      <c r="JW22" s="54"/>
      <c r="JX22" s="53"/>
      <c r="JY22" s="46"/>
      <c r="JZ22" s="54"/>
      <c r="KA22" s="138">
        <v>2990.7130514800001</v>
      </c>
      <c r="KB22" s="46">
        <v>178.06320776000001</v>
      </c>
      <c r="KC22" s="167">
        <f>KA22*KB22</f>
        <v>532535.95943622687</v>
      </c>
      <c r="KD22" s="168"/>
      <c r="KE22" s="53"/>
      <c r="KF22" s="17"/>
      <c r="KG22" s="54"/>
      <c r="KH22" s="53"/>
      <c r="KI22" s="46"/>
      <c r="KJ22" s="54"/>
      <c r="KK22" s="138">
        <v>2990.7130514800001</v>
      </c>
      <c r="KL22" s="46">
        <v>178.13773505</v>
      </c>
      <c r="KM22" s="167">
        <f>KK22*KL22</f>
        <v>532758.84917512129</v>
      </c>
      <c r="KN22" s="168"/>
      <c r="KO22" s="53"/>
      <c r="KP22" s="17"/>
      <c r="KQ22" s="54"/>
      <c r="KR22" s="53"/>
      <c r="KS22" s="46"/>
      <c r="KT22" s="54"/>
      <c r="KU22" s="138">
        <v>2990.7130514800001</v>
      </c>
      <c r="KV22" s="46">
        <v>178.21229335000001</v>
      </c>
      <c r="KW22" s="167">
        <f>KU22*KV22</f>
        <v>532981.83165602747</v>
      </c>
      <c r="KX22" s="168"/>
      <c r="KY22" s="53"/>
      <c r="KZ22" s="17"/>
      <c r="LA22" s="54"/>
      <c r="LB22" s="53"/>
      <c r="LC22" s="46"/>
      <c r="LD22" s="54"/>
      <c r="LE22" s="138">
        <v>2990.7130514800001</v>
      </c>
      <c r="LF22" s="46">
        <v>178.28688306000001</v>
      </c>
      <c r="LG22" s="167">
        <f t="shared" si="41"/>
        <v>533204.90807523055</v>
      </c>
      <c r="LH22" s="168"/>
      <c r="LI22" s="53"/>
      <c r="LJ22" s="17"/>
      <c r="LK22" s="54"/>
      <c r="LL22" s="53"/>
      <c r="LM22" s="46"/>
      <c r="LN22" s="54"/>
      <c r="LO22" s="138">
        <v>2990.7130514800001</v>
      </c>
      <c r="LP22" s="46">
        <v>178.36150419000001</v>
      </c>
      <c r="LQ22" s="167">
        <f t="shared" si="42"/>
        <v>533428.07846263773</v>
      </c>
      <c r="LR22" s="168"/>
      <c r="LS22" s="53"/>
      <c r="LT22" s="17"/>
      <c r="LU22" s="54"/>
      <c r="LV22" s="53"/>
      <c r="LW22" s="46"/>
      <c r="LX22" s="54"/>
      <c r="LY22" s="138">
        <v>2990.7130514800001</v>
      </c>
      <c r="LZ22" s="46">
        <v>178.43615634</v>
      </c>
      <c r="MA22" s="167">
        <f t="shared" si="43"/>
        <v>533651.34162196377</v>
      </c>
      <c r="MB22" s="168"/>
      <c r="MC22" s="53"/>
      <c r="MD22" s="17"/>
      <c r="ME22" s="54"/>
      <c r="MF22" s="53"/>
      <c r="MG22" s="46"/>
      <c r="MH22" s="54"/>
      <c r="MI22" s="138">
        <v>2990.7130514800001</v>
      </c>
      <c r="MJ22" s="46">
        <v>178.51083990000001</v>
      </c>
      <c r="MK22" s="167">
        <f t="shared" si="44"/>
        <v>533874.69871958683</v>
      </c>
      <c r="ML22" s="168"/>
      <c r="MM22" s="53"/>
      <c r="MN22" s="17"/>
      <c r="MO22" s="54"/>
      <c r="MP22" s="53"/>
      <c r="MQ22" s="46"/>
      <c r="MR22" s="54"/>
      <c r="MS22" s="138"/>
      <c r="MT22" s="46"/>
      <c r="MU22" s="167">
        <f t="shared" si="45"/>
        <v>0</v>
      </c>
      <c r="MV22" s="168"/>
      <c r="MW22" s="53"/>
      <c r="MX22" s="17"/>
      <c r="MY22" s="54"/>
      <c r="MZ22" s="53"/>
      <c r="NA22" s="46"/>
      <c r="NB22" s="54"/>
      <c r="NC22" s="138">
        <v>2990.7130514800001</v>
      </c>
      <c r="ND22" s="46">
        <v>178.66030046</v>
      </c>
      <c r="NE22" s="167">
        <f t="shared" si="46"/>
        <v>534321.69236706023</v>
      </c>
      <c r="NF22" s="168"/>
      <c r="NG22" s="53"/>
      <c r="NH22" s="17"/>
      <c r="NI22" s="54"/>
      <c r="NJ22" s="53"/>
      <c r="NK22" s="46"/>
      <c r="NL22" s="54"/>
      <c r="NM22" s="138">
        <v>2990.7130514800001</v>
      </c>
      <c r="NN22" s="46">
        <v>178.73507746000001</v>
      </c>
      <c r="NO22" s="167">
        <f t="shared" si="47"/>
        <v>534545.3289169108</v>
      </c>
      <c r="NP22" s="168"/>
      <c r="NQ22" s="53"/>
      <c r="NR22" s="17"/>
      <c r="NS22" s="54"/>
      <c r="NT22" s="53"/>
      <c r="NU22" s="46"/>
      <c r="NV22" s="54"/>
      <c r="NW22" s="138">
        <v>2990.7130514800001</v>
      </c>
      <c r="NX22" s="46">
        <v>178.80988629000001</v>
      </c>
      <c r="NY22" s="167">
        <f t="shared" si="48"/>
        <v>534769.06066115771</v>
      </c>
      <c r="NZ22" s="168"/>
      <c r="OA22" s="53"/>
      <c r="OB22" s="17"/>
      <c r="OC22" s="54"/>
      <c r="OD22" s="53"/>
      <c r="OE22" s="46"/>
      <c r="OF22" s="54"/>
      <c r="OG22" s="138">
        <v>2990.7130514800001</v>
      </c>
      <c r="OH22" s="46">
        <v>178.88472612999999</v>
      </c>
      <c r="OI22" s="167">
        <f t="shared" si="49"/>
        <v>534992.88514741638</v>
      </c>
      <c r="OJ22" s="168"/>
      <c r="OK22" s="53"/>
      <c r="OL22" s="17"/>
      <c r="OM22" s="54"/>
      <c r="ON22" s="53"/>
      <c r="OO22" s="46"/>
      <c r="OP22" s="54"/>
      <c r="OQ22" s="138"/>
      <c r="OR22" s="46"/>
      <c r="OS22" s="167">
        <f t="shared" si="50"/>
        <v>0</v>
      </c>
      <c r="OT22" s="168"/>
      <c r="OU22" s="53"/>
      <c r="OV22" s="17"/>
      <c r="OW22" s="54"/>
      <c r="OX22" s="53"/>
      <c r="OY22" s="46"/>
      <c r="OZ22" s="54"/>
      <c r="PA22" s="138"/>
      <c r="PB22" s="46"/>
      <c r="PC22" s="167">
        <f t="shared" si="51"/>
        <v>0</v>
      </c>
      <c r="PD22" s="168"/>
      <c r="PE22" s="53"/>
      <c r="PF22" s="17"/>
      <c r="PG22" s="54"/>
      <c r="PH22" s="53"/>
      <c r="PI22" s="46"/>
      <c r="PJ22" s="54"/>
      <c r="PK22" s="138"/>
      <c r="PL22" s="46"/>
      <c r="PM22" s="167">
        <f t="shared" si="52"/>
        <v>0</v>
      </c>
      <c r="PN22" s="168"/>
      <c r="PO22" s="53"/>
      <c r="PP22" s="17"/>
      <c r="PQ22" s="54"/>
      <c r="PR22" s="53"/>
      <c r="PS22" s="46"/>
      <c r="PT22" s="54"/>
      <c r="PU22" s="138"/>
      <c r="PV22" s="46"/>
      <c r="PW22" s="167">
        <f t="shared" si="53"/>
        <v>0</v>
      </c>
      <c r="PX22" s="168"/>
      <c r="PY22" s="53"/>
      <c r="PZ22" s="17"/>
      <c r="QA22" s="54"/>
      <c r="QB22" s="53"/>
      <c r="QC22" s="46"/>
      <c r="QD22" s="54"/>
      <c r="QE22" s="138"/>
      <c r="QF22" s="46"/>
      <c r="QG22" s="167">
        <f t="shared" si="54"/>
        <v>0</v>
      </c>
      <c r="QH22" s="168"/>
      <c r="QI22" s="53"/>
      <c r="QJ22" s="17"/>
      <c r="QK22" s="54"/>
      <c r="QL22" s="53"/>
      <c r="QM22" s="46"/>
      <c r="QN22" s="54"/>
      <c r="QO22" s="138"/>
      <c r="QP22" s="46"/>
      <c r="QQ22" s="167">
        <f t="shared" si="55"/>
        <v>0</v>
      </c>
      <c r="QR22" s="168"/>
      <c r="QS22" s="53"/>
      <c r="QT22" s="17"/>
      <c r="QU22" s="54"/>
      <c r="QV22" s="53"/>
      <c r="QW22" s="46"/>
      <c r="QX22" s="54"/>
      <c r="QY22" s="138"/>
      <c r="QZ22" s="46"/>
      <c r="RA22" s="167">
        <f t="shared" si="56"/>
        <v>0</v>
      </c>
      <c r="RB22" s="168"/>
      <c r="RC22" s="53"/>
      <c r="RD22" s="17"/>
      <c r="RE22" s="54"/>
      <c r="RF22" s="53"/>
      <c r="RG22" s="46"/>
      <c r="RH22" s="54"/>
      <c r="RI22" s="138"/>
      <c r="RJ22" s="46"/>
      <c r="RK22" s="167">
        <f t="shared" si="57"/>
        <v>0</v>
      </c>
      <c r="RL22" s="168"/>
      <c r="RM22" s="53"/>
      <c r="RN22" s="17"/>
      <c r="RO22" s="54"/>
      <c r="RP22" s="53"/>
      <c r="RQ22" s="46"/>
      <c r="RR22" s="54"/>
      <c r="RS22" s="138"/>
      <c r="RT22" s="46"/>
      <c r="RU22" s="167">
        <f t="shared" si="58"/>
        <v>0</v>
      </c>
    </row>
    <row r="23" spans="1:489" x14ac:dyDescent="0.25">
      <c r="A23" s="67" t="s">
        <v>171</v>
      </c>
      <c r="B23" s="17"/>
      <c r="C23" s="17"/>
      <c r="D23" s="54"/>
      <c r="E23" s="53"/>
      <c r="F23" s="46"/>
      <c r="G23" s="54"/>
      <c r="H23" s="47">
        <v>461.02479755000002</v>
      </c>
      <c r="I23" s="46">
        <v>197327.96361008001</v>
      </c>
      <c r="J23" s="170">
        <f>H23*I23</f>
        <v>90973084.474290907</v>
      </c>
      <c r="K23" s="47"/>
      <c r="L23" s="17"/>
      <c r="M23" s="54"/>
      <c r="N23" s="53"/>
      <c r="O23" s="46"/>
      <c r="P23" s="54"/>
      <c r="Q23" s="47">
        <v>461.02479755000002</v>
      </c>
      <c r="R23" s="46">
        <v>197972.80104960001</v>
      </c>
      <c r="S23" s="171">
        <f>Q23*R23</f>
        <v>91270370.52429828</v>
      </c>
      <c r="T23" s="172"/>
      <c r="U23" s="47"/>
      <c r="V23" s="17"/>
      <c r="W23" s="54"/>
      <c r="X23" s="53"/>
      <c r="Y23" s="46"/>
      <c r="Z23" s="54"/>
      <c r="AA23" s="47">
        <v>461.02479755000002</v>
      </c>
      <c r="AB23" s="46">
        <v>197749.79519275</v>
      </c>
      <c r="AC23" s="171">
        <f>AA23*AB23</f>
        <v>91167559.294291526</v>
      </c>
      <c r="AD23" s="172"/>
      <c r="AE23" s="47"/>
      <c r="AF23" s="17"/>
      <c r="AG23" s="54"/>
      <c r="AH23" s="53"/>
      <c r="AI23" s="46"/>
      <c r="AJ23" s="54"/>
      <c r="AK23" s="47">
        <v>461.02479755000002</v>
      </c>
      <c r="AL23" s="46">
        <f>AI28</f>
        <v>198322.50473335001</v>
      </c>
      <c r="AM23" s="171">
        <f>AK23*AL23</f>
        <v>91431592.594301611</v>
      </c>
      <c r="AN23" s="172"/>
      <c r="AO23" s="47"/>
      <c r="AP23" s="17"/>
      <c r="AQ23" s="54"/>
      <c r="AR23" s="53"/>
      <c r="AS23" s="46"/>
      <c r="AT23" s="54"/>
      <c r="AU23" s="47">
        <v>461.02479755000002</v>
      </c>
      <c r="AV23" s="46">
        <f>AS28</f>
        <v>198322.50473335001</v>
      </c>
      <c r="AW23" s="171">
        <f>AU23*AV23</f>
        <v>91431592.594301611</v>
      </c>
      <c r="AX23" s="172"/>
      <c r="AY23" s="47"/>
      <c r="AZ23" s="17"/>
      <c r="BA23" s="54"/>
      <c r="BB23" s="53"/>
      <c r="BC23" s="46"/>
      <c r="BD23" s="54"/>
      <c r="BE23" s="47">
        <v>461.02479755000002</v>
      </c>
      <c r="BF23" s="46">
        <v>187233.02255738</v>
      </c>
      <c r="BG23" s="171">
        <f>BE23*BF23</f>
        <v>86319066.319190696</v>
      </c>
      <c r="BH23" s="172"/>
      <c r="BI23" s="47"/>
      <c r="BJ23" s="17"/>
      <c r="BK23" s="54"/>
      <c r="BL23" s="53"/>
      <c r="BM23" s="46"/>
      <c r="BN23" s="54"/>
      <c r="BO23" s="47">
        <v>461.02479755000002</v>
      </c>
      <c r="BP23" s="46">
        <v>187369.41569791001</v>
      </c>
      <c r="BQ23" s="171">
        <f>BO23*BP23</f>
        <v>86381946.93919076</v>
      </c>
      <c r="BR23" s="172"/>
      <c r="BS23" s="47"/>
      <c r="BT23" s="17"/>
      <c r="BU23" s="54"/>
      <c r="BV23" s="53"/>
      <c r="BW23" s="46"/>
      <c r="BX23" s="54"/>
      <c r="BY23" s="47">
        <v>461.02479754000001</v>
      </c>
      <c r="BZ23" s="46">
        <v>187502.5788278</v>
      </c>
      <c r="CA23" s="171">
        <f>BY23*BZ23</f>
        <v>86443338.442314386</v>
      </c>
      <c r="CB23" s="172"/>
      <c r="CC23" s="47"/>
      <c r="CD23" s="17"/>
      <c r="CE23" s="54"/>
      <c r="CF23" s="53"/>
      <c r="CG23" s="46"/>
      <c r="CH23" s="54"/>
      <c r="CI23" s="47">
        <v>461.02479754000001</v>
      </c>
      <c r="CJ23" s="46">
        <v>187574.26662025001</v>
      </c>
      <c r="CK23" s="171">
        <f>CI23*CJ23</f>
        <v>86476388.292314738</v>
      </c>
      <c r="CL23" s="172"/>
      <c r="CM23" s="47"/>
      <c r="CN23" s="17"/>
      <c r="CO23" s="54"/>
      <c r="CP23" s="53"/>
      <c r="CQ23" s="46"/>
      <c r="CR23" s="54"/>
      <c r="CS23" s="47">
        <v>461.02479755000002</v>
      </c>
      <c r="CT23" s="46">
        <v>187757.40700760001</v>
      </c>
      <c r="CU23" s="171">
        <f>CS23*CT23</f>
        <v>86560820.554191753</v>
      </c>
      <c r="CV23" s="172"/>
      <c r="CW23" s="47"/>
      <c r="CX23" s="17"/>
      <c r="CY23" s="54"/>
      <c r="CZ23" s="53"/>
      <c r="DA23" s="46"/>
      <c r="DB23" s="54"/>
      <c r="DC23" s="47">
        <v>461.02479755000002</v>
      </c>
      <c r="DD23" s="46">
        <v>187757.40700760001</v>
      </c>
      <c r="DE23" s="171">
        <f>DC23*DD23</f>
        <v>86560820.554191753</v>
      </c>
      <c r="DF23" s="172"/>
      <c r="DG23" s="47"/>
      <c r="DH23" s="17"/>
      <c r="DI23" s="54"/>
      <c r="DJ23" s="53"/>
      <c r="DK23" s="46"/>
      <c r="DL23" s="54"/>
      <c r="DM23" s="47">
        <v>461.02479755000002</v>
      </c>
      <c r="DN23" s="46">
        <v>188173.65548496001</v>
      </c>
      <c r="DO23" s="171">
        <f>DM23*DN23</f>
        <v>86752721.424197137</v>
      </c>
      <c r="DP23" s="172"/>
      <c r="DQ23" s="47"/>
      <c r="DR23" s="17"/>
      <c r="DS23" s="54"/>
      <c r="DT23" s="53"/>
      <c r="DU23" s="46"/>
      <c r="DV23" s="54"/>
      <c r="DW23" s="47">
        <v>461.02479755000002</v>
      </c>
      <c r="DX23" s="46">
        <v>187881.03046626001</v>
      </c>
      <c r="DY23" s="171">
        <f>DW23*DX23</f>
        <v>86617814.034192905</v>
      </c>
      <c r="DZ23" s="172"/>
      <c r="EA23" s="47"/>
      <c r="EB23" s="17"/>
      <c r="EC23" s="54"/>
      <c r="ED23" s="53"/>
      <c r="EE23" s="46"/>
      <c r="EF23" s="54"/>
      <c r="EG23" s="47">
        <v>461.02479755000002</v>
      </c>
      <c r="EH23" s="46">
        <v>187993.18662419001</v>
      </c>
      <c r="EI23" s="171">
        <f>EG23*EH23</f>
        <v>86669520.804196566</v>
      </c>
      <c r="EJ23" s="172"/>
      <c r="EK23" s="47"/>
      <c r="EL23" s="17"/>
      <c r="EM23" s="54"/>
      <c r="EN23" s="53"/>
      <c r="EO23" s="46"/>
      <c r="EP23" s="54"/>
      <c r="EQ23" s="47">
        <v>461.02479755000002</v>
      </c>
      <c r="ER23" s="46">
        <v>188596.80382977999</v>
      </c>
      <c r="ES23" s="171">
        <f>EQ23*ER23</f>
        <v>86947803.304201394</v>
      </c>
      <c r="ET23" s="172"/>
      <c r="EU23" s="47"/>
      <c r="EV23" s="17"/>
      <c r="EW23" s="54"/>
      <c r="EX23" s="53"/>
      <c r="EY23" s="46"/>
      <c r="EZ23" s="54"/>
      <c r="FA23" s="47">
        <v>461.02479755000002</v>
      </c>
      <c r="FB23" s="46">
        <v>177883.46223437</v>
      </c>
      <c r="FC23" s="171">
        <f>FA23*FB23</f>
        <v>82008687.164093509</v>
      </c>
      <c r="FD23" s="172"/>
      <c r="FE23" s="47"/>
      <c r="FF23" s="17"/>
      <c r="FG23" s="54"/>
      <c r="FH23" s="53"/>
      <c r="FI23" s="46"/>
      <c r="FJ23" s="54"/>
      <c r="FK23" s="47">
        <v>461.02479755000002</v>
      </c>
      <c r="FL23" s="46">
        <v>162832.22573467999</v>
      </c>
      <c r="FM23" s="171">
        <f>FK23*FL23</f>
        <v>75069693.903946742</v>
      </c>
      <c r="FN23" s="172"/>
      <c r="FO23" s="47"/>
      <c r="FP23" s="17"/>
      <c r="FQ23" s="54"/>
      <c r="FR23" s="53"/>
      <c r="FS23" s="46"/>
      <c r="FT23" s="54"/>
      <c r="FU23" s="47">
        <v>461.02479755000002</v>
      </c>
      <c r="FV23" s="46">
        <v>162933.64791467</v>
      </c>
      <c r="FW23" s="171">
        <f>FU23*FV23</f>
        <v>75116452.043943718</v>
      </c>
      <c r="FX23" s="172"/>
      <c r="FY23" s="47"/>
      <c r="FZ23" s="17"/>
      <c r="GA23" s="54"/>
      <c r="GB23" s="53"/>
      <c r="GC23" s="46"/>
      <c r="GD23" s="54"/>
      <c r="GE23" s="47">
        <v>461.02479755000002</v>
      </c>
      <c r="GF23" s="46">
        <v>163135.80732235999</v>
      </c>
      <c r="GG23" s="171">
        <f>GE23*GF23</f>
        <v>75209652.543946832</v>
      </c>
      <c r="GH23" s="172"/>
      <c r="GI23" s="47"/>
      <c r="GJ23" s="17"/>
      <c r="GK23" s="54"/>
      <c r="GL23" s="53"/>
      <c r="GM23" s="46"/>
      <c r="GN23" s="54"/>
      <c r="GO23" s="47">
        <v>461.02479755000002</v>
      </c>
      <c r="GP23" s="46">
        <v>163304.24683019999</v>
      </c>
      <c r="GQ23" s="171">
        <f>GO23*GP23</f>
        <v>75287307.33394818</v>
      </c>
      <c r="GR23" s="172"/>
      <c r="GS23" s="47"/>
      <c r="GT23" s="17"/>
      <c r="GU23" s="54"/>
      <c r="GV23" s="53"/>
      <c r="GW23" s="46"/>
      <c r="GX23" s="54"/>
      <c r="GY23" s="47">
        <v>461.02479755000002</v>
      </c>
      <c r="GZ23" s="46">
        <v>163426.70436459</v>
      </c>
      <c r="HA23" s="171">
        <f>GY23*GZ23</f>
        <v>75343763.293948814</v>
      </c>
      <c r="HB23" s="172"/>
      <c r="HC23" s="47"/>
      <c r="HD23" s="17"/>
      <c r="HE23" s="54"/>
      <c r="HF23" s="53"/>
      <c r="HG23" s="46"/>
      <c r="HH23" s="54"/>
      <c r="HI23" s="47">
        <v>461.02479755000002</v>
      </c>
      <c r="HJ23" s="46">
        <v>163426.70436459</v>
      </c>
      <c r="HK23" s="171">
        <f>HI23*HJ23</f>
        <v>75343763.293948814</v>
      </c>
      <c r="HL23" s="172"/>
      <c r="HM23" s="47"/>
      <c r="HN23" s="17"/>
      <c r="HO23" s="54"/>
      <c r="HP23" s="53"/>
      <c r="HQ23" s="46"/>
      <c r="HR23" s="54"/>
      <c r="HS23" s="47">
        <v>461.02479755000002</v>
      </c>
      <c r="HT23" s="46">
        <v>163606.06254757999</v>
      </c>
      <c r="HU23" s="171">
        <f>HS23*HT23</f>
        <v>75426451.8639507</v>
      </c>
      <c r="HV23" s="172"/>
      <c r="HW23" s="47"/>
      <c r="HX23" s="17"/>
      <c r="HY23" s="54"/>
      <c r="HZ23" s="53"/>
      <c r="IA23" s="46"/>
      <c r="IB23" s="54"/>
      <c r="IC23" s="47">
        <v>461.02479755000002</v>
      </c>
      <c r="ID23" s="46">
        <v>163645.41951948</v>
      </c>
      <c r="IE23" s="171">
        <f>IC23*ID23</f>
        <v>75444596.40395309</v>
      </c>
      <c r="IF23" s="172"/>
      <c r="IG23" s="47"/>
      <c r="IH23" s="17"/>
      <c r="II23" s="54"/>
      <c r="IJ23" s="53"/>
      <c r="IK23" s="46"/>
      <c r="IL23" s="54"/>
      <c r="IM23" s="47">
        <v>461.02479755000002</v>
      </c>
      <c r="IN23" s="46">
        <v>163694.60735085001</v>
      </c>
      <c r="IO23" s="171">
        <f>IM23*IN23</f>
        <v>75467273.213952377</v>
      </c>
      <c r="IP23" s="172"/>
      <c r="IQ23" s="47"/>
      <c r="IR23" s="17"/>
      <c r="IS23" s="54"/>
      <c r="IT23" s="53"/>
      <c r="IU23" s="46"/>
      <c r="IV23" s="54"/>
      <c r="IW23" s="47">
        <v>461.02479755000002</v>
      </c>
      <c r="IX23" s="46">
        <v>163562.82663033</v>
      </c>
      <c r="IY23" s="171">
        <f>IW23*IX23</f>
        <v>75406519.033953637</v>
      </c>
      <c r="IZ23" s="172"/>
      <c r="JA23" s="47"/>
      <c r="JB23" s="17"/>
      <c r="JC23" s="54"/>
      <c r="JD23" s="53"/>
      <c r="JE23" s="46"/>
      <c r="JF23" s="54"/>
      <c r="JG23" s="47">
        <v>461.02479755000002</v>
      </c>
      <c r="JH23" s="46">
        <v>163712.64926539999</v>
      </c>
      <c r="JI23" s="171">
        <f>JG23*JH23</f>
        <v>75475590.98395519</v>
      </c>
      <c r="JJ23" s="172"/>
      <c r="JK23" s="47"/>
      <c r="JL23" s="17"/>
      <c r="JM23" s="54"/>
      <c r="JN23" s="53"/>
      <c r="JO23" s="46"/>
      <c r="JP23" s="54"/>
      <c r="JQ23" s="47">
        <v>461.02479755000002</v>
      </c>
      <c r="JR23" s="46">
        <v>163760.83266448</v>
      </c>
      <c r="JS23" s="171">
        <f>JQ23*JR23</f>
        <v>75497804.725761324</v>
      </c>
      <c r="JT23" s="172"/>
      <c r="JU23" s="47"/>
      <c r="JV23" s="17"/>
      <c r="JW23" s="54"/>
      <c r="JX23" s="53"/>
      <c r="JY23" s="46"/>
      <c r="JZ23" s="54"/>
      <c r="KA23" s="47">
        <v>461.02479755000002</v>
      </c>
      <c r="KB23" s="46">
        <v>163823.48799269</v>
      </c>
      <c r="KC23" s="171">
        <f>KA23*KB23</f>
        <v>75526690.385764763</v>
      </c>
      <c r="KD23" s="172"/>
      <c r="KE23" s="47"/>
      <c r="KF23" s="17"/>
      <c r="KG23" s="54"/>
      <c r="KH23" s="53"/>
      <c r="KI23" s="46"/>
      <c r="KJ23" s="54"/>
      <c r="KK23" s="47">
        <v>461.02479755000002</v>
      </c>
      <c r="KL23" s="46">
        <v>163938.12098050999</v>
      </c>
      <c r="KM23" s="171">
        <f>KK23*KL23</f>
        <v>75579539.035767034</v>
      </c>
      <c r="KN23" s="172"/>
      <c r="KO23" s="47"/>
      <c r="KP23" s="17"/>
      <c r="KQ23" s="54"/>
      <c r="KR23" s="53"/>
      <c r="KS23" s="46"/>
      <c r="KT23" s="54"/>
      <c r="KU23" s="47">
        <v>461.02479755000002</v>
      </c>
      <c r="KV23" s="46">
        <v>164041.73896429999</v>
      </c>
      <c r="KW23" s="171">
        <f>KU23*KV23</f>
        <v>75627309.495766357</v>
      </c>
      <c r="KX23" s="172"/>
      <c r="KY23" s="47"/>
      <c r="KZ23" s="17"/>
      <c r="LA23" s="54"/>
      <c r="LB23" s="53"/>
      <c r="LC23" s="46"/>
      <c r="LD23" s="54"/>
      <c r="LE23" s="47">
        <v>461.02479755000002</v>
      </c>
      <c r="LF23" s="46">
        <v>157698.91453142001</v>
      </c>
      <c r="LG23" s="171">
        <f t="shared" si="41"/>
        <v>72703110.145702675</v>
      </c>
      <c r="LH23" s="172"/>
      <c r="LI23" s="47"/>
      <c r="LJ23" s="17"/>
      <c r="LK23" s="54"/>
      <c r="LL23" s="53"/>
      <c r="LM23" s="46"/>
      <c r="LN23" s="54"/>
      <c r="LO23" s="47">
        <v>461.02479755000002</v>
      </c>
      <c r="LP23" s="46">
        <v>157820.50545299001</v>
      </c>
      <c r="LQ23" s="171">
        <f t="shared" si="42"/>
        <v>72759166.575703397</v>
      </c>
      <c r="LR23" s="172"/>
      <c r="LS23" s="47"/>
      <c r="LT23" s="17"/>
      <c r="LU23" s="54"/>
      <c r="LV23" s="53"/>
      <c r="LW23" s="46"/>
      <c r="LX23" s="54"/>
      <c r="LY23" s="47">
        <v>461.02479755000002</v>
      </c>
      <c r="LZ23" s="46">
        <v>158204.53880856</v>
      </c>
      <c r="MA23" s="171">
        <f t="shared" si="43"/>
        <v>72936215.475707501</v>
      </c>
      <c r="MB23" s="172"/>
      <c r="MC23" s="47"/>
      <c r="MD23" s="17"/>
      <c r="ME23" s="54"/>
      <c r="MF23" s="53"/>
      <c r="MG23" s="46"/>
      <c r="MH23" s="54"/>
      <c r="MI23" s="47">
        <v>461.02479755000002</v>
      </c>
      <c r="MJ23" s="46">
        <v>158427.33758326</v>
      </c>
      <c r="MK23" s="171">
        <f t="shared" si="44"/>
        <v>73038931.235707954</v>
      </c>
      <c r="ML23" s="172"/>
      <c r="MM23" s="47"/>
      <c r="MN23" s="17"/>
      <c r="MO23" s="54"/>
      <c r="MP23" s="53"/>
      <c r="MQ23" s="46"/>
      <c r="MR23" s="54"/>
      <c r="MS23" s="47"/>
      <c r="MT23" s="46"/>
      <c r="MU23" s="171">
        <f t="shared" si="45"/>
        <v>0</v>
      </c>
      <c r="MV23" s="172"/>
      <c r="MW23" s="47"/>
      <c r="MX23" s="17"/>
      <c r="MY23" s="54"/>
      <c r="MZ23" s="53"/>
      <c r="NA23" s="46"/>
      <c r="NB23" s="54"/>
      <c r="NC23" s="47">
        <v>461.02479755000002</v>
      </c>
      <c r="ND23" s="46">
        <v>158786.01824618</v>
      </c>
      <c r="NE23" s="171">
        <f t="shared" si="46"/>
        <v>73204291.915715739</v>
      </c>
      <c r="NF23" s="172"/>
      <c r="NG23" s="47"/>
      <c r="NH23" s="17"/>
      <c r="NI23" s="54"/>
      <c r="NJ23" s="53"/>
      <c r="NK23" s="46"/>
      <c r="NL23" s="54"/>
      <c r="NM23" s="47">
        <v>461.02479755000002</v>
      </c>
      <c r="NN23" s="46">
        <v>148035.78527292999</v>
      </c>
      <c r="NO23" s="171">
        <f t="shared" si="47"/>
        <v>68248167.935607821</v>
      </c>
      <c r="NP23" s="172"/>
      <c r="NQ23" s="47"/>
      <c r="NR23" s="17"/>
      <c r="NS23" s="54"/>
      <c r="NT23" s="53"/>
      <c r="NU23" s="46"/>
      <c r="NV23" s="54"/>
      <c r="NW23" s="47">
        <v>461.02479755000002</v>
      </c>
      <c r="NX23" s="46">
        <v>148174.39456322999</v>
      </c>
      <c r="NY23" s="171">
        <f t="shared" si="48"/>
        <v>68312070.255606934</v>
      </c>
      <c r="NZ23" s="172"/>
      <c r="OA23" s="47"/>
      <c r="OB23" s="17"/>
      <c r="OC23" s="54"/>
      <c r="OD23" s="53"/>
      <c r="OE23" s="46"/>
      <c r="OF23" s="54"/>
      <c r="OG23" s="47">
        <v>461.02479755000002</v>
      </c>
      <c r="OH23" s="46">
        <v>148365.56206761001</v>
      </c>
      <c r="OI23" s="171">
        <f t="shared" si="49"/>
        <v>68400203.21561186</v>
      </c>
      <c r="OJ23" s="172"/>
      <c r="OK23" s="47"/>
      <c r="OL23" s="17"/>
      <c r="OM23" s="54"/>
      <c r="ON23" s="53"/>
      <c r="OO23" s="46"/>
      <c r="OP23" s="54"/>
      <c r="OQ23" s="47"/>
      <c r="OR23" s="46"/>
      <c r="OS23" s="171">
        <f t="shared" si="50"/>
        <v>0</v>
      </c>
      <c r="OT23" s="172"/>
      <c r="OU23" s="47"/>
      <c r="OV23" s="17"/>
      <c r="OW23" s="54"/>
      <c r="OX23" s="53"/>
      <c r="OY23" s="46"/>
      <c r="OZ23" s="54"/>
      <c r="PA23" s="47"/>
      <c r="PB23" s="46"/>
      <c r="PC23" s="171">
        <f t="shared" si="51"/>
        <v>0</v>
      </c>
      <c r="PD23" s="172"/>
      <c r="PE23" s="47"/>
      <c r="PF23" s="17"/>
      <c r="PG23" s="54"/>
      <c r="PH23" s="53"/>
      <c r="PI23" s="46"/>
      <c r="PJ23" s="54"/>
      <c r="PK23" s="47"/>
      <c r="PL23" s="46"/>
      <c r="PM23" s="171">
        <f t="shared" si="52"/>
        <v>0</v>
      </c>
      <c r="PN23" s="172"/>
      <c r="PO23" s="47"/>
      <c r="PP23" s="17"/>
      <c r="PQ23" s="54"/>
      <c r="PR23" s="53"/>
      <c r="PS23" s="46"/>
      <c r="PT23" s="54"/>
      <c r="PU23" s="47"/>
      <c r="PV23" s="46"/>
      <c r="PW23" s="171">
        <f t="shared" si="53"/>
        <v>0</v>
      </c>
      <c r="PX23" s="172"/>
      <c r="PY23" s="47"/>
      <c r="PZ23" s="17"/>
      <c r="QA23" s="54"/>
      <c r="QB23" s="53"/>
      <c r="QC23" s="46"/>
      <c r="QD23" s="54"/>
      <c r="QE23" s="47"/>
      <c r="QF23" s="46"/>
      <c r="QG23" s="171">
        <f t="shared" si="54"/>
        <v>0</v>
      </c>
      <c r="QH23" s="172"/>
      <c r="QI23" s="47"/>
      <c r="QJ23" s="17"/>
      <c r="QK23" s="54"/>
      <c r="QL23" s="53"/>
      <c r="QM23" s="46"/>
      <c r="QN23" s="54"/>
      <c r="QO23" s="47"/>
      <c r="QP23" s="46"/>
      <c r="QQ23" s="171">
        <f t="shared" si="55"/>
        <v>0</v>
      </c>
      <c r="QR23" s="172"/>
      <c r="QS23" s="47"/>
      <c r="QT23" s="17"/>
      <c r="QU23" s="54"/>
      <c r="QV23" s="53"/>
      <c r="QW23" s="46"/>
      <c r="QX23" s="54"/>
      <c r="QY23" s="47"/>
      <c r="QZ23" s="46"/>
      <c r="RA23" s="171">
        <f t="shared" si="56"/>
        <v>0</v>
      </c>
      <c r="RB23" s="172"/>
      <c r="RC23" s="47"/>
      <c r="RD23" s="17"/>
      <c r="RE23" s="54"/>
      <c r="RF23" s="53"/>
      <c r="RG23" s="46"/>
      <c r="RH23" s="54"/>
      <c r="RI23" s="47"/>
      <c r="RJ23" s="46"/>
      <c r="RK23" s="171">
        <f t="shared" si="57"/>
        <v>0</v>
      </c>
      <c r="RL23" s="172"/>
      <c r="RM23" s="47"/>
      <c r="RN23" s="17"/>
      <c r="RO23" s="54"/>
      <c r="RP23" s="53"/>
      <c r="RQ23" s="46"/>
      <c r="RR23" s="54"/>
      <c r="RS23" s="47"/>
      <c r="RT23" s="46"/>
      <c r="RU23" s="171">
        <f t="shared" si="58"/>
        <v>0</v>
      </c>
    </row>
    <row r="24" spans="1:489" x14ac:dyDescent="0.25">
      <c r="A24" s="67" t="s">
        <v>172</v>
      </c>
      <c r="B24" s="46"/>
      <c r="C24" s="17"/>
      <c r="D24" s="54"/>
      <c r="E24" s="53"/>
      <c r="F24" s="46"/>
      <c r="G24" s="54"/>
      <c r="H24" s="53">
        <v>4613157.91161035</v>
      </c>
      <c r="I24" s="46">
        <v>1.11698443</v>
      </c>
      <c r="J24" s="167">
        <f>H24*I24</f>
        <v>5152825.5604000771</v>
      </c>
      <c r="K24" s="53"/>
      <c r="L24" s="17"/>
      <c r="M24" s="54"/>
      <c r="N24" s="53"/>
      <c r="O24" s="46"/>
      <c r="P24" s="54"/>
      <c r="Q24" s="53">
        <v>4613157.91161035</v>
      </c>
      <c r="R24" s="46">
        <v>1.1174067000000001</v>
      </c>
      <c r="S24" s="167">
        <f>Q24*R24</f>
        <v>5154773.5585914133</v>
      </c>
      <c r="T24" s="168"/>
      <c r="U24" s="53"/>
      <c r="V24" s="17"/>
      <c r="W24" s="54"/>
      <c r="X24" s="53"/>
      <c r="Y24" s="46"/>
      <c r="Z24" s="54"/>
      <c r="AA24" s="53">
        <v>4613157.91161035</v>
      </c>
      <c r="AB24" s="46">
        <v>1.1178418400000001</v>
      </c>
      <c r="AC24" s="167">
        <f>AA24*AB24</f>
        <v>5156780.9281250713</v>
      </c>
      <c r="AD24" s="168"/>
      <c r="AE24" s="53"/>
      <c r="AF24" s="17"/>
      <c r="AG24" s="54"/>
      <c r="AH24" s="53"/>
      <c r="AI24" s="46"/>
      <c r="AJ24" s="54"/>
      <c r="AK24" s="53">
        <v>4613157.91161035</v>
      </c>
      <c r="AL24" s="46">
        <v>1.11827017</v>
      </c>
      <c r="AM24" s="167">
        <f>AK24*AL24</f>
        <v>5158756.882053351</v>
      </c>
      <c r="AN24" s="168"/>
      <c r="AO24" s="53"/>
      <c r="AP24" s="17"/>
      <c r="AQ24" s="54"/>
      <c r="AR24" s="53"/>
      <c r="AS24" s="46"/>
      <c r="AT24" s="54"/>
      <c r="AU24" s="53">
        <v>4613157.91161035</v>
      </c>
      <c r="AV24" s="46">
        <v>1.11827017</v>
      </c>
      <c r="AW24" s="167">
        <f>AU24*AV24</f>
        <v>5158756.882053351</v>
      </c>
      <c r="AX24" s="168"/>
      <c r="AY24" s="53"/>
      <c r="AZ24" s="17"/>
      <c r="BA24" s="54"/>
      <c r="BB24" s="53"/>
      <c r="BC24" s="46"/>
      <c r="BD24" s="54"/>
      <c r="BE24" s="53">
        <v>4613157.91161035</v>
      </c>
      <c r="BF24" s="46">
        <v>1.11912715</v>
      </c>
      <c r="BG24" s="167">
        <f>BE24*BF24</f>
        <v>5162710.2661204431</v>
      </c>
      <c r="BH24" s="168"/>
      <c r="BI24" s="53"/>
      <c r="BJ24" s="17"/>
      <c r="BK24" s="54"/>
      <c r="BL24" s="53"/>
      <c r="BM24" s="46"/>
      <c r="BN24" s="54"/>
      <c r="BO24" s="53">
        <v>4613157.91161035</v>
      </c>
      <c r="BP24" s="46">
        <v>1.1195609799999999</v>
      </c>
      <c r="BQ24" s="167">
        <f>BO24*BP24</f>
        <v>5164711.5924172364</v>
      </c>
      <c r="BR24" s="168"/>
      <c r="BS24" s="53"/>
      <c r="BT24" s="17"/>
      <c r="BU24" s="54"/>
      <c r="BV24" s="53"/>
      <c r="BW24" s="46"/>
      <c r="BX24" s="54"/>
      <c r="BY24" s="53">
        <v>4613157.91161035</v>
      </c>
      <c r="BZ24" s="46">
        <v>1.1195609799999999</v>
      </c>
      <c r="CA24" s="167">
        <f>BY24*BZ24</f>
        <v>5164711.5924172364</v>
      </c>
      <c r="CB24" s="168"/>
      <c r="CC24" s="53"/>
      <c r="CD24" s="17"/>
      <c r="CE24" s="54"/>
      <c r="CF24" s="53"/>
      <c r="CG24" s="46"/>
      <c r="CH24" s="54"/>
      <c r="CI24" s="53">
        <v>4613157.91161035</v>
      </c>
      <c r="CJ24" s="46">
        <v>1.12043973</v>
      </c>
      <c r="CK24" s="167">
        <f>CI24*CJ24</f>
        <v>5168765.404932064</v>
      </c>
      <c r="CL24" s="168"/>
      <c r="CM24" s="53"/>
      <c r="CN24" s="17"/>
      <c r="CO24" s="54"/>
      <c r="CP24" s="53"/>
      <c r="CQ24" s="46"/>
      <c r="CR24" s="54"/>
      <c r="CS24" s="53">
        <v>4613157.91161035</v>
      </c>
      <c r="CT24" s="46">
        <v>1.1208725500000001</v>
      </c>
      <c r="CU24" s="167">
        <f>CS24*CT24</f>
        <v>5170762.0719393678</v>
      </c>
      <c r="CV24" s="168"/>
      <c r="CW24" s="53"/>
      <c r="CX24" s="17"/>
      <c r="CY24" s="54"/>
      <c r="CZ24" s="53"/>
      <c r="DA24" s="46"/>
      <c r="DB24" s="54"/>
      <c r="DC24" s="53">
        <v>4613157.91161035</v>
      </c>
      <c r="DD24" s="46">
        <v>1.1208725500000001</v>
      </c>
      <c r="DE24" s="167">
        <f>DC24*DD24</f>
        <v>5170762.0719393678</v>
      </c>
      <c r="DF24" s="168"/>
      <c r="DG24" s="53"/>
      <c r="DH24" s="17"/>
      <c r="DI24" s="54"/>
      <c r="DJ24" s="53"/>
      <c r="DK24" s="46"/>
      <c r="DL24" s="54"/>
      <c r="DM24" s="53">
        <v>4613157.91161035</v>
      </c>
      <c r="DN24" s="46">
        <v>1.1217357100000001</v>
      </c>
      <c r="DO24" s="167">
        <f>DM24*DN24</f>
        <v>5174743.9653223539</v>
      </c>
      <c r="DP24" s="168"/>
      <c r="DQ24" s="53"/>
      <c r="DR24" s="17"/>
      <c r="DS24" s="54"/>
      <c r="DT24" s="53"/>
      <c r="DU24" s="46"/>
      <c r="DV24" s="54"/>
      <c r="DW24" s="53">
        <v>4613157.91161035</v>
      </c>
      <c r="DX24" s="46">
        <v>1.12216637</v>
      </c>
      <c r="DY24" s="167">
        <f>DW24*DX24</f>
        <v>5176730.667908567</v>
      </c>
      <c r="DZ24" s="168"/>
      <c r="EA24" s="53"/>
      <c r="EB24" s="17"/>
      <c r="EC24" s="54"/>
      <c r="ED24" s="53"/>
      <c r="EE24" s="46"/>
      <c r="EF24" s="54"/>
      <c r="EG24" s="53">
        <v>4613157.91161035</v>
      </c>
      <c r="EH24" s="46">
        <v>1.1225950600000001</v>
      </c>
      <c r="EI24" s="167">
        <f>EG24*EH24</f>
        <v>5178708.2825736962</v>
      </c>
      <c r="EJ24" s="168"/>
      <c r="EK24" s="53"/>
      <c r="EL24" s="17"/>
      <c r="EM24" s="54"/>
      <c r="EN24" s="53"/>
      <c r="EO24" s="46"/>
      <c r="EP24" s="54"/>
      <c r="EQ24" s="53">
        <v>4613157.91161035</v>
      </c>
      <c r="ER24" s="46">
        <v>1.12302502</v>
      </c>
      <c r="ES24" s="167">
        <f>EQ24*ER24</f>
        <v>5180691.7559493715</v>
      </c>
      <c r="ET24" s="168"/>
      <c r="EU24" s="53"/>
      <c r="EV24" s="17"/>
      <c r="EW24" s="54"/>
      <c r="EX24" s="53"/>
      <c r="EY24" s="46"/>
      <c r="EZ24" s="54"/>
      <c r="FA24" s="53">
        <v>4613157.91161035</v>
      </c>
      <c r="FB24" s="46">
        <v>1.1234569000000001</v>
      </c>
      <c r="FC24" s="167">
        <f>FA24*FB24</f>
        <v>5182684.0865882384</v>
      </c>
      <c r="FD24" s="168"/>
      <c r="FE24" s="53"/>
      <c r="FF24" s="17"/>
      <c r="FG24" s="54"/>
      <c r="FH24" s="53"/>
      <c r="FI24" s="46"/>
      <c r="FJ24" s="54"/>
      <c r="FK24" s="53">
        <v>4613157.91161035</v>
      </c>
      <c r="FL24" s="46">
        <v>1.1238868099999999</v>
      </c>
      <c r="FM24" s="167">
        <f>FK24*FL24</f>
        <v>5184667.3293060176</v>
      </c>
      <c r="FN24" s="168"/>
      <c r="FO24" s="53"/>
      <c r="FP24" s="17"/>
      <c r="FQ24" s="54"/>
      <c r="FR24" s="53"/>
      <c r="FS24" s="46"/>
      <c r="FT24" s="54"/>
      <c r="FU24" s="53">
        <v>4613157.91161035</v>
      </c>
      <c r="FV24" s="46">
        <v>1.12431978</v>
      </c>
      <c r="FW24" s="167">
        <f>FU24*FV24</f>
        <v>5186664.6882870086</v>
      </c>
      <c r="FX24" s="168"/>
      <c r="FY24" s="53"/>
      <c r="FZ24" s="17"/>
      <c r="GA24" s="54"/>
      <c r="GB24" s="53"/>
      <c r="GC24" s="46"/>
      <c r="GD24" s="54"/>
      <c r="GE24" s="53">
        <v>4613157.91161035</v>
      </c>
      <c r="GF24" s="46">
        <v>1.1247531399999999</v>
      </c>
      <c r="GG24" s="167">
        <f>GE24*GF24</f>
        <v>5188663.8463995829</v>
      </c>
      <c r="GH24" s="168"/>
      <c r="GI24" s="53"/>
      <c r="GJ24" s="17"/>
      <c r="GK24" s="54"/>
      <c r="GL24" s="53"/>
      <c r="GM24" s="46"/>
      <c r="GN24" s="54"/>
      <c r="GO24" s="53">
        <v>4613157.91161035</v>
      </c>
      <c r="GP24" s="46">
        <v>1.12518611</v>
      </c>
      <c r="GQ24" s="167">
        <f>GO24*GP24</f>
        <v>5190661.2053805739</v>
      </c>
      <c r="GR24" s="168"/>
      <c r="GS24" s="53"/>
      <c r="GT24" s="17"/>
      <c r="GU24" s="54"/>
      <c r="GV24" s="53"/>
      <c r="GW24" s="46"/>
      <c r="GX24" s="54"/>
      <c r="GY24" s="53">
        <v>4613157.91161035</v>
      </c>
      <c r="GZ24" s="46">
        <v>1.12560875</v>
      </c>
      <c r="HA24" s="167">
        <f>GY24*GZ24</f>
        <v>5192610.9104403369</v>
      </c>
      <c r="HB24" s="168"/>
      <c r="HC24" s="53"/>
      <c r="HD24" s="17"/>
      <c r="HE24" s="54"/>
      <c r="HF24" s="53"/>
      <c r="HG24" s="46"/>
      <c r="HH24" s="54"/>
      <c r="HI24" s="53">
        <v>4613157.91161035</v>
      </c>
      <c r="HJ24" s="46">
        <v>1.12560875</v>
      </c>
      <c r="HK24" s="167">
        <f>HI24*HJ24</f>
        <v>5192610.9104403369</v>
      </c>
      <c r="HL24" s="168"/>
      <c r="HM24" s="53"/>
      <c r="HN24" s="17"/>
      <c r="HO24" s="54"/>
      <c r="HP24" s="53"/>
      <c r="HQ24" s="46"/>
      <c r="HR24" s="54"/>
      <c r="HS24" s="53">
        <v>4613157.91161035</v>
      </c>
      <c r="HT24" s="46">
        <v>1.12605468</v>
      </c>
      <c r="HU24" s="167">
        <f>HS24*HT24</f>
        <v>5194668.0559478607</v>
      </c>
      <c r="HV24" s="168"/>
      <c r="HW24" s="53"/>
      <c r="HX24" s="17"/>
      <c r="HY24" s="54"/>
      <c r="HZ24" s="53"/>
      <c r="IA24" s="46"/>
      <c r="IB24" s="54"/>
      <c r="IC24" s="53">
        <v>4613157.91161035</v>
      </c>
      <c r="ID24" s="46">
        <v>1.12648894</v>
      </c>
      <c r="IE24" s="167">
        <f>IC24*ID24</f>
        <v>5196671.365902557</v>
      </c>
      <c r="IF24" s="168"/>
      <c r="IG24" s="53"/>
      <c r="IH24" s="17"/>
      <c r="II24" s="54"/>
      <c r="IJ24" s="53"/>
      <c r="IK24" s="46"/>
      <c r="IL24" s="54"/>
      <c r="IM24" s="53">
        <v>4613157.91161035</v>
      </c>
      <c r="IN24" s="46">
        <v>1.12693534</v>
      </c>
      <c r="IO24" s="167">
        <f>IM24*IN24</f>
        <v>5198730.6795942998</v>
      </c>
      <c r="IP24" s="168"/>
      <c r="IQ24" s="53"/>
      <c r="IR24" s="17"/>
      <c r="IS24" s="54"/>
      <c r="IT24" s="53"/>
      <c r="IU24" s="46"/>
      <c r="IV24" s="54"/>
      <c r="IW24" s="53">
        <v>6387177.5745959301</v>
      </c>
      <c r="IX24" s="46">
        <v>1.12738322</v>
      </c>
      <c r="IY24" s="167">
        <f>IW24*IX24</f>
        <v>7200796.82075975</v>
      </c>
      <c r="IZ24" s="168"/>
      <c r="JA24" s="53"/>
      <c r="JB24" s="17"/>
      <c r="JC24" s="54"/>
      <c r="JD24" s="53"/>
      <c r="JE24" s="46"/>
      <c r="JF24" s="54"/>
      <c r="JG24" s="53">
        <v>6387177.5745959301</v>
      </c>
      <c r="JH24" s="46">
        <v>1.1278249499999999</v>
      </c>
      <c r="JI24" s="167">
        <f>JG24*JH24</f>
        <v>7203618.228709776</v>
      </c>
      <c r="JJ24" s="168"/>
      <c r="JK24" s="53"/>
      <c r="JL24" s="17"/>
      <c r="JM24" s="54"/>
      <c r="JN24" s="53"/>
      <c r="JO24" s="46"/>
      <c r="JP24" s="54"/>
      <c r="JQ24" s="53">
        <v>6387177.5745959301</v>
      </c>
      <c r="JR24" s="46">
        <v>1.1282680700000001</v>
      </c>
      <c r="JS24" s="167">
        <f>JQ24*JR24</f>
        <v>7206448.5148366317</v>
      </c>
      <c r="JT24" s="168"/>
      <c r="JU24" s="53"/>
      <c r="JV24" s="17"/>
      <c r="JW24" s="54"/>
      <c r="JX24" s="53"/>
      <c r="JY24" s="46"/>
      <c r="JZ24" s="54"/>
      <c r="KA24" s="53">
        <v>6387177.5745959301</v>
      </c>
      <c r="KB24" s="46">
        <v>1.1287114899999999</v>
      </c>
      <c r="KC24" s="167">
        <f>KA24*KB24</f>
        <v>7209280.7171167582</v>
      </c>
      <c r="KD24" s="168"/>
      <c r="KE24" s="53"/>
      <c r="KF24" s="17"/>
      <c r="KG24" s="54"/>
      <c r="KH24" s="53"/>
      <c r="KI24" s="46"/>
      <c r="KJ24" s="54"/>
      <c r="KK24" s="53">
        <v>6387177.5745959301</v>
      </c>
      <c r="KL24" s="46">
        <v>1.1291549599999999</v>
      </c>
      <c r="KM24" s="167">
        <f>KK24*KL24</f>
        <v>7212113.2387557635</v>
      </c>
      <c r="KN24" s="168"/>
      <c r="KO24" s="53"/>
      <c r="KP24" s="17"/>
      <c r="KQ24" s="54"/>
      <c r="KR24" s="53"/>
      <c r="KS24" s="46"/>
      <c r="KT24" s="54"/>
      <c r="KU24" s="53">
        <v>6387177.5745959301</v>
      </c>
      <c r="KV24" s="46">
        <v>1.12958735</v>
      </c>
      <c r="KW24" s="167">
        <f>KU24*KV24</f>
        <v>7214874.9904672438</v>
      </c>
      <c r="KX24" s="168"/>
      <c r="KY24" s="53"/>
      <c r="KZ24" s="17"/>
      <c r="LA24" s="54"/>
      <c r="LB24" s="53"/>
      <c r="LC24" s="46"/>
      <c r="LD24" s="54"/>
      <c r="LE24" s="53">
        <v>6387177.5745959301</v>
      </c>
      <c r="LF24" s="46">
        <v>1.130034</v>
      </c>
      <c r="LG24" s="167">
        <f t="shared" si="41"/>
        <v>7217727.823330937</v>
      </c>
      <c r="LH24" s="168"/>
      <c r="LI24" s="53"/>
      <c r="LJ24" s="17"/>
      <c r="LK24" s="54"/>
      <c r="LL24" s="53"/>
      <c r="LM24" s="46"/>
      <c r="LN24" s="54"/>
      <c r="LO24" s="53">
        <v>6387177.5745959301</v>
      </c>
      <c r="LP24" s="46">
        <v>1.13047561</v>
      </c>
      <c r="LQ24" s="167">
        <f t="shared" si="42"/>
        <v>7220548.4648196539</v>
      </c>
      <c r="LR24" s="168"/>
      <c r="LS24" s="53"/>
      <c r="LT24" s="17"/>
      <c r="LU24" s="54"/>
      <c r="LV24" s="53"/>
      <c r="LW24" s="46"/>
      <c r="LX24" s="54"/>
      <c r="LY24" s="53">
        <v>6387177.5745959301</v>
      </c>
      <c r="LZ24" s="46">
        <v>1.1309143399999999</v>
      </c>
      <c r="MA24" s="167">
        <f t="shared" si="43"/>
        <v>7223350.7112369565</v>
      </c>
      <c r="MB24" s="168"/>
      <c r="MC24" s="53"/>
      <c r="MD24" s="17"/>
      <c r="ME24" s="54"/>
      <c r="MF24" s="53"/>
      <c r="MG24" s="46"/>
      <c r="MH24" s="54"/>
      <c r="MI24" s="53">
        <v>6387177.5745959301</v>
      </c>
      <c r="MJ24" s="46">
        <v>1.1313540200000001</v>
      </c>
      <c r="MK24" s="167">
        <f t="shared" si="44"/>
        <v>7226159.0254729558</v>
      </c>
      <c r="ML24" s="168"/>
      <c r="MM24" s="53"/>
      <c r="MN24" s="17"/>
      <c r="MO24" s="54"/>
      <c r="MP24" s="53"/>
      <c r="MQ24" s="46"/>
      <c r="MR24" s="54"/>
      <c r="MS24" s="53"/>
      <c r="MT24" s="46"/>
      <c r="MU24" s="167">
        <f t="shared" si="45"/>
        <v>0</v>
      </c>
      <c r="MV24" s="168"/>
      <c r="MW24" s="53"/>
      <c r="MX24" s="17"/>
      <c r="MY24" s="54"/>
      <c r="MZ24" s="53"/>
      <c r="NA24" s="46"/>
      <c r="NB24" s="54"/>
      <c r="NC24" s="53">
        <v>6387177.5745959301</v>
      </c>
      <c r="ND24" s="46">
        <v>1.13223345</v>
      </c>
      <c r="NE24" s="167">
        <f t="shared" si="46"/>
        <v>7231776.1010473818</v>
      </c>
      <c r="NF24" s="168"/>
      <c r="NG24" s="53"/>
      <c r="NH24" s="17"/>
      <c r="NI24" s="54"/>
      <c r="NJ24" s="53"/>
      <c r="NK24" s="46"/>
      <c r="NL24" s="54"/>
      <c r="NM24" s="53">
        <v>6387177.5745959301</v>
      </c>
      <c r="NN24" s="46">
        <v>1.1326740200000001</v>
      </c>
      <c r="NO24" s="167">
        <f t="shared" si="47"/>
        <v>7234590.0998714222</v>
      </c>
      <c r="NP24" s="168"/>
      <c r="NQ24" s="53"/>
      <c r="NR24" s="17"/>
      <c r="NS24" s="54"/>
      <c r="NT24" s="53"/>
      <c r="NU24" s="46"/>
      <c r="NV24" s="54"/>
      <c r="NW24" s="53">
        <v>6387177.5745959301</v>
      </c>
      <c r="NX24" s="46">
        <v>1.1331151100000001</v>
      </c>
      <c r="NY24" s="167">
        <f t="shared" si="48"/>
        <v>7237407.4200278008</v>
      </c>
      <c r="NZ24" s="168"/>
      <c r="OA24" s="53"/>
      <c r="OB24" s="17"/>
      <c r="OC24" s="54"/>
      <c r="OD24" s="53"/>
      <c r="OE24" s="46"/>
      <c r="OF24" s="54"/>
      <c r="OG24" s="53">
        <v>6387177.5745959301</v>
      </c>
      <c r="OH24" s="46">
        <v>1.1335557199999999</v>
      </c>
      <c r="OI24" s="167">
        <f t="shared" si="49"/>
        <v>7240221.6743389424</v>
      </c>
      <c r="OJ24" s="168"/>
      <c r="OK24" s="53"/>
      <c r="OL24" s="17"/>
      <c r="OM24" s="54"/>
      <c r="ON24" s="53"/>
      <c r="OO24" s="46"/>
      <c r="OP24" s="54"/>
      <c r="OQ24" s="53"/>
      <c r="OR24" s="46"/>
      <c r="OS24" s="167">
        <f t="shared" si="50"/>
        <v>0</v>
      </c>
      <c r="OT24" s="168"/>
      <c r="OU24" s="53"/>
      <c r="OV24" s="17"/>
      <c r="OW24" s="54"/>
      <c r="OX24" s="53"/>
      <c r="OY24" s="46"/>
      <c r="OZ24" s="54"/>
      <c r="PA24" s="53"/>
      <c r="PB24" s="46"/>
      <c r="PC24" s="167">
        <f t="shared" si="51"/>
        <v>0</v>
      </c>
      <c r="PD24" s="168"/>
      <c r="PE24" s="53"/>
      <c r="PF24" s="17"/>
      <c r="PG24" s="54"/>
      <c r="PH24" s="53"/>
      <c r="PI24" s="46"/>
      <c r="PJ24" s="54"/>
      <c r="PK24" s="53"/>
      <c r="PL24" s="46"/>
      <c r="PM24" s="167">
        <f t="shared" si="52"/>
        <v>0</v>
      </c>
      <c r="PN24" s="168"/>
      <c r="PO24" s="53"/>
      <c r="PP24" s="17"/>
      <c r="PQ24" s="54"/>
      <c r="PR24" s="53"/>
      <c r="PS24" s="46"/>
      <c r="PT24" s="54"/>
      <c r="PU24" s="53"/>
      <c r="PV24" s="46"/>
      <c r="PW24" s="167">
        <f t="shared" si="53"/>
        <v>0</v>
      </c>
      <c r="PX24" s="168"/>
      <c r="PY24" s="53"/>
      <c r="PZ24" s="17"/>
      <c r="QA24" s="54"/>
      <c r="QB24" s="53"/>
      <c r="QC24" s="46"/>
      <c r="QD24" s="54"/>
      <c r="QE24" s="53"/>
      <c r="QF24" s="46"/>
      <c r="QG24" s="167">
        <f t="shared" si="54"/>
        <v>0</v>
      </c>
      <c r="QH24" s="168"/>
      <c r="QI24" s="53"/>
      <c r="QJ24" s="17"/>
      <c r="QK24" s="54"/>
      <c r="QL24" s="53"/>
      <c r="QM24" s="46"/>
      <c r="QN24" s="54"/>
      <c r="QO24" s="53"/>
      <c r="QP24" s="46"/>
      <c r="QQ24" s="167">
        <f t="shared" si="55"/>
        <v>0</v>
      </c>
      <c r="QR24" s="168"/>
      <c r="QS24" s="53"/>
      <c r="QT24" s="17"/>
      <c r="QU24" s="54"/>
      <c r="QV24" s="53"/>
      <c r="QW24" s="46"/>
      <c r="QX24" s="54"/>
      <c r="QY24" s="53"/>
      <c r="QZ24" s="46"/>
      <c r="RA24" s="167">
        <f t="shared" si="56"/>
        <v>0</v>
      </c>
      <c r="RB24" s="168"/>
      <c r="RC24" s="53"/>
      <c r="RD24" s="17"/>
      <c r="RE24" s="54"/>
      <c r="RF24" s="53"/>
      <c r="RG24" s="46"/>
      <c r="RH24" s="54"/>
      <c r="RI24" s="53"/>
      <c r="RJ24" s="46"/>
      <c r="RK24" s="167">
        <f t="shared" si="57"/>
        <v>0</v>
      </c>
      <c r="RL24" s="168"/>
      <c r="RM24" s="53"/>
      <c r="RN24" s="17"/>
      <c r="RO24" s="54"/>
      <c r="RP24" s="53"/>
      <c r="RQ24" s="46"/>
      <c r="RR24" s="54"/>
      <c r="RS24" s="53"/>
      <c r="RT24" s="46"/>
      <c r="RU24" s="167">
        <f t="shared" si="58"/>
        <v>0</v>
      </c>
    </row>
    <row r="25" spans="1:489" x14ac:dyDescent="0.25">
      <c r="A25" s="67" t="s">
        <v>173</v>
      </c>
      <c r="B25" s="46"/>
      <c r="C25" s="17"/>
      <c r="D25" s="54"/>
      <c r="E25" s="53"/>
      <c r="F25" s="46"/>
      <c r="G25" s="54"/>
      <c r="H25" s="53">
        <v>15052.88800042</v>
      </c>
      <c r="I25" s="46">
        <v>2.0625695099999999</v>
      </c>
      <c r="J25" s="167">
        <f>H25*I25</f>
        <v>31047.627827111159</v>
      </c>
      <c r="K25" s="53"/>
      <c r="L25" s="17"/>
      <c r="M25" s="54"/>
      <c r="N25" s="53"/>
      <c r="O25" s="46"/>
      <c r="P25" s="54"/>
      <c r="Q25" s="53">
        <v>15052.88800042</v>
      </c>
      <c r="R25" s="46">
        <v>2.0635456300000001</v>
      </c>
      <c r="S25" s="167">
        <f>Q25*R25</f>
        <v>31062.321252146132</v>
      </c>
      <c r="T25" s="168"/>
      <c r="U25" s="53"/>
      <c r="V25" s="17"/>
      <c r="W25" s="54"/>
      <c r="X25" s="53"/>
      <c r="Y25" s="46"/>
      <c r="Z25" s="54"/>
      <c r="AA25" s="53">
        <v>15052.88800042</v>
      </c>
      <c r="AB25" s="46">
        <v>2.06406388</v>
      </c>
      <c r="AC25" s="167">
        <f>AA25*AB25</f>
        <v>31070.122411352346</v>
      </c>
      <c r="AD25" s="168"/>
      <c r="AE25" s="53"/>
      <c r="AF25" s="17"/>
      <c r="AG25" s="54"/>
      <c r="AH25" s="53"/>
      <c r="AI25" s="46"/>
      <c r="AJ25" s="54"/>
      <c r="AK25" s="53">
        <v>15052.88800042</v>
      </c>
      <c r="AL25" s="46">
        <v>2.0646461999999999</v>
      </c>
      <c r="AM25" s="167">
        <f>AK25*AL25</f>
        <v>31078.888009092749</v>
      </c>
      <c r="AN25" s="168"/>
      <c r="AO25" s="53"/>
      <c r="AP25" s="17"/>
      <c r="AQ25" s="54"/>
      <c r="AR25" s="53"/>
      <c r="AS25" s="46"/>
      <c r="AT25" s="54"/>
      <c r="AU25" s="53">
        <v>15052.88800042</v>
      </c>
      <c r="AV25" s="46">
        <v>2.0646461999999999</v>
      </c>
      <c r="AW25" s="167">
        <f>AU25*AV25</f>
        <v>31078.888009092749</v>
      </c>
      <c r="AX25" s="168"/>
      <c r="AY25" s="53"/>
      <c r="AZ25" s="17"/>
      <c r="BA25" s="54"/>
      <c r="BB25" s="53"/>
      <c r="BC25" s="46"/>
      <c r="BD25" s="54"/>
      <c r="BE25" s="53">
        <v>15052.88800042</v>
      </c>
      <c r="BF25" s="46">
        <v>2.06572588</v>
      </c>
      <c r="BG25" s="167">
        <f>BE25*BF25</f>
        <v>31095.140311209045</v>
      </c>
      <c r="BH25" s="168"/>
      <c r="BI25" s="53"/>
      <c r="BJ25" s="17"/>
      <c r="BK25" s="54"/>
      <c r="BL25" s="53"/>
      <c r="BM25" s="46"/>
      <c r="BN25" s="54"/>
      <c r="BO25" s="53">
        <v>15052.88800042</v>
      </c>
      <c r="BP25" s="46">
        <v>2.0662964499999998</v>
      </c>
      <c r="BQ25" s="167">
        <f>BO25*BP25</f>
        <v>31103.729037515441</v>
      </c>
      <c r="BR25" s="168"/>
      <c r="BS25" s="53"/>
      <c r="BT25" s="17"/>
      <c r="BU25" s="54"/>
      <c r="BV25" s="53"/>
      <c r="BW25" s="46"/>
      <c r="BX25" s="54"/>
      <c r="BY25" s="53">
        <v>15052.88800042</v>
      </c>
      <c r="BZ25" s="46">
        <v>2.06701625</v>
      </c>
      <c r="CA25" s="167">
        <f>BY25*BZ25</f>
        <v>31114.564106298149</v>
      </c>
      <c r="CB25" s="168"/>
      <c r="CC25" s="53"/>
      <c r="CD25" s="17"/>
      <c r="CE25" s="54"/>
      <c r="CF25" s="53"/>
      <c r="CG25" s="46"/>
      <c r="CH25" s="54"/>
      <c r="CI25" s="53">
        <v>15052.88800042</v>
      </c>
      <c r="CJ25" s="46">
        <v>2.0675718199999999</v>
      </c>
      <c r="CK25" s="167">
        <f>CI25*CJ25</f>
        <v>31122.927039284539</v>
      </c>
      <c r="CL25" s="168"/>
      <c r="CM25" s="53"/>
      <c r="CN25" s="17"/>
      <c r="CO25" s="54"/>
      <c r="CP25" s="53"/>
      <c r="CQ25" s="46"/>
      <c r="CR25" s="54"/>
      <c r="CS25" s="53">
        <v>15052.88800042</v>
      </c>
      <c r="CT25" s="46">
        <v>2.0681394499999999</v>
      </c>
      <c r="CU25" s="167">
        <f>CS25*CT25</f>
        <v>31131.471510100218</v>
      </c>
      <c r="CV25" s="168"/>
      <c r="CW25" s="53"/>
      <c r="CX25" s="17"/>
      <c r="CY25" s="54"/>
      <c r="CZ25" s="53"/>
      <c r="DA25" s="46"/>
      <c r="DB25" s="54"/>
      <c r="DC25" s="53">
        <v>15052.88800042</v>
      </c>
      <c r="DD25" s="46">
        <v>2.0681394499999999</v>
      </c>
      <c r="DE25" s="167">
        <f>DC25*DD25</f>
        <v>31131.471510100218</v>
      </c>
      <c r="DF25" s="168"/>
      <c r="DG25" s="53"/>
      <c r="DH25" s="17"/>
      <c r="DI25" s="54"/>
      <c r="DJ25" s="53"/>
      <c r="DK25" s="46"/>
      <c r="DL25" s="54"/>
      <c r="DM25" s="53">
        <v>15052.88800042</v>
      </c>
      <c r="DN25" s="46">
        <v>2.0691134199999999</v>
      </c>
      <c r="DO25" s="167">
        <f>DM25*DN25</f>
        <v>31146.132571425987</v>
      </c>
      <c r="DP25" s="168"/>
      <c r="DQ25" s="53"/>
      <c r="DR25" s="17"/>
      <c r="DS25" s="54"/>
      <c r="DT25" s="53"/>
      <c r="DU25" s="46"/>
      <c r="DV25" s="54"/>
      <c r="DW25" s="53">
        <v>15052.88800042</v>
      </c>
      <c r="DX25" s="46">
        <v>2.0700672099999999</v>
      </c>
      <c r="DY25" s="167">
        <f>DW25*DX25</f>
        <v>31160.489865471907</v>
      </c>
      <c r="DZ25" s="168"/>
      <c r="EA25" s="53"/>
      <c r="EB25" s="17"/>
      <c r="EC25" s="54"/>
      <c r="ED25" s="53"/>
      <c r="EE25" s="46"/>
      <c r="EF25" s="54"/>
      <c r="EG25" s="53">
        <v>15052.88800042</v>
      </c>
      <c r="EH25" s="46">
        <v>2.0705969799999999</v>
      </c>
      <c r="EI25" s="167">
        <f>EG25*EH25</f>
        <v>31168.464433947891</v>
      </c>
      <c r="EJ25" s="168"/>
      <c r="EK25" s="53"/>
      <c r="EL25" s="17"/>
      <c r="EM25" s="54"/>
      <c r="EN25" s="53"/>
      <c r="EO25" s="46"/>
      <c r="EP25" s="54"/>
      <c r="EQ25" s="53">
        <v>15052.88800042</v>
      </c>
      <c r="ER25" s="46">
        <v>2.0711844099999999</v>
      </c>
      <c r="ES25" s="167">
        <f>EQ25*ER25</f>
        <v>31177.306951945975</v>
      </c>
      <c r="ET25" s="168"/>
      <c r="EU25" s="53"/>
      <c r="EV25" s="17"/>
      <c r="EW25" s="54"/>
      <c r="EX25" s="53"/>
      <c r="EY25" s="46"/>
      <c r="EZ25" s="54"/>
      <c r="FA25" s="53">
        <v>15052.88800042</v>
      </c>
      <c r="FB25" s="46">
        <v>2.0716586600000002</v>
      </c>
      <c r="FC25" s="167">
        <f>FA25*FB25</f>
        <v>31184.445784080181</v>
      </c>
      <c r="FD25" s="168"/>
      <c r="FE25" s="53"/>
      <c r="FF25" s="17"/>
      <c r="FG25" s="54"/>
      <c r="FH25" s="53"/>
      <c r="FI25" s="46"/>
      <c r="FJ25" s="54"/>
      <c r="FK25" s="53">
        <v>15052.88800042</v>
      </c>
      <c r="FL25" s="46">
        <v>2.0721569899999999</v>
      </c>
      <c r="FM25" s="167">
        <f>FK25*FL25</f>
        <v>31191.947089757425</v>
      </c>
      <c r="FN25" s="168"/>
      <c r="FO25" s="53"/>
      <c r="FP25" s="17"/>
      <c r="FQ25" s="54"/>
      <c r="FR25" s="53"/>
      <c r="FS25" s="46"/>
      <c r="FT25" s="54"/>
      <c r="FU25" s="53">
        <v>15052.88800042</v>
      </c>
      <c r="FV25" s="46">
        <v>2.0726735399999998</v>
      </c>
      <c r="FW25" s="167">
        <f>FU25*FV25</f>
        <v>31199.722659054041</v>
      </c>
      <c r="FX25" s="168"/>
      <c r="FY25" s="53"/>
      <c r="FZ25" s="17"/>
      <c r="GA25" s="54"/>
      <c r="GB25" s="53"/>
      <c r="GC25" s="46"/>
      <c r="GD25" s="54"/>
      <c r="GE25" s="53">
        <v>15052.88800042</v>
      </c>
      <c r="GF25" s="46">
        <v>2.0731986600000001</v>
      </c>
      <c r="GG25" s="167">
        <f>GE25*GF25</f>
        <v>31207.627231600825</v>
      </c>
      <c r="GH25" s="168"/>
      <c r="GI25" s="53"/>
      <c r="GJ25" s="17"/>
      <c r="GK25" s="54"/>
      <c r="GL25" s="53"/>
      <c r="GM25" s="46"/>
      <c r="GN25" s="54"/>
      <c r="GO25" s="53">
        <v>15052.88800042</v>
      </c>
      <c r="GP25" s="46">
        <v>2.07371873</v>
      </c>
      <c r="GQ25" s="167">
        <f>GO25*GP25</f>
        <v>31215.455787063202</v>
      </c>
      <c r="GR25" s="168"/>
      <c r="GS25" s="53"/>
      <c r="GT25" s="17"/>
      <c r="GU25" s="54"/>
      <c r="GV25" s="53"/>
      <c r="GW25" s="46"/>
      <c r="GX25" s="54"/>
      <c r="GY25" s="53">
        <v>15052.88800042</v>
      </c>
      <c r="GZ25" s="46">
        <v>2.0743105900000001</v>
      </c>
      <c r="HA25" s="167">
        <f>GY25*GZ25</f>
        <v>31224.36498935513</v>
      </c>
      <c r="HB25" s="168"/>
      <c r="HC25" s="53"/>
      <c r="HD25" s="17"/>
      <c r="HE25" s="54"/>
      <c r="HF25" s="53"/>
      <c r="HG25" s="46"/>
      <c r="HH25" s="54"/>
      <c r="HI25" s="53">
        <v>15052.88800042</v>
      </c>
      <c r="HJ25" s="46">
        <v>2.0743105900000001</v>
      </c>
      <c r="HK25" s="167">
        <f>HI25*HJ25</f>
        <v>31224.36498935513</v>
      </c>
      <c r="HL25" s="168"/>
      <c r="HM25" s="53"/>
      <c r="HN25" s="17"/>
      <c r="HO25" s="54"/>
      <c r="HP25" s="53"/>
      <c r="HQ25" s="46"/>
      <c r="HR25" s="54"/>
      <c r="HS25" s="53">
        <v>15052.88800042</v>
      </c>
      <c r="HT25" s="46">
        <v>2.0749003699999999</v>
      </c>
      <c r="HU25" s="167">
        <f>HS25*HT25</f>
        <v>31233.242881640017</v>
      </c>
      <c r="HV25" s="168"/>
      <c r="HW25" s="53"/>
      <c r="HX25" s="17"/>
      <c r="HY25" s="54"/>
      <c r="HZ25" s="53"/>
      <c r="IA25" s="46"/>
      <c r="IB25" s="54"/>
      <c r="IC25" s="53">
        <v>15052.88800042</v>
      </c>
      <c r="ID25" s="46">
        <v>2.0756016399999999</v>
      </c>
      <c r="IE25" s="167">
        <f>IC25*ID25</f>
        <v>31243.799020408071</v>
      </c>
      <c r="IF25" s="168"/>
      <c r="IG25" s="53"/>
      <c r="IH25" s="17"/>
      <c r="II25" s="54"/>
      <c r="IJ25" s="53"/>
      <c r="IK25" s="46"/>
      <c r="IL25" s="54"/>
      <c r="IM25" s="53">
        <v>15052.88800042</v>
      </c>
      <c r="IN25" s="46">
        <v>2.0761477899999998</v>
      </c>
      <c r="IO25" s="167">
        <f>IM25*IN25</f>
        <v>31252.020155189501</v>
      </c>
      <c r="IP25" s="168"/>
      <c r="IQ25" s="53"/>
      <c r="IR25" s="17"/>
      <c r="IS25" s="54"/>
      <c r="IT25" s="53"/>
      <c r="IU25" s="46"/>
      <c r="IV25" s="54"/>
      <c r="IW25" s="53">
        <v>15052.88800042</v>
      </c>
      <c r="IX25" s="46">
        <v>2.0766958400000002</v>
      </c>
      <c r="IY25" s="167">
        <f>IW25*IX25</f>
        <v>31260.269890458134</v>
      </c>
      <c r="IZ25" s="168"/>
      <c r="JA25" s="53"/>
      <c r="JB25" s="17"/>
      <c r="JC25" s="54"/>
      <c r="JD25" s="53"/>
      <c r="JE25" s="46"/>
      <c r="JF25" s="54"/>
      <c r="JG25" s="53">
        <v>15052.88800042</v>
      </c>
      <c r="JH25" s="46">
        <v>2.0772531600000002</v>
      </c>
      <c r="JI25" s="167">
        <f>JG25*JH25</f>
        <v>31268.659165998528</v>
      </c>
      <c r="JJ25" s="168"/>
      <c r="JK25" s="53"/>
      <c r="JL25" s="17"/>
      <c r="JM25" s="54"/>
      <c r="JN25" s="53"/>
      <c r="JO25" s="46"/>
      <c r="JP25" s="54"/>
      <c r="JQ25" s="53">
        <v>15052.88800042</v>
      </c>
      <c r="JR25" s="46">
        <v>2.0780087100000002</v>
      </c>
      <c r="JS25" s="167">
        <f>JQ25*JR25</f>
        <v>31280.032375527247</v>
      </c>
      <c r="JT25" s="168"/>
      <c r="JU25" s="53"/>
      <c r="JV25" s="17"/>
      <c r="JW25" s="54"/>
      <c r="JX25" s="53"/>
      <c r="JY25" s="46"/>
      <c r="JZ25" s="54"/>
      <c r="KA25" s="53">
        <v>15052.88800042</v>
      </c>
      <c r="KB25" s="46">
        <v>2.0783589999999998</v>
      </c>
      <c r="KC25" s="167">
        <f>KA25*KB25</f>
        <v>31285.305251664908</v>
      </c>
      <c r="KD25" s="168"/>
      <c r="KE25" s="53"/>
      <c r="KF25" s="17"/>
      <c r="KG25" s="54"/>
      <c r="KH25" s="53"/>
      <c r="KI25" s="46"/>
      <c r="KJ25" s="54"/>
      <c r="KK25" s="53">
        <v>15052.88800042</v>
      </c>
      <c r="KL25" s="46">
        <v>2.0788622999999999</v>
      </c>
      <c r="KM25" s="167">
        <f>KK25*KL25</f>
        <v>31292.881370195522</v>
      </c>
      <c r="KN25" s="168"/>
      <c r="KO25" s="53"/>
      <c r="KP25" s="17"/>
      <c r="KQ25" s="54"/>
      <c r="KR25" s="53"/>
      <c r="KS25" s="46"/>
      <c r="KT25" s="54"/>
      <c r="KU25" s="53">
        <v>15052.88800042</v>
      </c>
      <c r="KV25" s="46">
        <v>2.0794990800000002</v>
      </c>
      <c r="KW25" s="167">
        <f>KU25*KV25</f>
        <v>31302.466748216433</v>
      </c>
      <c r="KX25" s="168"/>
      <c r="KY25" s="53"/>
      <c r="KZ25" s="17"/>
      <c r="LA25" s="54"/>
      <c r="LB25" s="53"/>
      <c r="LC25" s="46"/>
      <c r="LD25" s="54"/>
      <c r="LE25" s="53">
        <v>15052.88800042</v>
      </c>
      <c r="LF25" s="46">
        <v>2.08027176</v>
      </c>
      <c r="LG25" s="167">
        <f t="shared" si="41"/>
        <v>31314.097813716595</v>
      </c>
      <c r="LH25" s="168"/>
      <c r="LI25" s="53"/>
      <c r="LJ25" s="17"/>
      <c r="LK25" s="54"/>
      <c r="LL25" s="53"/>
      <c r="LM25" s="46"/>
      <c r="LN25" s="54"/>
      <c r="LO25" s="53">
        <v>15052.88800042</v>
      </c>
      <c r="LP25" s="46">
        <v>2.0808656399999998</v>
      </c>
      <c r="LQ25" s="167">
        <f t="shared" si="42"/>
        <v>31323.037422842281</v>
      </c>
      <c r="LR25" s="168"/>
      <c r="LS25" s="53"/>
      <c r="LT25" s="17"/>
      <c r="LU25" s="54"/>
      <c r="LV25" s="53"/>
      <c r="LW25" s="46"/>
      <c r="LX25" s="54"/>
      <c r="LY25" s="53">
        <v>15052.88800042</v>
      </c>
      <c r="LZ25" s="46">
        <v>2.0814306199999999</v>
      </c>
      <c r="MA25" s="167">
        <f t="shared" si="43"/>
        <v>31331.542003504761</v>
      </c>
      <c r="MB25" s="168"/>
      <c r="MC25" s="53"/>
      <c r="MD25" s="17"/>
      <c r="ME25" s="54"/>
      <c r="MF25" s="53"/>
      <c r="MG25" s="46"/>
      <c r="MH25" s="54"/>
      <c r="MI25" s="53">
        <v>15052.88800042</v>
      </c>
      <c r="MJ25" s="46">
        <v>2.0819680900000002</v>
      </c>
      <c r="MK25" s="167">
        <f t="shared" si="44"/>
        <v>31339.632479218348</v>
      </c>
      <c r="ML25" s="168"/>
      <c r="MM25" s="53"/>
      <c r="MN25" s="17"/>
      <c r="MO25" s="54"/>
      <c r="MP25" s="53"/>
      <c r="MQ25" s="46"/>
      <c r="MR25" s="54"/>
      <c r="MS25" s="53"/>
      <c r="MT25" s="46"/>
      <c r="MU25" s="167">
        <f t="shared" si="45"/>
        <v>0</v>
      </c>
      <c r="MV25" s="168"/>
      <c r="MW25" s="53"/>
      <c r="MX25" s="17"/>
      <c r="MY25" s="54"/>
      <c r="MZ25" s="53"/>
      <c r="NA25" s="46"/>
      <c r="NB25" s="54"/>
      <c r="NC25" s="53">
        <v>15052.88800042</v>
      </c>
      <c r="ND25" s="46">
        <v>2.0830682999999999</v>
      </c>
      <c r="NE25" s="167">
        <f t="shared" si="46"/>
        <v>31356.193817125288</v>
      </c>
      <c r="NF25" s="168"/>
      <c r="NG25" s="53"/>
      <c r="NH25" s="17"/>
      <c r="NI25" s="54"/>
      <c r="NJ25" s="53"/>
      <c r="NK25" s="46"/>
      <c r="NL25" s="54"/>
      <c r="NM25" s="53">
        <v>15052.88800042</v>
      </c>
      <c r="NN25" s="46">
        <v>2.0835169800000002</v>
      </c>
      <c r="NO25" s="167">
        <f t="shared" si="47"/>
        <v>31362.94774691332</v>
      </c>
      <c r="NP25" s="168"/>
      <c r="NQ25" s="53"/>
      <c r="NR25" s="17"/>
      <c r="NS25" s="54"/>
      <c r="NT25" s="53"/>
      <c r="NU25" s="46"/>
      <c r="NV25" s="54"/>
      <c r="NW25" s="53">
        <v>15052.88800042</v>
      </c>
      <c r="NX25" s="46">
        <v>2.0841622499999999</v>
      </c>
      <c r="NY25" s="167">
        <f t="shared" si="48"/>
        <v>31372.660923953346</v>
      </c>
      <c r="NZ25" s="168"/>
      <c r="OA25" s="53"/>
      <c r="OB25" s="17"/>
      <c r="OC25" s="54"/>
      <c r="OD25" s="53"/>
      <c r="OE25" s="46"/>
      <c r="OF25" s="54"/>
      <c r="OG25" s="53">
        <v>13958.55831998</v>
      </c>
      <c r="OH25" s="46">
        <v>2.0848933000000001</v>
      </c>
      <c r="OI25" s="167">
        <f t="shared" si="49"/>
        <v>29102.10471898556</v>
      </c>
      <c r="OJ25" s="168"/>
      <c r="OK25" s="53"/>
      <c r="OL25" s="17"/>
      <c r="OM25" s="54"/>
      <c r="ON25" s="53"/>
      <c r="OO25" s="46"/>
      <c r="OP25" s="54"/>
      <c r="OQ25" s="53"/>
      <c r="OR25" s="46"/>
      <c r="OS25" s="167">
        <f t="shared" si="50"/>
        <v>0</v>
      </c>
      <c r="OT25" s="168"/>
      <c r="OU25" s="53"/>
      <c r="OV25" s="17"/>
      <c r="OW25" s="54"/>
      <c r="OX25" s="53"/>
      <c r="OY25" s="46"/>
      <c r="OZ25" s="54"/>
      <c r="PA25" s="53"/>
      <c r="PB25" s="46"/>
      <c r="PC25" s="167">
        <f t="shared" si="51"/>
        <v>0</v>
      </c>
      <c r="PD25" s="168"/>
      <c r="PE25" s="53"/>
      <c r="PF25" s="17"/>
      <c r="PG25" s="54"/>
      <c r="PH25" s="53"/>
      <c r="PI25" s="46"/>
      <c r="PJ25" s="54"/>
      <c r="PK25" s="53"/>
      <c r="PL25" s="46"/>
      <c r="PM25" s="167">
        <f t="shared" si="52"/>
        <v>0</v>
      </c>
      <c r="PN25" s="168"/>
      <c r="PO25" s="53"/>
      <c r="PP25" s="17"/>
      <c r="PQ25" s="54"/>
      <c r="PR25" s="53"/>
      <c r="PS25" s="46"/>
      <c r="PT25" s="54"/>
      <c r="PU25" s="53"/>
      <c r="PV25" s="46"/>
      <c r="PW25" s="167">
        <f t="shared" si="53"/>
        <v>0</v>
      </c>
      <c r="PX25" s="168"/>
      <c r="PY25" s="53"/>
      <c r="PZ25" s="17"/>
      <c r="QA25" s="54"/>
      <c r="QB25" s="53"/>
      <c r="QC25" s="46"/>
      <c r="QD25" s="54"/>
      <c r="QE25" s="53"/>
      <c r="QF25" s="46"/>
      <c r="QG25" s="167">
        <f t="shared" si="54"/>
        <v>0</v>
      </c>
      <c r="QH25" s="168"/>
      <c r="QI25" s="53"/>
      <c r="QJ25" s="17"/>
      <c r="QK25" s="54"/>
      <c r="QL25" s="53"/>
      <c r="QM25" s="46"/>
      <c r="QN25" s="54"/>
      <c r="QO25" s="53"/>
      <c r="QP25" s="46"/>
      <c r="QQ25" s="167">
        <f t="shared" si="55"/>
        <v>0</v>
      </c>
      <c r="QR25" s="168"/>
      <c r="QS25" s="53"/>
      <c r="QT25" s="17"/>
      <c r="QU25" s="54"/>
      <c r="QV25" s="53"/>
      <c r="QW25" s="46"/>
      <c r="QX25" s="54"/>
      <c r="QY25" s="53"/>
      <c r="QZ25" s="46"/>
      <c r="RA25" s="167">
        <f t="shared" si="56"/>
        <v>0</v>
      </c>
      <c r="RB25" s="168"/>
      <c r="RC25" s="53"/>
      <c r="RD25" s="17"/>
      <c r="RE25" s="54"/>
      <c r="RF25" s="53"/>
      <c r="RG25" s="46"/>
      <c r="RH25" s="54"/>
      <c r="RI25" s="53"/>
      <c r="RJ25" s="46"/>
      <c r="RK25" s="167">
        <f t="shared" si="57"/>
        <v>0</v>
      </c>
      <c r="RL25" s="168"/>
      <c r="RM25" s="53"/>
      <c r="RN25" s="17"/>
      <c r="RO25" s="54"/>
      <c r="RP25" s="53"/>
      <c r="RQ25" s="46"/>
      <c r="RR25" s="54"/>
      <c r="RS25" s="53"/>
      <c r="RT25" s="46"/>
      <c r="RU25" s="167">
        <f t="shared" si="58"/>
        <v>0</v>
      </c>
    </row>
    <row r="26" spans="1:489" ht="15.75" customHeight="1" thickBot="1" x14ac:dyDescent="0.3">
      <c r="A26" s="88" t="s">
        <v>174</v>
      </c>
      <c r="B26" s="46"/>
      <c r="C26" s="17"/>
      <c r="D26" s="54"/>
      <c r="E26" s="53"/>
      <c r="F26" s="46"/>
      <c r="G26" s="54"/>
      <c r="H26" s="53"/>
      <c r="I26" s="46"/>
      <c r="J26" s="167"/>
      <c r="K26" s="53"/>
      <c r="L26" s="17"/>
      <c r="M26" s="54"/>
      <c r="N26" s="53"/>
      <c r="O26" s="46"/>
      <c r="P26" s="54"/>
      <c r="Q26" s="53"/>
      <c r="R26" s="46"/>
      <c r="S26" s="167"/>
      <c r="T26" s="168"/>
      <c r="U26" s="53"/>
      <c r="V26" s="17"/>
      <c r="W26" s="54"/>
      <c r="X26" s="53"/>
      <c r="Y26" s="46"/>
      <c r="Z26" s="54"/>
      <c r="AA26" s="53"/>
      <c r="AB26" s="46"/>
      <c r="AC26" s="167"/>
      <c r="AD26" s="168"/>
      <c r="AE26" s="53"/>
      <c r="AF26" s="17"/>
      <c r="AG26" s="170">
        <f>SUM(AG18:AG25)</f>
        <v>0</v>
      </c>
      <c r="AH26" s="53"/>
      <c r="AI26" s="46"/>
      <c r="AJ26" s="170">
        <f>SUM(AJ18:AJ25)</f>
        <v>0</v>
      </c>
      <c r="AK26" s="53"/>
      <c r="AL26" s="46"/>
      <c r="AM26" s="170">
        <f>SUM(AM18:AM25)</f>
        <v>145676021.61335376</v>
      </c>
      <c r="AN26" s="168"/>
      <c r="AO26" s="53"/>
      <c r="AP26" s="17"/>
      <c r="AQ26" s="170">
        <f>SUM(AQ18:AQ25)</f>
        <v>0</v>
      </c>
      <c r="AR26" s="53"/>
      <c r="AS26" s="46"/>
      <c r="AT26" s="170">
        <f>SUM(AT18:AT25)</f>
        <v>0</v>
      </c>
      <c r="AU26" s="53"/>
      <c r="AV26" s="46"/>
      <c r="AW26" s="170">
        <f>SUM(AW18:AW25)</f>
        <v>145676021.61335376</v>
      </c>
      <c r="AX26" s="168"/>
      <c r="AY26" s="53"/>
      <c r="AZ26" s="17"/>
      <c r="BA26" s="170">
        <f>SUM(BA18:BA25)</f>
        <v>0</v>
      </c>
      <c r="BB26" s="53"/>
      <c r="BC26" s="46"/>
      <c r="BD26" s="170">
        <f>SUM(BD18:BD25)</f>
        <v>0</v>
      </c>
      <c r="BE26" s="53"/>
      <c r="BF26" s="46"/>
      <c r="BG26" s="170">
        <f>SUM(BG18:BG25)+0.01</f>
        <v>145589465.42176393</v>
      </c>
      <c r="BH26" s="168"/>
      <c r="BI26" s="53"/>
      <c r="BJ26" s="17"/>
      <c r="BK26" s="170">
        <f>SUM(BK18:BK25)</f>
        <v>0</v>
      </c>
      <c r="BL26" s="53"/>
      <c r="BM26" s="46"/>
      <c r="BN26" s="170">
        <f>SUM(BN18:BN25)</f>
        <v>0</v>
      </c>
      <c r="BO26" s="53"/>
      <c r="BP26" s="46"/>
      <c r="BQ26" s="170">
        <f>SUM(BQ18:BQ25)+0.01</f>
        <v>145923197.81660232</v>
      </c>
      <c r="BR26" s="168"/>
      <c r="BS26" s="53"/>
      <c r="BT26" s="17"/>
      <c r="BU26" s="170">
        <f>SUM(BU18:BU25)</f>
        <v>0</v>
      </c>
      <c r="BV26" s="53"/>
      <c r="BW26" s="46"/>
      <c r="BX26" s="170">
        <f>SUM(BX18:BX25)</f>
        <v>0</v>
      </c>
      <c r="BY26" s="53"/>
      <c r="BZ26" s="46"/>
      <c r="CA26" s="170">
        <f>SUM(CA18:CA25)+0.01</f>
        <v>146000566.65739185</v>
      </c>
      <c r="CB26" s="168"/>
      <c r="CC26" s="53"/>
      <c r="CD26" s="17"/>
      <c r="CE26" s="170">
        <f>SUM(CE18:CE25)</f>
        <v>0</v>
      </c>
      <c r="CF26" s="53"/>
      <c r="CG26" s="46"/>
      <c r="CH26" s="170">
        <f>SUM(CH18:CH25)</f>
        <v>0</v>
      </c>
      <c r="CI26" s="53"/>
      <c r="CJ26" s="46"/>
      <c r="CK26" s="170">
        <f>SUM(CK18:CK25)+0.01</f>
        <v>146050513.75261259</v>
      </c>
      <c r="CL26" s="168"/>
      <c r="CM26" s="53"/>
      <c r="CN26" s="17"/>
      <c r="CO26" s="170">
        <f>SUM(CO18:CO25)</f>
        <v>0</v>
      </c>
      <c r="CP26" s="53"/>
      <c r="CQ26" s="46"/>
      <c r="CR26" s="170">
        <f>SUM(CR18:CR25)</f>
        <v>0</v>
      </c>
      <c r="CS26" s="53"/>
      <c r="CT26" s="46"/>
      <c r="CU26" s="170">
        <f>SUM(CU18:CU25)</f>
        <v>146182850.96899658</v>
      </c>
      <c r="CV26" s="168"/>
      <c r="CW26" s="53"/>
      <c r="CX26" s="17"/>
      <c r="CY26" s="170">
        <f>SUM(CY18:CY25)</f>
        <v>0</v>
      </c>
      <c r="CZ26" s="53"/>
      <c r="DA26" s="46"/>
      <c r="DB26" s="170">
        <f>SUM(DB18:DB25)</f>
        <v>0</v>
      </c>
      <c r="DC26" s="53"/>
      <c r="DD26" s="46"/>
      <c r="DE26" s="170">
        <f>SUM(DE18:DE25)</f>
        <v>146182850.96899658</v>
      </c>
      <c r="DF26" s="168"/>
      <c r="DG26" s="53"/>
      <c r="DH26" s="17"/>
      <c r="DI26" s="170">
        <f>SUM(DI18:DI25)</f>
        <v>0</v>
      </c>
      <c r="DJ26" s="53"/>
      <c r="DK26" s="46"/>
      <c r="DL26" s="170">
        <f>SUM(DL18:DL25)</f>
        <v>0</v>
      </c>
      <c r="DM26" s="53"/>
      <c r="DN26" s="46"/>
      <c r="DO26" s="170">
        <f>SUM(DO18:DO25)</f>
        <v>146430589.58801353</v>
      </c>
      <c r="DP26" s="168"/>
      <c r="DQ26" s="53"/>
      <c r="DR26" s="17"/>
      <c r="DS26" s="170">
        <f>SUM(DS18:DS25)</f>
        <v>0</v>
      </c>
      <c r="DT26" s="53"/>
      <c r="DU26" s="46"/>
      <c r="DV26" s="170">
        <f>SUM(DV18:DV25)</f>
        <v>0</v>
      </c>
      <c r="DW26" s="53"/>
      <c r="DX26" s="46"/>
      <c r="DY26" s="170">
        <f>SUM(DY18:DY25)</f>
        <v>146314322.63517675</v>
      </c>
      <c r="DZ26" s="168"/>
      <c r="EA26" s="53"/>
      <c r="EB26" s="17"/>
      <c r="EC26" s="170">
        <f>SUM(EC18:EC25)</f>
        <v>0</v>
      </c>
      <c r="ED26" s="53"/>
      <c r="EE26" s="46"/>
      <c r="EF26" s="170">
        <f>SUM(EF18:EF25)</f>
        <v>0</v>
      </c>
      <c r="EG26" s="53"/>
      <c r="EH26" s="46"/>
      <c r="EI26" s="170">
        <f>SUM(EI18:EI25)</f>
        <v>146394825.40373644</v>
      </c>
      <c r="EJ26" s="168"/>
      <c r="EK26" s="53"/>
      <c r="EL26" s="17"/>
      <c r="EM26" s="170">
        <f>SUM(EM18:EM25)</f>
        <v>0</v>
      </c>
      <c r="EN26" s="53"/>
      <c r="EO26" s="46"/>
      <c r="EP26" s="170">
        <f>SUM(EP18:EP25)</f>
        <v>0</v>
      </c>
      <c r="EQ26" s="53"/>
      <c r="ER26" s="46"/>
      <c r="ES26" s="170">
        <f>SUM(ES18:ES25)</f>
        <v>146690443.05571935</v>
      </c>
      <c r="ET26" s="168"/>
      <c r="EU26" s="53"/>
      <c r="EV26" s="17"/>
      <c r="EW26" s="170">
        <f>SUM(EW18:EW25)</f>
        <v>0</v>
      </c>
      <c r="EX26" s="53"/>
      <c r="EY26" s="46"/>
      <c r="EZ26" s="170">
        <f>SUM(EZ18:EZ25)</f>
        <v>0</v>
      </c>
      <c r="FA26" s="53"/>
      <c r="FB26" s="46"/>
      <c r="FC26" s="170">
        <f>SUM(FC18:FC25)</f>
        <v>146770743.47910365</v>
      </c>
      <c r="FD26" s="168"/>
      <c r="FE26" s="53"/>
      <c r="FF26" s="17"/>
      <c r="FG26" s="170">
        <f>SUM(FG18:FG25)</f>
        <v>0</v>
      </c>
      <c r="FH26" s="53"/>
      <c r="FI26" s="46"/>
      <c r="FJ26" s="170">
        <f>SUM(FJ18:FJ25)</f>
        <v>0</v>
      </c>
      <c r="FK26" s="53"/>
      <c r="FL26" s="46"/>
      <c r="FM26" s="170">
        <f>SUM(FM18:FM25)</f>
        <v>146846369.26405153</v>
      </c>
      <c r="FN26" s="168"/>
      <c r="FO26" s="53"/>
      <c r="FP26" s="17"/>
      <c r="FQ26" s="170">
        <f>SUM(FQ18:FQ25)</f>
        <v>0</v>
      </c>
      <c r="FR26" s="53"/>
      <c r="FS26" s="46"/>
      <c r="FT26" s="170">
        <f>SUM(FT18:FT25)</f>
        <v>0</v>
      </c>
      <c r="FU26" s="53"/>
      <c r="FV26" s="46"/>
      <c r="FW26" s="170">
        <f>SUM(FW18:FW25)</f>
        <v>146912349.89858219</v>
      </c>
      <c r="FX26" s="168"/>
      <c r="FY26" s="53"/>
      <c r="FZ26" s="17"/>
      <c r="GA26" s="170">
        <f>SUM(GA18:GA25)</f>
        <v>0</v>
      </c>
      <c r="GB26" s="53"/>
      <c r="GC26" s="46"/>
      <c r="GD26" s="170">
        <f>SUM(GD18:GD25)</f>
        <v>0</v>
      </c>
      <c r="GE26" s="53"/>
      <c r="GF26" s="46"/>
      <c r="GG26" s="170">
        <f>SUM(GG18:GG25)</f>
        <v>147024774.2239863</v>
      </c>
      <c r="GH26" s="168"/>
      <c r="GI26" s="53"/>
      <c r="GJ26" s="17"/>
      <c r="GK26" s="170">
        <f>SUM(GK18:GK25)</f>
        <v>0</v>
      </c>
      <c r="GL26" s="53"/>
      <c r="GM26" s="46"/>
      <c r="GN26" s="170">
        <f>SUM(GN18:GN25)</f>
        <v>0</v>
      </c>
      <c r="GO26" s="53"/>
      <c r="GP26" s="46"/>
      <c r="GQ26" s="170">
        <f>SUM(GQ18:GQ25)</f>
        <v>147130664.25944597</v>
      </c>
      <c r="GR26" s="168"/>
      <c r="GS26" s="53"/>
      <c r="GT26" s="17"/>
      <c r="GU26" s="170">
        <f>SUM(GU18:GU25)</f>
        <v>0</v>
      </c>
      <c r="GV26" s="53"/>
      <c r="GW26" s="46"/>
      <c r="GX26" s="170">
        <f>SUM(GX18:GX25)</f>
        <v>0</v>
      </c>
      <c r="GY26" s="53"/>
      <c r="GZ26" s="46"/>
      <c r="HA26" s="170">
        <f>SUM(HA18:HA25)</f>
        <v>144212388.45272794</v>
      </c>
      <c r="HB26" s="168"/>
      <c r="HC26" s="53"/>
      <c r="HD26" s="17"/>
      <c r="HE26" s="170">
        <f>SUM(HE18:HE25)</f>
        <v>0</v>
      </c>
      <c r="HF26" s="53"/>
      <c r="HG26" s="46"/>
      <c r="HH26" s="170">
        <f>SUM(HH18:HH25)</f>
        <v>0</v>
      </c>
      <c r="HI26" s="53"/>
      <c r="HJ26" s="46"/>
      <c r="HK26" s="170">
        <f>SUM(HK18:HK25)</f>
        <v>144212388.45272794</v>
      </c>
      <c r="HL26" s="168"/>
      <c r="HM26" s="53"/>
      <c r="HN26" s="17"/>
      <c r="HO26" s="170">
        <f>SUM(HO18:HO25)</f>
        <v>0</v>
      </c>
      <c r="HP26" s="53"/>
      <c r="HQ26" s="46"/>
      <c r="HR26" s="170">
        <f>SUM(HR18:HR25)</f>
        <v>0</v>
      </c>
      <c r="HS26" s="53"/>
      <c r="HT26" s="46"/>
      <c r="HU26" s="170">
        <f>SUM(HU18:HU25)</f>
        <v>147233524.12478042</v>
      </c>
      <c r="HV26" s="168"/>
      <c r="HW26" s="53"/>
      <c r="HX26" s="17"/>
      <c r="HY26" s="170">
        <f>SUM(HY18:HY25)</f>
        <v>0</v>
      </c>
      <c r="HZ26" s="53"/>
      <c r="IA26" s="46"/>
      <c r="IB26" s="170">
        <f>SUM(IB18:IB25)</f>
        <v>0</v>
      </c>
      <c r="IC26" s="53"/>
      <c r="ID26" s="46"/>
      <c r="IE26" s="170">
        <f>SUM(IE18:IE25)</f>
        <v>147276934.60231441</v>
      </c>
      <c r="IF26" s="168"/>
      <c r="IG26" s="53"/>
      <c r="IH26" s="17"/>
      <c r="II26" s="170">
        <f>SUM(II18:II25)</f>
        <v>0</v>
      </c>
      <c r="IJ26" s="53"/>
      <c r="IK26" s="46"/>
      <c r="IL26" s="170">
        <f>SUM(IL18:IL25)</f>
        <v>0</v>
      </c>
      <c r="IM26" s="53"/>
      <c r="IN26" s="46"/>
      <c r="IO26" s="170">
        <f>SUM(IO18:IO25)</f>
        <v>147297820.57968053</v>
      </c>
      <c r="IP26" s="168"/>
      <c r="IQ26" s="53"/>
      <c r="IR26" s="17"/>
      <c r="IS26" s="170">
        <f>SUM(IS18:IS25)</f>
        <v>0</v>
      </c>
      <c r="IT26" s="53"/>
      <c r="IU26" s="46"/>
      <c r="IV26" s="170">
        <f>SUM(IV18:IV25)</f>
        <v>0</v>
      </c>
      <c r="IW26" s="53"/>
      <c r="IX26" s="46"/>
      <c r="IY26" s="170">
        <f>SUM(IY18:IY25)</f>
        <v>147257338.17322034</v>
      </c>
      <c r="IZ26" s="168"/>
      <c r="JA26" s="53"/>
      <c r="JB26" s="17"/>
      <c r="JC26" s="170">
        <f>SUM(JC18:JC25)</f>
        <v>0</v>
      </c>
      <c r="JD26" s="53"/>
      <c r="JE26" s="46"/>
      <c r="JF26" s="170">
        <f>SUM(JF18:JF25)</f>
        <v>0</v>
      </c>
      <c r="JG26" s="53"/>
      <c r="JH26" s="46"/>
      <c r="JI26" s="170">
        <f>SUM(JI18:JI25)</f>
        <v>147339779.91479751</v>
      </c>
      <c r="JJ26" s="168"/>
      <c r="JK26" s="53"/>
      <c r="JL26" s="17"/>
      <c r="JM26" s="170">
        <f>SUM(JM18:JM25)</f>
        <v>0</v>
      </c>
      <c r="JN26" s="53"/>
      <c r="JO26" s="46"/>
      <c r="JP26" s="170">
        <f>SUM(JP18:JP25)</f>
        <v>0</v>
      </c>
      <c r="JQ26" s="53"/>
      <c r="JR26" s="46"/>
      <c r="JS26" s="170">
        <f>SUM(JS18:JS25)</f>
        <v>147383662.33080646</v>
      </c>
      <c r="JT26" s="168"/>
      <c r="JU26" s="53"/>
      <c r="JV26" s="17"/>
      <c r="JW26" s="170">
        <f>SUM(JW18:JW25)</f>
        <v>0</v>
      </c>
      <c r="JX26" s="53"/>
      <c r="JY26" s="46"/>
      <c r="JZ26" s="170">
        <f>SUM(JZ18:JZ25)</f>
        <v>0</v>
      </c>
      <c r="KA26" s="53"/>
      <c r="KB26" s="46"/>
      <c r="KC26" s="170">
        <f>SUM(KC18:KC25)</f>
        <v>147426687.50390762</v>
      </c>
      <c r="KD26" s="168"/>
      <c r="KE26" s="53"/>
      <c r="KF26" s="17"/>
      <c r="KG26" s="170">
        <f>SUM(KG18:KG25)</f>
        <v>0</v>
      </c>
      <c r="KH26" s="53"/>
      <c r="KI26" s="46"/>
      <c r="KJ26" s="170">
        <f>SUM(KJ18:KJ25)</f>
        <v>0</v>
      </c>
      <c r="KK26" s="53"/>
      <c r="KL26" s="46"/>
      <c r="KM26" s="170">
        <f>SUM(KM18:KM25)</f>
        <v>147502328.13318881</v>
      </c>
      <c r="KN26" s="168"/>
      <c r="KO26" s="53"/>
      <c r="KP26" s="17"/>
      <c r="KQ26" s="170">
        <f>SUM(KQ18:KQ25)</f>
        <v>0</v>
      </c>
      <c r="KR26" s="53"/>
      <c r="KS26" s="46"/>
      <c r="KT26" s="170">
        <f>SUM(KT18:KT25)</f>
        <v>0</v>
      </c>
      <c r="KU26" s="53"/>
      <c r="KV26" s="46"/>
      <c r="KW26" s="170">
        <f>SUM(KW18:KW25)</f>
        <v>147570617.61723852</v>
      </c>
      <c r="KX26" s="168"/>
      <c r="KY26" s="53"/>
      <c r="KZ26" s="17"/>
      <c r="LA26" s="170">
        <f>SUM(LA18:LA25)</f>
        <v>0</v>
      </c>
      <c r="LB26" s="53"/>
      <c r="LC26" s="46"/>
      <c r="LD26" s="170">
        <f>SUM(LD18:LD25)</f>
        <v>0</v>
      </c>
      <c r="LE26" s="53"/>
      <c r="LF26" s="46"/>
      <c r="LG26" s="170">
        <f>SUM(LG18:LG25)</f>
        <v>147667916.07098097</v>
      </c>
      <c r="LH26" s="168"/>
      <c r="LI26" s="53"/>
      <c r="LJ26" s="17"/>
      <c r="LK26" s="170">
        <f>SUM(LK18:LK25)</f>
        <v>0</v>
      </c>
      <c r="LL26" s="53"/>
      <c r="LM26" s="46"/>
      <c r="LN26" s="170">
        <f>SUM(LN18:LN25)</f>
        <v>0</v>
      </c>
      <c r="LO26" s="53"/>
      <c r="LP26" s="46"/>
      <c r="LQ26" s="170">
        <f>SUM(LQ18:LQ25)</f>
        <v>147751530.70179567</v>
      </c>
      <c r="LR26" s="168"/>
      <c r="LS26" s="53"/>
      <c r="LT26" s="17"/>
      <c r="LU26" s="170">
        <f>SUM(LU18:LU25)</f>
        <v>0</v>
      </c>
      <c r="LV26" s="53"/>
      <c r="LW26" s="46"/>
      <c r="LX26" s="170">
        <f>SUM(LX18:LX25)</f>
        <v>0</v>
      </c>
      <c r="LY26" s="53"/>
      <c r="LZ26" s="46"/>
      <c r="MA26" s="170">
        <f>SUM(MA18:MA25)</f>
        <v>147957373.55351534</v>
      </c>
      <c r="MB26" s="168"/>
      <c r="MC26" s="53"/>
      <c r="MD26" s="17"/>
      <c r="ME26" s="170">
        <f>SUM(ME18:ME25)</f>
        <v>0</v>
      </c>
      <c r="MF26" s="53"/>
      <c r="MG26" s="46"/>
      <c r="MH26" s="170">
        <f>SUM(MH18:MH25)</f>
        <v>0</v>
      </c>
      <c r="MI26" s="53"/>
      <c r="MJ26" s="46"/>
      <c r="MK26" s="170">
        <f>SUM(MK18:MK25)</f>
        <v>148081621.56836563</v>
      </c>
      <c r="ML26" s="168"/>
      <c r="MM26" s="53"/>
      <c r="MN26" s="17"/>
      <c r="MO26" s="170">
        <f>SUM(MO18:MO25)</f>
        <v>0</v>
      </c>
      <c r="MP26" s="53"/>
      <c r="MQ26" s="46"/>
      <c r="MR26" s="170">
        <f>SUM(MR18:MR25)</f>
        <v>0</v>
      </c>
      <c r="MS26" s="53"/>
      <c r="MT26" s="46"/>
      <c r="MU26" s="170">
        <f>SUM(MU18:MU25)</f>
        <v>0</v>
      </c>
      <c r="MV26" s="168"/>
      <c r="MW26" s="53"/>
      <c r="MX26" s="17"/>
      <c r="MY26" s="170">
        <f>SUM(MY18:MY25)</f>
        <v>0</v>
      </c>
      <c r="MZ26" s="53"/>
      <c r="NA26" s="46"/>
      <c r="NB26" s="170">
        <f>SUM(NB18:NB25)</f>
        <v>0</v>
      </c>
      <c r="NC26" s="53"/>
      <c r="ND26" s="46"/>
      <c r="NE26" s="170">
        <f>SUM(NE18:NE25)</f>
        <v>148295483.60295445</v>
      </c>
      <c r="NF26" s="168"/>
      <c r="NG26" s="53"/>
      <c r="NH26" s="17"/>
      <c r="NI26" s="170">
        <f>SUM(NI18:NI25)</f>
        <v>0</v>
      </c>
      <c r="NJ26" s="53"/>
      <c r="NK26" s="46"/>
      <c r="NL26" s="170">
        <f>SUM(NL18:NL25)</f>
        <v>0</v>
      </c>
      <c r="NM26" s="53"/>
      <c r="NN26" s="46"/>
      <c r="NO26" s="170">
        <f>SUM(NO18:NO25)</f>
        <v>148366068.98011321</v>
      </c>
      <c r="NP26" s="168"/>
      <c r="NQ26" s="53"/>
      <c r="NR26" s="17"/>
      <c r="NS26" s="170">
        <f>SUM(NS18:NS25)</f>
        <v>0</v>
      </c>
      <c r="NT26" s="53"/>
      <c r="NU26" s="46"/>
      <c r="NV26" s="170">
        <f>SUM(NV18:NV25)</f>
        <v>0</v>
      </c>
      <c r="NW26" s="53"/>
      <c r="NX26" s="46"/>
      <c r="NY26" s="170">
        <f>SUM(NY18:NY25)</f>
        <v>148457461.8942107</v>
      </c>
      <c r="NZ26" s="168"/>
      <c r="OA26" s="53"/>
      <c r="OB26" s="17"/>
      <c r="OC26" s="170">
        <f>SUM(OC18:OC25)</f>
        <v>0</v>
      </c>
      <c r="OD26" s="53"/>
      <c r="OE26" s="46"/>
      <c r="OF26" s="170">
        <f>SUM(OF18:OF25)</f>
        <v>0</v>
      </c>
      <c r="OG26" s="53"/>
      <c r="OH26" s="46"/>
      <c r="OI26" s="170">
        <f>SUM(OI18:OI25)</f>
        <v>148568841.68477136</v>
      </c>
      <c r="OJ26" s="168"/>
      <c r="OK26" s="53"/>
      <c r="OL26" s="17"/>
      <c r="OM26" s="170">
        <f>SUM(OM18:OM25)</f>
        <v>0</v>
      </c>
      <c r="ON26" s="53"/>
      <c r="OO26" s="46"/>
      <c r="OP26" s="170">
        <f>SUM(OP18:OP25)</f>
        <v>0</v>
      </c>
      <c r="OQ26" s="53"/>
      <c r="OR26" s="46"/>
      <c r="OS26" s="170">
        <f>SUM(OS18:OS25)</f>
        <v>0</v>
      </c>
      <c r="OT26" s="168"/>
      <c r="OU26" s="53"/>
      <c r="OV26" s="17"/>
      <c r="OW26" s="170">
        <f>SUM(OW18:OW25)</f>
        <v>0</v>
      </c>
      <c r="OX26" s="53"/>
      <c r="OY26" s="46"/>
      <c r="OZ26" s="170">
        <f>SUM(OZ18:OZ25)</f>
        <v>0</v>
      </c>
      <c r="PA26" s="53"/>
      <c r="PB26" s="46"/>
      <c r="PC26" s="170">
        <f>SUM(PC18:PC25)</f>
        <v>0</v>
      </c>
      <c r="PD26" s="168"/>
      <c r="PE26" s="53"/>
      <c r="PF26" s="17"/>
      <c r="PG26" s="170">
        <f>SUM(PG18:PG25)</f>
        <v>0</v>
      </c>
      <c r="PH26" s="53"/>
      <c r="PI26" s="46"/>
      <c r="PJ26" s="170">
        <f>SUM(PJ18:PJ25)</f>
        <v>0</v>
      </c>
      <c r="PK26" s="53"/>
      <c r="PL26" s="46"/>
      <c r="PM26" s="170">
        <f>SUM(PM18:PM25)</f>
        <v>0</v>
      </c>
      <c r="PN26" s="168"/>
      <c r="PO26" s="53"/>
      <c r="PP26" s="17"/>
      <c r="PQ26" s="170">
        <f>SUM(PQ18:PQ25)</f>
        <v>0</v>
      </c>
      <c r="PR26" s="53"/>
      <c r="PS26" s="46"/>
      <c r="PT26" s="170">
        <f>SUM(PT18:PT25)</f>
        <v>0</v>
      </c>
      <c r="PU26" s="53"/>
      <c r="PV26" s="46"/>
      <c r="PW26" s="170">
        <f>SUM(PW18:PW25)</f>
        <v>0</v>
      </c>
      <c r="PX26" s="168"/>
      <c r="PY26" s="53"/>
      <c r="PZ26" s="17"/>
      <c r="QA26" s="170">
        <f>SUM(QA18:QA25)</f>
        <v>0</v>
      </c>
      <c r="QB26" s="53"/>
      <c r="QC26" s="46"/>
      <c r="QD26" s="170">
        <f>SUM(QD18:QD25)</f>
        <v>0</v>
      </c>
      <c r="QE26" s="53"/>
      <c r="QF26" s="46"/>
      <c r="QG26" s="170">
        <f>SUM(QG18:QG25)</f>
        <v>0</v>
      </c>
      <c r="QH26" s="168"/>
      <c r="QI26" s="53"/>
      <c r="QJ26" s="17"/>
      <c r="QK26" s="170">
        <f>SUM(QK18:QK25)</f>
        <v>0</v>
      </c>
      <c r="QL26" s="53"/>
      <c r="QM26" s="46"/>
      <c r="QN26" s="170">
        <f>SUM(QN18:QN25)</f>
        <v>0</v>
      </c>
      <c r="QO26" s="53"/>
      <c r="QP26" s="46"/>
      <c r="QQ26" s="170">
        <f>SUM(QQ18:QQ25)</f>
        <v>0</v>
      </c>
      <c r="QR26" s="168"/>
      <c r="QS26" s="53"/>
      <c r="QT26" s="17"/>
      <c r="QU26" s="170">
        <f>SUM(QU18:QU25)</f>
        <v>0</v>
      </c>
      <c r="QV26" s="53"/>
      <c r="QW26" s="46"/>
      <c r="QX26" s="170">
        <f>SUM(QX18:QX25)</f>
        <v>0</v>
      </c>
      <c r="QY26" s="53"/>
      <c r="QZ26" s="46"/>
      <c r="RA26" s="170">
        <f>SUM(RA18:RA25)</f>
        <v>0</v>
      </c>
      <c r="RB26" s="168"/>
      <c r="RC26" s="53"/>
      <c r="RD26" s="17"/>
      <c r="RE26" s="170">
        <f>SUM(RE18:RE25)</f>
        <v>0</v>
      </c>
      <c r="RF26" s="53"/>
      <c r="RG26" s="46"/>
      <c r="RH26" s="170">
        <f>SUM(RH18:RH25)</f>
        <v>0</v>
      </c>
      <c r="RI26" s="53"/>
      <c r="RJ26" s="46"/>
      <c r="RK26" s="170">
        <f>SUM(RK18:RK25)</f>
        <v>0</v>
      </c>
      <c r="RL26" s="168"/>
      <c r="RM26" s="53"/>
      <c r="RN26" s="17"/>
      <c r="RO26" s="170">
        <f>SUM(RO18:RO25)</f>
        <v>0</v>
      </c>
      <c r="RP26" s="53"/>
      <c r="RQ26" s="46"/>
      <c r="RR26" s="170">
        <f>SUM(RR18:RR25)</f>
        <v>0</v>
      </c>
      <c r="RS26" s="53"/>
      <c r="RT26" s="46"/>
      <c r="RU26" s="170">
        <f>SUM(RU18:RU25)</f>
        <v>0</v>
      </c>
    </row>
    <row r="27" spans="1:489" x14ac:dyDescent="0.25">
      <c r="A27" s="66"/>
      <c r="B27" s="77"/>
      <c r="C27" s="77"/>
      <c r="D27" s="78"/>
      <c r="E27" s="79"/>
      <c r="F27" s="80"/>
      <c r="G27" s="78"/>
      <c r="H27" s="49"/>
      <c r="I27" s="80"/>
      <c r="J27" s="173"/>
      <c r="K27" s="49"/>
      <c r="L27" s="77"/>
      <c r="M27" s="78"/>
      <c r="N27" s="79"/>
      <c r="O27" s="80"/>
      <c r="P27" s="78"/>
      <c r="Q27" s="49"/>
      <c r="R27" s="80"/>
      <c r="S27" s="173"/>
      <c r="T27" s="174"/>
      <c r="U27" s="81" t="s">
        <v>175</v>
      </c>
      <c r="V27" s="82" t="s">
        <v>152</v>
      </c>
      <c r="W27" s="78"/>
      <c r="X27" s="81" t="s">
        <v>175</v>
      </c>
      <c r="Y27" s="82" t="s">
        <v>152</v>
      </c>
      <c r="Z27" s="78"/>
      <c r="AA27" s="49"/>
      <c r="AB27" s="80"/>
      <c r="AC27" s="173"/>
      <c r="AD27" s="168"/>
      <c r="AE27" s="81" t="s">
        <v>175</v>
      </c>
      <c r="AF27" s="82" t="s">
        <v>152</v>
      </c>
      <c r="AG27" s="78"/>
      <c r="AH27" s="81" t="s">
        <v>175</v>
      </c>
      <c r="AI27" s="82" t="s">
        <v>152</v>
      </c>
      <c r="AJ27" s="78"/>
      <c r="AK27" s="49"/>
      <c r="AL27" s="80"/>
      <c r="AM27" s="173"/>
      <c r="AN27" s="168"/>
      <c r="AO27" s="81" t="s">
        <v>175</v>
      </c>
      <c r="AP27" s="82" t="s">
        <v>152</v>
      </c>
      <c r="AQ27" s="78"/>
      <c r="AR27" s="81" t="s">
        <v>175</v>
      </c>
      <c r="AS27" s="82" t="s">
        <v>152</v>
      </c>
      <c r="AT27" s="78"/>
      <c r="AU27" s="49"/>
      <c r="AV27" s="80"/>
      <c r="AW27" s="173"/>
      <c r="AX27" s="168"/>
      <c r="AY27" s="81" t="s">
        <v>175</v>
      </c>
      <c r="AZ27" s="82" t="s">
        <v>152</v>
      </c>
      <c r="BA27" s="78"/>
      <c r="BB27" s="81" t="s">
        <v>175</v>
      </c>
      <c r="BC27" s="82" t="s">
        <v>152</v>
      </c>
      <c r="BD27" s="78"/>
      <c r="BE27" s="49"/>
      <c r="BF27" s="80"/>
      <c r="BG27" s="173"/>
      <c r="BH27" s="168"/>
      <c r="BI27" s="81" t="s">
        <v>175</v>
      </c>
      <c r="BJ27" s="82" t="s">
        <v>152</v>
      </c>
      <c r="BK27" s="78"/>
      <c r="BL27" s="81" t="s">
        <v>175</v>
      </c>
      <c r="BM27" s="82" t="s">
        <v>152</v>
      </c>
      <c r="BN27" s="78"/>
      <c r="BO27" s="49"/>
      <c r="BP27" s="80"/>
      <c r="BQ27" s="173"/>
      <c r="BR27" s="168"/>
      <c r="BS27" s="81" t="s">
        <v>175</v>
      </c>
      <c r="BT27" s="82" t="s">
        <v>152</v>
      </c>
      <c r="BU27" s="78"/>
      <c r="BV27" s="81" t="s">
        <v>175</v>
      </c>
      <c r="BW27" s="82" t="s">
        <v>152</v>
      </c>
      <c r="BX27" s="78"/>
      <c r="BY27" s="49"/>
      <c r="BZ27" s="80"/>
      <c r="CA27" s="173"/>
      <c r="CB27" s="168"/>
      <c r="CC27" s="81" t="s">
        <v>175</v>
      </c>
      <c r="CD27" s="82" t="s">
        <v>152</v>
      </c>
      <c r="CE27" s="78"/>
      <c r="CF27" s="81" t="s">
        <v>175</v>
      </c>
      <c r="CG27" s="82" t="s">
        <v>152</v>
      </c>
      <c r="CH27" s="78"/>
      <c r="CI27" s="49"/>
      <c r="CJ27" s="80"/>
      <c r="CK27" s="173"/>
      <c r="CL27" s="168"/>
      <c r="CM27" s="81" t="s">
        <v>175</v>
      </c>
      <c r="CN27" s="82" t="s">
        <v>152</v>
      </c>
      <c r="CO27" s="78"/>
      <c r="CP27" s="81" t="s">
        <v>175</v>
      </c>
      <c r="CQ27" s="82" t="s">
        <v>152</v>
      </c>
      <c r="CR27" s="78"/>
      <c r="CS27" s="49"/>
      <c r="CT27" s="80"/>
      <c r="CU27" s="173"/>
      <c r="CV27" s="168"/>
      <c r="CW27" s="81" t="s">
        <v>175</v>
      </c>
      <c r="CX27" s="82" t="s">
        <v>152</v>
      </c>
      <c r="CY27" s="78"/>
      <c r="CZ27" s="81" t="s">
        <v>175</v>
      </c>
      <c r="DA27" s="82" t="s">
        <v>152</v>
      </c>
      <c r="DB27" s="78"/>
      <c r="DC27" s="49"/>
      <c r="DD27" s="80"/>
      <c r="DE27" s="173"/>
      <c r="DF27" s="168"/>
      <c r="DG27" s="81" t="s">
        <v>175</v>
      </c>
      <c r="DH27" s="82" t="s">
        <v>152</v>
      </c>
      <c r="DI27" s="78"/>
      <c r="DJ27" s="81" t="s">
        <v>175</v>
      </c>
      <c r="DK27" s="82" t="s">
        <v>152</v>
      </c>
      <c r="DL27" s="78"/>
      <c r="DM27" s="49"/>
      <c r="DN27" s="80"/>
      <c r="DO27" s="173"/>
      <c r="DP27" s="168"/>
      <c r="DQ27" s="81" t="s">
        <v>175</v>
      </c>
      <c r="DR27" s="82" t="s">
        <v>152</v>
      </c>
      <c r="DS27" s="78"/>
      <c r="DT27" s="81" t="s">
        <v>175</v>
      </c>
      <c r="DU27" s="82" t="s">
        <v>152</v>
      </c>
      <c r="DV27" s="78"/>
      <c r="DW27" s="49"/>
      <c r="DX27" s="80"/>
      <c r="DY27" s="173"/>
      <c r="DZ27" s="168"/>
      <c r="EA27" s="81" t="s">
        <v>175</v>
      </c>
      <c r="EB27" s="82" t="s">
        <v>152</v>
      </c>
      <c r="EC27" s="78"/>
      <c r="ED27" s="81" t="s">
        <v>175</v>
      </c>
      <c r="EE27" s="82" t="s">
        <v>152</v>
      </c>
      <c r="EF27" s="78"/>
      <c r="EG27" s="49"/>
      <c r="EH27" s="80"/>
      <c r="EI27" s="173"/>
      <c r="EJ27" s="168"/>
      <c r="EK27" s="81" t="s">
        <v>175</v>
      </c>
      <c r="EL27" s="82" t="s">
        <v>152</v>
      </c>
      <c r="EM27" s="78"/>
      <c r="EN27" s="81" t="s">
        <v>175</v>
      </c>
      <c r="EO27" s="82" t="s">
        <v>152</v>
      </c>
      <c r="EP27" s="78"/>
      <c r="EQ27" s="49"/>
      <c r="ER27" s="80"/>
      <c r="ES27" s="173"/>
      <c r="ET27" s="168"/>
      <c r="EU27" s="81" t="s">
        <v>175</v>
      </c>
      <c r="EV27" s="82" t="s">
        <v>152</v>
      </c>
      <c r="EW27" s="78"/>
      <c r="EX27" s="81" t="s">
        <v>175</v>
      </c>
      <c r="EY27" s="82" t="s">
        <v>152</v>
      </c>
      <c r="EZ27" s="78"/>
      <c r="FA27" s="49"/>
      <c r="FB27" s="80"/>
      <c r="FC27" s="173"/>
      <c r="FD27" s="168"/>
      <c r="FE27" s="81" t="s">
        <v>175</v>
      </c>
      <c r="FF27" s="82" t="s">
        <v>152</v>
      </c>
      <c r="FG27" s="78"/>
      <c r="FH27" s="81" t="s">
        <v>175</v>
      </c>
      <c r="FI27" s="82" t="s">
        <v>152</v>
      </c>
      <c r="FJ27" s="78"/>
      <c r="FK27" s="49"/>
      <c r="FL27" s="80"/>
      <c r="FM27" s="173"/>
      <c r="FN27" s="168"/>
      <c r="FO27" s="81" t="s">
        <v>175</v>
      </c>
      <c r="FP27" s="82" t="s">
        <v>152</v>
      </c>
      <c r="FQ27" s="78"/>
      <c r="FR27" s="81" t="s">
        <v>175</v>
      </c>
      <c r="FS27" s="82" t="s">
        <v>152</v>
      </c>
      <c r="FT27" s="78"/>
      <c r="FU27" s="49"/>
      <c r="FV27" s="80"/>
      <c r="FW27" s="173"/>
      <c r="FX27" s="168"/>
      <c r="FY27" s="81" t="s">
        <v>175</v>
      </c>
      <c r="FZ27" s="82" t="s">
        <v>152</v>
      </c>
      <c r="GA27" s="78"/>
      <c r="GB27" s="81" t="s">
        <v>175</v>
      </c>
      <c r="GC27" s="82" t="s">
        <v>152</v>
      </c>
      <c r="GD27" s="78"/>
      <c r="GE27" s="49"/>
      <c r="GF27" s="80"/>
      <c r="GG27" s="173"/>
      <c r="GH27" s="168"/>
      <c r="GI27" s="81" t="s">
        <v>175</v>
      </c>
      <c r="GJ27" s="82" t="s">
        <v>152</v>
      </c>
      <c r="GK27" s="78"/>
      <c r="GL27" s="81" t="s">
        <v>175</v>
      </c>
      <c r="GM27" s="82" t="s">
        <v>152</v>
      </c>
      <c r="GN27" s="78"/>
      <c r="GO27" s="49"/>
      <c r="GP27" s="80"/>
      <c r="GQ27" s="173"/>
      <c r="GR27" s="168"/>
      <c r="GS27" s="81" t="s">
        <v>175</v>
      </c>
      <c r="GT27" s="82" t="s">
        <v>152</v>
      </c>
      <c r="GU27" s="78"/>
      <c r="GV27" s="81" t="s">
        <v>175</v>
      </c>
      <c r="GW27" s="82" t="s">
        <v>152</v>
      </c>
      <c r="GX27" s="78"/>
      <c r="GY27" s="49"/>
      <c r="GZ27" s="80"/>
      <c r="HA27" s="173"/>
      <c r="HB27" s="168"/>
      <c r="HC27" s="81" t="s">
        <v>175</v>
      </c>
      <c r="HD27" s="82" t="s">
        <v>152</v>
      </c>
      <c r="HE27" s="78"/>
      <c r="HF27" s="81" t="s">
        <v>175</v>
      </c>
      <c r="HG27" s="82" t="s">
        <v>152</v>
      </c>
      <c r="HH27" s="78"/>
      <c r="HI27" s="49"/>
      <c r="HJ27" s="80"/>
      <c r="HK27" s="173"/>
      <c r="HL27" s="168"/>
      <c r="HM27" s="81" t="s">
        <v>175</v>
      </c>
      <c r="HN27" s="82" t="s">
        <v>152</v>
      </c>
      <c r="HO27" s="78"/>
      <c r="HP27" s="81" t="s">
        <v>175</v>
      </c>
      <c r="HQ27" s="82" t="s">
        <v>152</v>
      </c>
      <c r="HR27" s="78"/>
      <c r="HS27" s="49"/>
      <c r="HT27" s="80"/>
      <c r="HU27" s="173"/>
      <c r="HV27" s="168"/>
      <c r="HW27" s="81" t="s">
        <v>175</v>
      </c>
      <c r="HX27" s="82" t="s">
        <v>152</v>
      </c>
      <c r="HY27" s="78"/>
      <c r="HZ27" s="81" t="s">
        <v>175</v>
      </c>
      <c r="IA27" s="82" t="s">
        <v>152</v>
      </c>
      <c r="IB27" s="78"/>
      <c r="IC27" s="49"/>
      <c r="ID27" s="80"/>
      <c r="IE27" s="173"/>
      <c r="IF27" s="168"/>
      <c r="IG27" s="81" t="s">
        <v>175</v>
      </c>
      <c r="IH27" s="82" t="s">
        <v>152</v>
      </c>
      <c r="II27" s="78"/>
      <c r="IJ27" s="81" t="s">
        <v>175</v>
      </c>
      <c r="IK27" s="82" t="s">
        <v>152</v>
      </c>
      <c r="IL27" s="78"/>
      <c r="IM27" s="49"/>
      <c r="IN27" s="80"/>
      <c r="IO27" s="173"/>
      <c r="IP27" s="168"/>
      <c r="IQ27" s="81" t="s">
        <v>175</v>
      </c>
      <c r="IR27" s="82" t="s">
        <v>152</v>
      </c>
      <c r="IS27" s="78"/>
      <c r="IT27" s="81" t="s">
        <v>175</v>
      </c>
      <c r="IU27" s="82" t="s">
        <v>152</v>
      </c>
      <c r="IV27" s="78"/>
      <c r="IW27" s="49"/>
      <c r="IX27" s="80"/>
      <c r="IY27" s="173"/>
      <c r="IZ27" s="168"/>
      <c r="JA27" s="81" t="s">
        <v>175</v>
      </c>
      <c r="JB27" s="82" t="s">
        <v>152</v>
      </c>
      <c r="JC27" s="78"/>
      <c r="JD27" s="81" t="s">
        <v>175</v>
      </c>
      <c r="JE27" s="82" t="s">
        <v>152</v>
      </c>
      <c r="JF27" s="78"/>
      <c r="JG27" s="49"/>
      <c r="JH27" s="80"/>
      <c r="JI27" s="173"/>
      <c r="JJ27" s="168"/>
      <c r="JK27" s="81" t="s">
        <v>175</v>
      </c>
      <c r="JL27" s="82" t="s">
        <v>152</v>
      </c>
      <c r="JM27" s="78"/>
      <c r="JN27" s="81" t="s">
        <v>175</v>
      </c>
      <c r="JO27" s="82" t="s">
        <v>152</v>
      </c>
      <c r="JP27" s="78"/>
      <c r="JQ27" s="49"/>
      <c r="JR27" s="80"/>
      <c r="JS27" s="173"/>
      <c r="JT27" s="168"/>
      <c r="JU27" s="81" t="s">
        <v>175</v>
      </c>
      <c r="JV27" s="82" t="s">
        <v>152</v>
      </c>
      <c r="JW27" s="78"/>
      <c r="JX27" s="81" t="s">
        <v>175</v>
      </c>
      <c r="JY27" s="82" t="s">
        <v>152</v>
      </c>
      <c r="JZ27" s="78"/>
      <c r="KA27" s="49"/>
      <c r="KB27" s="80"/>
      <c r="KC27" s="173"/>
      <c r="KD27" s="168"/>
      <c r="KE27" s="81" t="s">
        <v>175</v>
      </c>
      <c r="KF27" s="82" t="s">
        <v>152</v>
      </c>
      <c r="KG27" s="78"/>
      <c r="KH27" s="81" t="s">
        <v>175</v>
      </c>
      <c r="KI27" s="82" t="s">
        <v>152</v>
      </c>
      <c r="KJ27" s="78"/>
      <c r="KK27" s="49"/>
      <c r="KL27" s="80"/>
      <c r="KM27" s="173"/>
      <c r="KN27" s="168"/>
      <c r="KO27" s="81" t="s">
        <v>175</v>
      </c>
      <c r="KP27" s="82" t="s">
        <v>152</v>
      </c>
      <c r="KQ27" s="78"/>
      <c r="KR27" s="81" t="s">
        <v>175</v>
      </c>
      <c r="KS27" s="82" t="s">
        <v>152</v>
      </c>
      <c r="KT27" s="78"/>
      <c r="KU27" s="49"/>
      <c r="KV27" s="80"/>
      <c r="KW27" s="173"/>
      <c r="KX27" s="168"/>
      <c r="KY27" s="81" t="s">
        <v>175</v>
      </c>
      <c r="KZ27" s="82" t="s">
        <v>152</v>
      </c>
      <c r="LA27" s="78"/>
      <c r="LB27" s="81" t="s">
        <v>175</v>
      </c>
      <c r="LC27" s="82" t="s">
        <v>152</v>
      </c>
      <c r="LD27" s="78"/>
      <c r="LE27" s="49"/>
      <c r="LF27" s="80"/>
      <c r="LG27" s="173"/>
      <c r="LH27" s="168"/>
      <c r="LI27" s="81" t="s">
        <v>175</v>
      </c>
      <c r="LJ27" s="82" t="s">
        <v>152</v>
      </c>
      <c r="LK27" s="78"/>
      <c r="LL27" s="81" t="s">
        <v>175</v>
      </c>
      <c r="LM27" s="82" t="s">
        <v>152</v>
      </c>
      <c r="LN27" s="78"/>
      <c r="LO27" s="49"/>
      <c r="LP27" s="80"/>
      <c r="LQ27" s="173"/>
      <c r="LR27" s="168"/>
      <c r="LS27" s="81" t="s">
        <v>175</v>
      </c>
      <c r="LT27" s="82" t="s">
        <v>152</v>
      </c>
      <c r="LU27" s="78"/>
      <c r="LV27" s="81" t="s">
        <v>175</v>
      </c>
      <c r="LW27" s="82" t="s">
        <v>152</v>
      </c>
      <c r="LX27" s="78"/>
      <c r="LY27" s="49"/>
      <c r="LZ27" s="80"/>
      <c r="MA27" s="173"/>
      <c r="MB27" s="168"/>
      <c r="MC27" s="81" t="s">
        <v>175</v>
      </c>
      <c r="MD27" s="82" t="s">
        <v>152</v>
      </c>
      <c r="ME27" s="78"/>
      <c r="MF27" s="81" t="s">
        <v>175</v>
      </c>
      <c r="MG27" s="82" t="s">
        <v>152</v>
      </c>
      <c r="MH27" s="78"/>
      <c r="MI27" s="49"/>
      <c r="MJ27" s="80"/>
      <c r="MK27" s="173"/>
      <c r="ML27" s="168"/>
      <c r="MM27" s="81" t="s">
        <v>175</v>
      </c>
      <c r="MN27" s="82" t="s">
        <v>152</v>
      </c>
      <c r="MO27" s="78"/>
      <c r="MP27" s="81" t="s">
        <v>175</v>
      </c>
      <c r="MQ27" s="82" t="s">
        <v>152</v>
      </c>
      <c r="MR27" s="78"/>
      <c r="MS27" s="49"/>
      <c r="MT27" s="80"/>
      <c r="MU27" s="173"/>
      <c r="MV27" s="168"/>
      <c r="MW27" s="81" t="s">
        <v>175</v>
      </c>
      <c r="MX27" s="82" t="s">
        <v>152</v>
      </c>
      <c r="MY27" s="78"/>
      <c r="MZ27" s="81" t="s">
        <v>175</v>
      </c>
      <c r="NA27" s="82" t="s">
        <v>152</v>
      </c>
      <c r="NB27" s="78"/>
      <c r="NC27" s="49"/>
      <c r="ND27" s="80"/>
      <c r="NE27" s="173"/>
      <c r="NF27" s="168"/>
      <c r="NG27" s="81" t="s">
        <v>175</v>
      </c>
      <c r="NH27" s="82" t="s">
        <v>152</v>
      </c>
      <c r="NI27" s="78"/>
      <c r="NJ27" s="81" t="s">
        <v>175</v>
      </c>
      <c r="NK27" s="82" t="s">
        <v>152</v>
      </c>
      <c r="NL27" s="78"/>
      <c r="NM27" s="49"/>
      <c r="NN27" s="80"/>
      <c r="NO27" s="173"/>
      <c r="NP27" s="168"/>
      <c r="NQ27" s="81" t="s">
        <v>175</v>
      </c>
      <c r="NR27" s="82" t="s">
        <v>152</v>
      </c>
      <c r="NS27" s="78"/>
      <c r="NT27" s="81" t="s">
        <v>175</v>
      </c>
      <c r="NU27" s="82" t="s">
        <v>152</v>
      </c>
      <c r="NV27" s="78"/>
      <c r="NW27" s="49"/>
      <c r="NX27" s="80"/>
      <c r="NY27" s="173"/>
      <c r="NZ27" s="168"/>
      <c r="OA27" s="81" t="s">
        <v>175</v>
      </c>
      <c r="OB27" s="82" t="s">
        <v>152</v>
      </c>
      <c r="OC27" s="78"/>
      <c r="OD27" s="81" t="s">
        <v>175</v>
      </c>
      <c r="OE27" s="82" t="s">
        <v>152</v>
      </c>
      <c r="OF27" s="78"/>
      <c r="OG27" s="49"/>
      <c r="OH27" s="80"/>
      <c r="OI27" s="173"/>
      <c r="OJ27" s="168"/>
      <c r="OK27" s="81" t="s">
        <v>175</v>
      </c>
      <c r="OL27" s="82" t="s">
        <v>152</v>
      </c>
      <c r="OM27" s="78"/>
      <c r="ON27" s="81" t="s">
        <v>175</v>
      </c>
      <c r="OO27" s="82" t="s">
        <v>152</v>
      </c>
      <c r="OP27" s="78"/>
      <c r="OQ27" s="49"/>
      <c r="OR27" s="80"/>
      <c r="OS27" s="173"/>
      <c r="OT27" s="168"/>
      <c r="OU27" s="81" t="s">
        <v>175</v>
      </c>
      <c r="OV27" s="82" t="s">
        <v>152</v>
      </c>
      <c r="OW27" s="78"/>
      <c r="OX27" s="81" t="s">
        <v>175</v>
      </c>
      <c r="OY27" s="82" t="s">
        <v>152</v>
      </c>
      <c r="OZ27" s="78"/>
      <c r="PA27" s="49"/>
      <c r="PB27" s="80"/>
      <c r="PC27" s="173"/>
      <c r="PD27" s="168"/>
      <c r="PE27" s="81" t="s">
        <v>175</v>
      </c>
      <c r="PF27" s="82" t="s">
        <v>152</v>
      </c>
      <c r="PG27" s="78"/>
      <c r="PH27" s="81" t="s">
        <v>175</v>
      </c>
      <c r="PI27" s="82" t="s">
        <v>152</v>
      </c>
      <c r="PJ27" s="78"/>
      <c r="PK27" s="49"/>
      <c r="PL27" s="80"/>
      <c r="PM27" s="173"/>
      <c r="PN27" s="168"/>
      <c r="PO27" s="81" t="s">
        <v>175</v>
      </c>
      <c r="PP27" s="82" t="s">
        <v>152</v>
      </c>
      <c r="PQ27" s="78"/>
      <c r="PR27" s="81" t="s">
        <v>175</v>
      </c>
      <c r="PS27" s="82" t="s">
        <v>152</v>
      </c>
      <c r="PT27" s="78"/>
      <c r="PU27" s="49"/>
      <c r="PV27" s="80"/>
      <c r="PW27" s="173"/>
      <c r="PX27" s="168"/>
      <c r="PY27" s="81" t="s">
        <v>175</v>
      </c>
      <c r="PZ27" s="82" t="s">
        <v>152</v>
      </c>
      <c r="QA27" s="78"/>
      <c r="QB27" s="81" t="s">
        <v>175</v>
      </c>
      <c r="QC27" s="82" t="s">
        <v>152</v>
      </c>
      <c r="QD27" s="78"/>
      <c r="QE27" s="49"/>
      <c r="QF27" s="80"/>
      <c r="QG27" s="173"/>
      <c r="QH27" s="168"/>
      <c r="QI27" s="81" t="s">
        <v>175</v>
      </c>
      <c r="QJ27" s="82" t="s">
        <v>152</v>
      </c>
      <c r="QK27" s="78"/>
      <c r="QL27" s="81" t="s">
        <v>175</v>
      </c>
      <c r="QM27" s="82" t="s">
        <v>152</v>
      </c>
      <c r="QN27" s="78"/>
      <c r="QO27" s="49"/>
      <c r="QP27" s="80"/>
      <c r="QQ27" s="173"/>
      <c r="QR27" s="168"/>
      <c r="QS27" s="81" t="s">
        <v>175</v>
      </c>
      <c r="QT27" s="82" t="s">
        <v>152</v>
      </c>
      <c r="QU27" s="78"/>
      <c r="QV27" s="81" t="s">
        <v>175</v>
      </c>
      <c r="QW27" s="82" t="s">
        <v>152</v>
      </c>
      <c r="QX27" s="78"/>
      <c r="QY27" s="49"/>
      <c r="QZ27" s="80"/>
      <c r="RA27" s="173"/>
      <c r="RB27" s="168"/>
      <c r="RC27" s="81" t="s">
        <v>175</v>
      </c>
      <c r="RD27" s="82" t="s">
        <v>152</v>
      </c>
      <c r="RE27" s="78"/>
      <c r="RF27" s="81" t="s">
        <v>175</v>
      </c>
      <c r="RG27" s="82" t="s">
        <v>152</v>
      </c>
      <c r="RH27" s="78"/>
      <c r="RI27" s="49"/>
      <c r="RJ27" s="80"/>
      <c r="RK27" s="173"/>
      <c r="RL27" s="168"/>
      <c r="RM27" s="81" t="s">
        <v>175</v>
      </c>
      <c r="RN27" s="82" t="s">
        <v>152</v>
      </c>
      <c r="RO27" s="78"/>
      <c r="RP27" s="81" t="s">
        <v>175</v>
      </c>
      <c r="RQ27" s="82" t="s">
        <v>152</v>
      </c>
      <c r="RR27" s="78"/>
      <c r="RS27" s="49"/>
      <c r="RT27" s="80"/>
      <c r="RU27" s="173"/>
    </row>
    <row r="28" spans="1:489" ht="29.25" customHeight="1" x14ac:dyDescent="0.25">
      <c r="A28" s="67" t="s">
        <v>176</v>
      </c>
      <c r="B28" s="56"/>
      <c r="C28" s="56"/>
      <c r="D28" s="57">
        <f>SUM(D3:D17)-0.01</f>
        <v>21724201.727305159</v>
      </c>
      <c r="E28" s="62"/>
      <c r="F28" s="63"/>
      <c r="G28" s="57">
        <f>SUM(G3:G17)-0.01</f>
        <v>90973084.467809245</v>
      </c>
      <c r="H28" s="48"/>
      <c r="I28" s="17"/>
      <c r="J28" s="170">
        <f>SUM(J3:J27)</f>
        <v>146717447.60733306</v>
      </c>
      <c r="K28" s="48"/>
      <c r="L28" s="56"/>
      <c r="M28" s="76">
        <f>SUM(M3:M17)-0.01</f>
        <v>21569309.767663553</v>
      </c>
      <c r="N28" s="62"/>
      <c r="O28" s="63"/>
      <c r="P28" s="76">
        <f>SUM(P3:P17)</f>
        <v>91270370.577791959</v>
      </c>
      <c r="Q28" s="48"/>
      <c r="R28" s="17"/>
      <c r="S28" s="170">
        <f>SUM(S3:S27)</f>
        <v>146881196.30682474</v>
      </c>
      <c r="T28" s="172"/>
      <c r="U28" s="175">
        <f>W28/V28</f>
        <v>21900.000000310636</v>
      </c>
      <c r="V28" s="63">
        <f>AB18</f>
        <v>983.22061414999996</v>
      </c>
      <c r="W28" s="76">
        <f>SUM(W3:W17)-0.01</f>
        <v>21532531.450190421</v>
      </c>
      <c r="X28" s="139">
        <f>Z28/Y28</f>
        <v>461.02479753091967</v>
      </c>
      <c r="Y28" s="63">
        <f>AB23</f>
        <v>197749.79519275</v>
      </c>
      <c r="Z28" s="76">
        <f>SUM(Z3:Z17)</f>
        <v>91167559.290518403</v>
      </c>
      <c r="AA28" s="48"/>
      <c r="AB28" s="17"/>
      <c r="AC28" s="170">
        <f>SUM(AC3:AC27)</f>
        <v>146764461.24375799</v>
      </c>
      <c r="AD28" s="172"/>
      <c r="AE28" s="175">
        <f>AG28/AF28</f>
        <v>21900.000012802346</v>
      </c>
      <c r="AF28" s="63">
        <f>AL18</f>
        <v>982.48419908000005</v>
      </c>
      <c r="AG28" s="76">
        <f>SUM(AG3:AG11,AG13,AG15,AG16,AG17,AG26)</f>
        <v>21516403.972430103</v>
      </c>
      <c r="AH28" s="139">
        <v>461.02479754000001</v>
      </c>
      <c r="AI28" s="63">
        <v>198322.50473335001</v>
      </c>
      <c r="AJ28" s="76">
        <f>SUM(AJ3:AJ11,AJ15,AJ16,AJ17,AJ26)</f>
        <v>91431592.578156978</v>
      </c>
      <c r="AK28" s="48"/>
      <c r="AL28" s="17"/>
      <c r="AM28" s="170">
        <f>SUM(AM12,AM16,AM17,AM26)</f>
        <v>147020411.14968854</v>
      </c>
      <c r="AN28" s="172"/>
      <c r="AO28" s="175">
        <f>AQ28/AP28</f>
        <v>21900.000012802346</v>
      </c>
      <c r="AP28" s="63">
        <f>AV18</f>
        <v>982.48419908000005</v>
      </c>
      <c r="AQ28" s="76">
        <f>SUM(AQ3:AQ11,AQ13,AQ15,AQ16,AQ17,AQ26)</f>
        <v>21516403.972430103</v>
      </c>
      <c r="AR28" s="139">
        <v>461.02479754000001</v>
      </c>
      <c r="AS28" s="63">
        <v>198322.50473335001</v>
      </c>
      <c r="AT28" s="76">
        <f>SUM(AT3:AT11,AT15,AT16,AT17,AT26)</f>
        <v>91431592.578156978</v>
      </c>
      <c r="AU28" s="48"/>
      <c r="AV28" s="17"/>
      <c r="AW28" s="170">
        <f>SUM(AW12,AW16,AW17,AW26)</f>
        <v>147020411.14968854</v>
      </c>
      <c r="AX28" s="172"/>
      <c r="AY28" s="175">
        <f>BA28/AZ28</f>
        <v>26987.425572277643</v>
      </c>
      <c r="AZ28" s="63">
        <f>BF18</f>
        <v>982.81536301000006</v>
      </c>
      <c r="BA28" s="76">
        <f>SUM(BA3:BA11,BA13,BA15,BA16,BA17,BA26)</f>
        <v>26523656.460523412</v>
      </c>
      <c r="BB28" s="139">
        <v>461.02479754000001</v>
      </c>
      <c r="BC28" s="63">
        <v>198322.50473335001</v>
      </c>
      <c r="BD28" s="76">
        <f>SUM(BD3:BD11,BD15,BD16,BD17,BD26)</f>
        <v>86319066.324712768</v>
      </c>
      <c r="BE28" s="48"/>
      <c r="BF28" s="17"/>
      <c r="BG28" s="170">
        <f>SUM(BG12,BG16,BG17,BG26)</f>
        <v>147046090.47259557</v>
      </c>
      <c r="BH28" s="172"/>
      <c r="BI28" s="175">
        <f>BK28/BJ28</f>
        <v>26987.425567567629</v>
      </c>
      <c r="BJ28" s="63">
        <f>BP18</f>
        <v>992.49306936999994</v>
      </c>
      <c r="BK28" s="76">
        <f>SUM(BK3:BK11,BK13,BK15,BK16,BK17,BK26)</f>
        <v>26784832.835949607</v>
      </c>
      <c r="BL28" s="139">
        <v>461.02479754000001</v>
      </c>
      <c r="BM28" s="63">
        <v>187369.41569791001</v>
      </c>
      <c r="BN28" s="76">
        <f>SUM(BN3:BN11,BN15,BN16,BN17,BN26)</f>
        <v>86381946.937473685</v>
      </c>
      <c r="BO28" s="48"/>
      <c r="BP28" s="17"/>
      <c r="BQ28" s="170">
        <f>SUM(BQ12,BQ16,BQ17,BQ26)</f>
        <v>147379810.55513972</v>
      </c>
      <c r="BR28" s="172"/>
      <c r="BS28" s="175">
        <v>26987.425561479999</v>
      </c>
      <c r="BT28" s="140">
        <f>BU28/BS28</f>
        <v>992.8035709700124</v>
      </c>
      <c r="BU28" s="76">
        <f>SUM(BU3:BU11,BU13,BU15,BU16,BU17,BU26)</f>
        <v>26793212.468724735</v>
      </c>
      <c r="BV28" s="139">
        <v>461.02479754000001</v>
      </c>
      <c r="BW28" s="63">
        <f>BX28/BV28</f>
        <v>187502.57882960216</v>
      </c>
      <c r="BX28" s="76">
        <f>SUM(BX3:BX11,BX15,BX16,BX17,BX26)+0.01</f>
        <v>86443338.44314523</v>
      </c>
      <c r="BY28" s="48"/>
      <c r="BZ28" s="17"/>
      <c r="CA28" s="170">
        <f>SUM(CA12,CA16,CA17,CA26)</f>
        <v>147458776.49373707</v>
      </c>
      <c r="CB28" s="172"/>
      <c r="CC28" s="175">
        <v>26987.425561479999</v>
      </c>
      <c r="CD28" s="140">
        <f>CE28/CC28</f>
        <v>993.00206693230189</v>
      </c>
      <c r="CE28" s="76">
        <f>SUM(CE3:CE11,CE13,CE15,CE16,CE17,CE26)-0.01</f>
        <v>26798569.363731276</v>
      </c>
      <c r="CF28" s="139">
        <v>461.02479754000001</v>
      </c>
      <c r="CG28" s="63">
        <f>CH28/CF28</f>
        <v>187574.26660585756</v>
      </c>
      <c r="CH28" s="76">
        <f>SUM(CH3:CH11,CH15,CH16,CH17,CH26)</f>
        <v>86476388.28567946</v>
      </c>
      <c r="CI28" s="48"/>
      <c r="CJ28" s="17"/>
      <c r="CK28" s="170">
        <f>SUM(CK12,CK16,CK17,CK26)-0.03</f>
        <v>147517310.98054233</v>
      </c>
      <c r="CL28" s="172"/>
      <c r="CM28" s="175">
        <v>26987.425561479999</v>
      </c>
      <c r="CN28" s="140">
        <f>CO28/CM28</f>
        <v>987.20504626716536</v>
      </c>
      <c r="CO28" s="76">
        <f>SUM(CO3:CO11,CO13,CO15,CO16,CO17,CO26)-0.02</f>
        <v>26642122.700052544</v>
      </c>
      <c r="CP28" s="139">
        <v>461.02479754000001</v>
      </c>
      <c r="CQ28" s="63">
        <f>CR28/CP28</f>
        <v>187757.40701566459</v>
      </c>
      <c r="CR28" s="76">
        <f>SUM(CR3:CR11,CR15,CR16,CR17,CR26)</f>
        <v>86560820.556032151</v>
      </c>
      <c r="CS28" s="48"/>
      <c r="CT28" s="17"/>
      <c r="CU28" s="170">
        <f>SUM(CU12,CU16,CU17,CU26)-0.03</f>
        <v>147647386.03319746</v>
      </c>
      <c r="CV28" s="172"/>
      <c r="CW28" s="175">
        <v>26987.425561479999</v>
      </c>
      <c r="CX28" s="140">
        <f>CY28/CW28</f>
        <v>994.7986679752471</v>
      </c>
      <c r="CY28" s="76">
        <f>SUM(CY3:CY11,CY13,CY15,CY16,CY17,CY26)-0.01</f>
        <v>26847055.000641439</v>
      </c>
      <c r="CZ28" s="139">
        <v>461.02479754000001</v>
      </c>
      <c r="DA28" s="63">
        <f>DB28/CZ28</f>
        <v>187992.88304376573</v>
      </c>
      <c r="DB28" s="76">
        <f>SUM(DB3:DB11,DB15,DB16,DB17,DB26)+0.01</f>
        <v>86669380.844212994</v>
      </c>
      <c r="DC28" s="48"/>
      <c r="DD28" s="17"/>
      <c r="DE28" s="170">
        <f>SUM(DE12,DE16,DE17,DE26)-0.03</f>
        <v>147648470.65639746</v>
      </c>
      <c r="DF28" s="172"/>
      <c r="DG28" s="175">
        <v>26987.425561479999</v>
      </c>
      <c r="DH28" s="140">
        <f>DI28/DG28</f>
        <v>995.80896817737585</v>
      </c>
      <c r="DI28" s="76">
        <f>SUM(DI3:DI11,DI13,DI15,DI16,DI17,DI26)</f>
        <v>26874320.402141135</v>
      </c>
      <c r="DJ28" s="139">
        <v>461.02479754000001</v>
      </c>
      <c r="DK28" s="63">
        <f>DL28/DJ28</f>
        <v>188173.65546915229</v>
      </c>
      <c r="DL28" s="76">
        <f>SUM(DL3:DL11,DL15,DL16,DL17,DL26)</f>
        <v>86752721.415027648</v>
      </c>
      <c r="DM28" s="48"/>
      <c r="DN28" s="17"/>
      <c r="DO28" s="170">
        <f>SUM(DO12,DO16,DO17,DO26)</f>
        <v>147895934.30100408</v>
      </c>
      <c r="DP28" s="172"/>
      <c r="DQ28" s="175">
        <v>26987.425561479999</v>
      </c>
      <c r="DR28" s="140">
        <f>DS28/DQ28</f>
        <v>996.15747497933262</v>
      </c>
      <c r="DS28" s="76">
        <f>SUM(DS3:DS11,DS13,DS15,DS16,DS17,DS26)+0.01</f>
        <v>26883725.703516614</v>
      </c>
      <c r="DT28" s="139">
        <v>461.02479754000001</v>
      </c>
      <c r="DU28" s="63">
        <f>DV28/DT28</f>
        <v>187881.03046243123</v>
      </c>
      <c r="DV28" s="76">
        <f>SUM(DV3:DV11,DV15,DV16,DV17,DV26)</f>
        <v>86617814.03054893</v>
      </c>
      <c r="DW28" s="48"/>
      <c r="DX28" s="17"/>
      <c r="DY28" s="170">
        <f>SUM(DY12,DY16,DY17,DY26)</f>
        <v>147780752.95857328</v>
      </c>
      <c r="DZ28" s="172"/>
      <c r="EA28" s="175">
        <v>26987.425561479999</v>
      </c>
      <c r="EB28" s="140">
        <f>EC28/EA28</f>
        <v>996.88354708564896</v>
      </c>
      <c r="EC28" s="76">
        <f>SUM(EC3:EC11,EC13,EC15,EC16,EC17,EC26)+0.01</f>
        <v>26903320.520438094</v>
      </c>
      <c r="ED28" s="139">
        <v>461.02479754000001</v>
      </c>
      <c r="EE28" s="63">
        <f>EF28/ED28</f>
        <v>187993.18662294949</v>
      </c>
      <c r="EF28" s="76">
        <f>SUM(EF3:EF11,EF15,EF16,EF17,EF26)</f>
        <v>86669520.801744729</v>
      </c>
      <c r="EG28" s="48"/>
      <c r="EH28" s="17"/>
      <c r="EI28" s="170">
        <f>SUM(EI12,EI16,EI17,EI26)</f>
        <v>147859914.23584443</v>
      </c>
      <c r="EJ28" s="172"/>
      <c r="EK28" s="175">
        <v>26987.425561479999</v>
      </c>
      <c r="EL28" s="140">
        <f>EM28/EK28</f>
        <v>997.18547022098767</v>
      </c>
      <c r="EM28" s="76">
        <f>SUM(EM3:EM11,EM13,EM15,EM16,EM17,EM26)+0.01</f>
        <v>26911468.648578335</v>
      </c>
      <c r="EN28" s="139">
        <v>461.02479754000001</v>
      </c>
      <c r="EO28" s="63">
        <f>EP28/EN28</f>
        <v>188596.80438885864</v>
      </c>
      <c r="EP28" s="76">
        <f>SUM(EP3:EP11,EP15,EP16,EP17,EP26)</f>
        <v>86947803.560064539</v>
      </c>
      <c r="EQ28" s="48"/>
      <c r="ER28" s="17"/>
      <c r="ES28" s="170">
        <f>SUM(ES12,ES16,ES17,ES26)</f>
        <v>148155212.71859518</v>
      </c>
      <c r="ET28" s="172"/>
      <c r="EU28" s="175">
        <v>26987.425561479999</v>
      </c>
      <c r="EV28" s="140">
        <f>EW28/EU28</f>
        <v>997.56400219033151</v>
      </c>
      <c r="EW28" s="76">
        <f>SUM(EW3:EW11,EW13,EW15,EW16,EW17,EW26)+0.01</f>
        <v>26921684.251923643</v>
      </c>
      <c r="EX28" s="139">
        <v>461.02479754000001</v>
      </c>
      <c r="EY28" s="63">
        <f>EZ28/EX28</f>
        <v>177883.46307230863</v>
      </c>
      <c r="EZ28" s="76">
        <f>SUM(EZ3:EZ11,EZ15,EZ16,EZ17,EZ26)</f>
        <v>82008687.548625156</v>
      </c>
      <c r="FA28" s="48"/>
      <c r="FB28" s="17"/>
      <c r="FC28" s="170">
        <f>SUM(FC12,FC16,FC17,FC26)</f>
        <v>148237057.8180002</v>
      </c>
      <c r="FD28" s="172"/>
      <c r="FE28" s="175">
        <v>26987.425561479999</v>
      </c>
      <c r="FF28" s="140">
        <f>FG28/FE28</f>
        <v>997.71791967752506</v>
      </c>
      <c r="FG28" s="76">
        <f>SUM(FG3:FG11,FG13,FG15,FG16,FG17,FG26)</f>
        <v>26925838.088651888</v>
      </c>
      <c r="FH28" s="139">
        <v>461.02479754000001</v>
      </c>
      <c r="FI28" s="63">
        <f>FJ28/FH28</f>
        <v>162832.22530132858</v>
      </c>
      <c r="FJ28" s="76">
        <f>SUM(FJ3:FJ11,FJ15,FJ16,FJ17,FJ26)</f>
        <v>75069693.702532679</v>
      </c>
      <c r="FK28" s="48"/>
      <c r="FL28" s="17"/>
      <c r="FM28" s="170">
        <f>SUM(FM12,FM16,FM17,FM26)</f>
        <v>148308618.69446015</v>
      </c>
      <c r="FN28" s="172"/>
      <c r="FO28" s="175">
        <v>26987.425561479999</v>
      </c>
      <c r="FP28" s="140">
        <f>FQ28/FO28</f>
        <v>997.97803285250313</v>
      </c>
      <c r="FQ28" s="76">
        <f>SUM(FQ3:FQ11,FQ13,FQ15,FQ16,FQ17,FQ26)+0.01</f>
        <v>26932857.873599168</v>
      </c>
      <c r="FR28" s="139">
        <v>461.02479754000001</v>
      </c>
      <c r="FS28" s="63">
        <f>FT28/FR28</f>
        <v>162933.64860570402</v>
      </c>
      <c r="FT28" s="76">
        <f>SUM(FT3:FT11,FT15,FT16,FT17,FT26)</f>
        <v>75116452.360898197</v>
      </c>
      <c r="FU28" s="48"/>
      <c r="FV28" s="17"/>
      <c r="FW28" s="170">
        <f>SUM(FW12,FW16,FW17,FW26)</f>
        <v>148374273.17718008</v>
      </c>
      <c r="FX28" s="172"/>
      <c r="FY28" s="175">
        <v>26987.425561479999</v>
      </c>
      <c r="FZ28" s="140">
        <f>GA28/FY28</f>
        <v>998.23776142876807</v>
      </c>
      <c r="GA28" s="76">
        <f>SUM(GA3:GA11,GA13,GA15,GA16,GA17,GA26)</f>
        <v>26939867.279217307</v>
      </c>
      <c r="GB28" s="139">
        <v>461.02479754000001</v>
      </c>
      <c r="GC28" s="63">
        <f>GD28/GB28</f>
        <v>163135.80775025414</v>
      </c>
      <c r="GD28" s="76">
        <f>SUM(GD3:GD11,GD15,GD16,GD17,GD26)</f>
        <v>75209652.73958528</v>
      </c>
      <c r="GE28" s="48"/>
      <c r="GF28" s="17"/>
      <c r="GG28" s="170">
        <f>SUM(GG12,GG16,GG17,GG26)</f>
        <v>148485505.54991323</v>
      </c>
      <c r="GH28" s="172"/>
      <c r="GI28" s="175">
        <v>26987.425561479999</v>
      </c>
      <c r="GJ28" s="140">
        <f>GK28/GI28</f>
        <v>998.83157803592849</v>
      </c>
      <c r="GK28" s="76">
        <f>SUM(GK3:GK11,GK13,GK15,GK16,GK17,GK26)+0.01</f>
        <v>26955892.86070022</v>
      </c>
      <c r="GL28" s="139">
        <v>461.02479754000001</v>
      </c>
      <c r="GM28" s="63">
        <f>GN28/GL28</f>
        <v>163304.48693897718</v>
      </c>
      <c r="GN28" s="76">
        <f>SUM(GN3:GN11,GN15,GN16,GN17,GN26)</f>
        <v>75287418.028415531</v>
      </c>
      <c r="GO28" s="48"/>
      <c r="GP28" s="17"/>
      <c r="GQ28" s="170">
        <f>SUM(GQ12,GQ16,GQ17,GQ26)</f>
        <v>148599261.82221773</v>
      </c>
      <c r="GR28" s="172"/>
      <c r="GS28" s="175">
        <v>26987.425561479999</v>
      </c>
      <c r="GT28" s="140">
        <f>GU28/GS28</f>
        <v>888.15516778565768</v>
      </c>
      <c r="GU28" s="76">
        <f>SUM(GU3:GU11,GU13,GU15,GU16,GU17,GU26)+0.01</f>
        <v>23969021.477659214</v>
      </c>
      <c r="GV28" s="139">
        <v>461.02479754000001</v>
      </c>
      <c r="GW28" s="63">
        <f>GX28/GV28</f>
        <v>163426.70478700855</v>
      </c>
      <c r="GX28" s="76">
        <f>SUM(GX3:GX11,GX15,GX16,GX17,GX26)</f>
        <v>75343763.487059966</v>
      </c>
      <c r="GY28" s="48"/>
      <c r="GZ28" s="17"/>
      <c r="HA28" s="170">
        <f>SUM(HA12,HA16,HA17,HA26)</f>
        <v>148685063.61111033</v>
      </c>
      <c r="HB28" s="172"/>
      <c r="HC28" s="175">
        <v>26987.425561479999</v>
      </c>
      <c r="HD28" s="140">
        <f>HE28/HC28</f>
        <v>888.15516778565768</v>
      </c>
      <c r="HE28" s="76">
        <f>SUM(HE3:HE11,HE13,HE15,HE16,HE17,HE26)+0.01</f>
        <v>23969021.477659214</v>
      </c>
      <c r="HF28" s="139">
        <v>461.02479754000001</v>
      </c>
      <c r="HG28" s="63">
        <f>HH28/HF28</f>
        <v>163426.70478700855</v>
      </c>
      <c r="HH28" s="76">
        <f>SUM(HH3:HH11,HH15,HH16,HH17,HH26)</f>
        <v>75343763.487059966</v>
      </c>
      <c r="HI28" s="48"/>
      <c r="HJ28" s="17"/>
      <c r="HK28" s="170">
        <f>SUM(HK12,HK16,HK17,HK26)</f>
        <v>148685063.61111033</v>
      </c>
      <c r="HL28" s="172"/>
      <c r="HM28" s="175">
        <v>26987.425561479999</v>
      </c>
      <c r="HN28" s="140">
        <f>HO28/HM28</f>
        <v>888.9414631521945</v>
      </c>
      <c r="HO28" s="76">
        <f>SUM(HO3:HO11,HO13,HO15,HO16,HO17,HO26)+0.01</f>
        <v>23990241.565332964</v>
      </c>
      <c r="HP28" s="139">
        <v>461.02479754000001</v>
      </c>
      <c r="HQ28" s="63">
        <f>HR28/HP28</f>
        <v>163606.06268786604</v>
      </c>
      <c r="HR28" s="76">
        <f>SUM(HR3:HR11,HR15,HR16,HR17,HR26)</f>
        <v>75426451.926989987</v>
      </c>
      <c r="HS28" s="48"/>
      <c r="HT28" s="17"/>
      <c r="HU28" s="170">
        <f>SUM(HU12,HU16,HU17,HU26)</f>
        <v>148717229.49385896</v>
      </c>
      <c r="HV28" s="172"/>
      <c r="HW28" s="175">
        <v>26987.425561479999</v>
      </c>
      <c r="HX28" s="140">
        <f>HY28/HW28</f>
        <v>889.39245851934879</v>
      </c>
      <c r="HY28" s="76">
        <f>SUM(HY3:HY11,HY13,HY15,HY16,HY17,HY26)+0.01</f>
        <v>24002412.769232612</v>
      </c>
      <c r="HZ28" s="139">
        <v>461.02479754000001</v>
      </c>
      <c r="IA28" s="63">
        <f>IB28/HZ28</f>
        <v>163645.42023193405</v>
      </c>
      <c r="IB28" s="76">
        <f>SUM(IB3:IB11,IB15,IB16,IB17,IB26)</f>
        <v>75444596.730775625</v>
      </c>
      <c r="IC28" s="48"/>
      <c r="ID28" s="17"/>
      <c r="IE28" s="170">
        <f>SUM(IE12,IE16,IE17,IE26)</f>
        <v>148770779.61482242</v>
      </c>
      <c r="IF28" s="172"/>
      <c r="IG28" s="175">
        <v>26987.425561479999</v>
      </c>
      <c r="IH28" s="140">
        <f>II28/IG28</f>
        <v>887.5142264647119</v>
      </c>
      <c r="II28" s="76">
        <f>SUM(II3:II11,II13,II15,II16,II17,II26)+0.01</f>
        <v>23951724.121470913</v>
      </c>
      <c r="IJ28" s="139">
        <v>461.02479754000001</v>
      </c>
      <c r="IK28" s="63">
        <f>IL28/IJ28</f>
        <v>163694.60775945085</v>
      </c>
      <c r="IL28" s="76">
        <f>SUM(IL3:IL11,IL15,IL16,IL17,IL26)</f>
        <v>75467273.400690541</v>
      </c>
      <c r="IM28" s="48"/>
      <c r="IN28" s="17"/>
      <c r="IO28" s="170">
        <f>SUM(IO12,IO16,IO17,IO26)</f>
        <v>148752310.95064101</v>
      </c>
      <c r="IP28" s="172"/>
      <c r="IQ28" s="176">
        <v>887.77522907000002</v>
      </c>
      <c r="IR28" s="140">
        <f>IS28/IQ28</f>
        <v>26987.425574200628</v>
      </c>
      <c r="IS28" s="76">
        <f>SUM(IS3:IS11,IS13,IS15,IS16,IS17,IS26)+0.01</f>
        <v>23958767.92114554</v>
      </c>
      <c r="IT28" s="139">
        <v>461.02479754000001</v>
      </c>
      <c r="IU28" s="63">
        <f>IV28/IT28</f>
        <v>163562.82675425266</v>
      </c>
      <c r="IV28" s="76">
        <f>SUM(IV3:IV11,IV15,IV16,IV17,IV26)</f>
        <v>75406519.089449435</v>
      </c>
      <c r="IW28" s="48"/>
      <c r="IX28" s="17"/>
      <c r="IY28" s="170">
        <f>SUM(IY12,IY16,IY17,IY26)</f>
        <v>148705702.3440873</v>
      </c>
      <c r="IZ28" s="172"/>
      <c r="JA28" s="176">
        <v>887.77522907000002</v>
      </c>
      <c r="JB28" s="140">
        <f>JC28/JA28</f>
        <v>26986.732547238775</v>
      </c>
      <c r="JC28" s="76">
        <f>SUM(JC3:JC11,JC13,JC15,JC16,JC17,JC26)+0.01</f>
        <v>23958152.668975729</v>
      </c>
      <c r="JD28" s="139">
        <v>461.02479754000001</v>
      </c>
      <c r="JE28" s="63">
        <f>JF28/JD28</f>
        <v>163712.64965438558</v>
      </c>
      <c r="JF28" s="76">
        <f>SUM(JF3:JF11,JF15,JF16,JF17,JF26)</f>
        <v>75475591.161650062</v>
      </c>
      <c r="JG28" s="141">
        <f>JI28/JH28</f>
        <v>5.1575008853614372</v>
      </c>
      <c r="JH28" s="63">
        <v>28846679.490030002</v>
      </c>
      <c r="JI28" s="170">
        <f>SUM(JI12,JI16,JI17,JI26)</f>
        <v>148776775.00956735</v>
      </c>
      <c r="JJ28" s="172"/>
      <c r="JK28" s="142">
        <f>JM28/JL28</f>
        <v>888.04744256646518</v>
      </c>
      <c r="JL28" s="140">
        <v>26987.425561479999</v>
      </c>
      <c r="JM28" s="76">
        <f>SUM(JM3:JM11,JM13,JM15,JM16,JM17,JM26)+0.01</f>
        <v>23966114.251325164</v>
      </c>
      <c r="JN28" s="139">
        <v>461.02479754000001</v>
      </c>
      <c r="JO28" s="143">
        <f>JP28/JN28</f>
        <v>163760.83264717873</v>
      </c>
      <c r="JP28" s="76">
        <f>SUM(JP3:JP11,JP15,JP16,JP17,JP26)-0.01</f>
        <v>75497804.716147393</v>
      </c>
      <c r="JQ28" s="141">
        <f>JS28/JR28</f>
        <v>5.1620021898231805</v>
      </c>
      <c r="JR28" s="63">
        <v>28846679.490030002</v>
      </c>
      <c r="JS28" s="170">
        <f>SUM(JS12,JS16,JS17,JS26)</f>
        <v>148906622.69666231</v>
      </c>
      <c r="JT28" s="172"/>
      <c r="JU28" s="176">
        <v>887.77522907000002</v>
      </c>
      <c r="JV28" s="140">
        <f>JW28/JU28</f>
        <v>26995.872775512536</v>
      </c>
      <c r="JW28" s="76">
        <f>SUM(JW3:JW11,JW13,JW15,JW16,JW17,JW26)+0.01</f>
        <v>23966267.137225218</v>
      </c>
      <c r="JX28" s="139">
        <v>461.02479754000001</v>
      </c>
      <c r="JY28" s="63">
        <f>JZ28/JX28</f>
        <v>163823.48771140451</v>
      </c>
      <c r="JZ28" s="76">
        <f>SUM(JZ3:JZ11,JZ15,JZ16,JZ17,JZ26)</f>
        <v>75526690.254446939</v>
      </c>
      <c r="KA28" s="141">
        <f>KC28/KB28</f>
        <v>5.1630381415802988</v>
      </c>
      <c r="KB28" s="63">
        <v>28846679.490030002</v>
      </c>
      <c r="KC28" s="170">
        <f>SUM(KC12,KC16,KC17,KC26)</f>
        <v>148936506.46496701</v>
      </c>
      <c r="KD28" s="172"/>
      <c r="KE28" s="144">
        <f>KG28/KF28</f>
        <v>888.36971448649194</v>
      </c>
      <c r="KF28" s="140">
        <v>26987.425561479999</v>
      </c>
      <c r="KG28" s="76">
        <f>SUM(KG3:KG11,KG13,KG15,KG16,KG17,KG26)</f>
        <v>23974811.540777441</v>
      </c>
      <c r="KH28" s="139">
        <f>KJ28/KI28</f>
        <v>461.02479753853771</v>
      </c>
      <c r="KI28" s="63">
        <v>163938.12098050999</v>
      </c>
      <c r="KJ28" s="76">
        <f>SUM(KJ3:KJ11,KJ15,KJ16,KJ17,KJ26)-0.3</f>
        <v>75579539.033887923</v>
      </c>
      <c r="KK28" s="141">
        <f>KM28/KL28</f>
        <v>5.1655968420039828</v>
      </c>
      <c r="KL28" s="63">
        <v>28846679.490030002</v>
      </c>
      <c r="KM28" s="170">
        <f>SUM(KM12,KM16,KM17,KM26)</f>
        <v>149010316.47600004</v>
      </c>
      <c r="KN28" s="172"/>
      <c r="KO28" s="176">
        <v>887.77522907000002</v>
      </c>
      <c r="KP28" s="140">
        <f>KQ28/KO28</f>
        <v>27018.6876611974</v>
      </c>
      <c r="KQ28" s="76">
        <f>SUM(KQ3:KQ11,KQ13,KQ15,KQ16,KQ17,KQ26)+0.01</f>
        <v>23986521.627590306</v>
      </c>
      <c r="KR28" s="139">
        <v>461.02479754000001</v>
      </c>
      <c r="KS28" s="63">
        <f>KT28/KR28</f>
        <v>164041.73882056173</v>
      </c>
      <c r="KT28" s="76">
        <f>SUM(KT3:KT11,KT15,KT16,KT17,KT26)</f>
        <v>75627309.427859038</v>
      </c>
      <c r="KU28" s="141">
        <f>KW28/KV28</f>
        <v>5.1683111621858844</v>
      </c>
      <c r="KV28" s="63">
        <v>28846679.490030002</v>
      </c>
      <c r="KW28" s="170">
        <f>SUM(KW12,KW16,KW17,KW26)</f>
        <v>149088615.60032067</v>
      </c>
      <c r="KX28" s="172"/>
      <c r="KY28" s="176">
        <v>887.77522907000002</v>
      </c>
      <c r="KZ28" s="140">
        <f>LA28/KY28</f>
        <v>27026.945122252986</v>
      </c>
      <c r="LA28" s="76">
        <f>SUM(LA3:LA11,LA13,LA15,LA16,LA17,LA26)+0.01</f>
        <v>23993852.396970466</v>
      </c>
      <c r="LB28" s="139">
        <v>461.02479754000001</v>
      </c>
      <c r="LC28" s="63">
        <f>LD28/LB28</f>
        <v>157698.91504509852</v>
      </c>
      <c r="LD28" s="76">
        <f>SUM(LD3:LD11,LD15,LD16,LD17,LD26)</f>
        <v>72703110.380944207</v>
      </c>
      <c r="LE28" s="141">
        <f>LG28/LF28</f>
        <v>5.1719390000653629</v>
      </c>
      <c r="LF28" s="63">
        <v>28846679.490030002</v>
      </c>
      <c r="LG28" s="170">
        <f>SUM(LG12,LG16,LG17,LG26)</f>
        <v>149193266.67687178</v>
      </c>
      <c r="LH28" s="172"/>
      <c r="LI28" s="176">
        <v>887.77522907000002</v>
      </c>
      <c r="LJ28" s="140">
        <f>LK28/LI28</f>
        <v>27041.190481604161</v>
      </c>
      <c r="LK28" s="76">
        <f>SUM(LK3:LK11,LK13,LK15,LK16,LK17,LK26)+0.01</f>
        <v>24006499.074131638</v>
      </c>
      <c r="LL28" s="139">
        <v>461.02479754000001</v>
      </c>
      <c r="LM28" s="63">
        <f>LN28/LL28</f>
        <v>157820.50600292711</v>
      </c>
      <c r="LN28" s="76">
        <f>SUM(LN3:LN11,LN15,LN16,LN17,LN26)</f>
        <v>72759166.82765983</v>
      </c>
      <c r="LO28" s="141">
        <f>LQ28/LP28</f>
        <v>5.1750682460382889</v>
      </c>
      <c r="LP28" s="63">
        <v>28846679.490030002</v>
      </c>
      <c r="LQ28" s="170">
        <f>SUM(LQ12,LQ16,LQ17,LQ26)</f>
        <v>149283535.03249824</v>
      </c>
      <c r="LR28" s="172"/>
      <c r="LS28" s="176">
        <v>887.77522907000002</v>
      </c>
      <c r="LT28" s="140">
        <f>LU28/LS28</f>
        <v>27057.285334435888</v>
      </c>
      <c r="LU28" s="76">
        <f>SUM(LU3:LU11,LU13,LU15,LU16,LU17,LU26)+0.01</f>
        <v>24020787.685791172</v>
      </c>
      <c r="LV28" s="139">
        <v>461.02479754000001</v>
      </c>
      <c r="LW28" s="63">
        <f>LX28/LV28</f>
        <v>158204.5388034698</v>
      </c>
      <c r="LX28" s="76">
        <f>SUM(LX3:LX11,LX15,LX16,LX17,LX26)</f>
        <v>72936215.471778736</v>
      </c>
      <c r="LY28" s="141">
        <f>MA28/LZ28</f>
        <v>5.1827780608190759</v>
      </c>
      <c r="LZ28" s="63">
        <v>28846679.490030002</v>
      </c>
      <c r="MA28" s="170">
        <f>SUM(MA12,MA16,MA17,MA26)</f>
        <v>149505937.5884071</v>
      </c>
      <c r="MB28" s="172"/>
      <c r="MC28" s="176">
        <v>887.77522907000002</v>
      </c>
      <c r="MD28" s="140">
        <f>ME28/MC28</f>
        <v>27064.422737494333</v>
      </c>
      <c r="ME28" s="76">
        <f>SUM(ME3:ME11,ME13,ME15,ME16,ME17,ME26)+0.01</f>
        <v>24027124.095426347</v>
      </c>
      <c r="MF28" s="139">
        <v>461.02479754000001</v>
      </c>
      <c r="MG28" s="63">
        <f>MH28/MF28</f>
        <v>158427.33759331284</v>
      </c>
      <c r="MH28" s="76">
        <f>SUM(MH3:MH11,MH15,MH16,MH17,MH26)</f>
        <v>73038931.238758281</v>
      </c>
      <c r="MI28" s="141">
        <f>MK28/MJ28</f>
        <v>5.1868793890187535</v>
      </c>
      <c r="MJ28" s="63">
        <v>28846679.490030002</v>
      </c>
      <c r="MK28" s="170">
        <f>SUM(MK12,MK16,MK17,MK26)</f>
        <v>149624247.28846663</v>
      </c>
      <c r="ML28" s="172"/>
      <c r="MM28" s="176">
        <v>887.77522907000002</v>
      </c>
      <c r="MN28" s="140">
        <f>MO28/MM28</f>
        <v>6064.1554375636733</v>
      </c>
      <c r="MO28" s="76">
        <f>SUM(MO3:MO11,MO13,MO15,MO16,MO17,MO26)+0.01</f>
        <v>5383606.9826991763</v>
      </c>
      <c r="MP28" s="139">
        <v>461.02479754000001</v>
      </c>
      <c r="MQ28" s="63">
        <f>MR28/MP28</f>
        <v>158644.59754560539</v>
      </c>
      <c r="MR28" s="76">
        <f>SUM(MR3:MR11,MR15,MR16,MR17,MR26)</f>
        <v>73139093.464277506</v>
      </c>
      <c r="MS28" s="141">
        <f>MU28/MT28</f>
        <v>4.1247476134341113E-2</v>
      </c>
      <c r="MT28" s="63">
        <v>28846679.490030002</v>
      </c>
      <c r="MU28" s="170">
        <f>SUM(MU12,MU16,MU17,MU26)</f>
        <v>1189852.7238199997</v>
      </c>
      <c r="MV28" s="172"/>
      <c r="MW28" s="176">
        <v>887.77522907000002</v>
      </c>
      <c r="MX28" s="140">
        <f>MY28/MW28</f>
        <v>27085.610918911236</v>
      </c>
      <c r="MY28" s="76">
        <f>SUM(MY3:MY11,MY13,MY15,MY16,MY17,MY26)+0.01</f>
        <v>24045934.438037317</v>
      </c>
      <c r="MZ28" s="139">
        <v>461.02479754000001</v>
      </c>
      <c r="NA28" s="63">
        <f>NB28/MZ28</f>
        <v>158786.01811583873</v>
      </c>
      <c r="NB28" s="76">
        <f>SUM(NB3:NB11,NB15,NB16,NB17,NB26)</f>
        <v>73204291.85403733</v>
      </c>
      <c r="NC28" s="141">
        <f>NE28/ND28</f>
        <v>5.1938819157566591</v>
      </c>
      <c r="ND28" s="63">
        <v>28846679.490030002</v>
      </c>
      <c r="NE28" s="170">
        <f>SUM(NE12,NE16,NE17,NE26)</f>
        <v>149826246.93289536</v>
      </c>
      <c r="NF28" s="172"/>
      <c r="NG28" s="176">
        <v>887.77522907000002</v>
      </c>
      <c r="NH28" s="140">
        <f>NI28/NG28</f>
        <v>27098.883618381544</v>
      </c>
      <c r="NI28" s="76">
        <f>SUM(NI3:NI11,NI13,NI15,NI16,NI17,NI26)+0.01</f>
        <v>24057717.611849945</v>
      </c>
      <c r="NJ28" s="139">
        <v>461.02479754000001</v>
      </c>
      <c r="NK28" s="63">
        <f>NL28/NJ28</f>
        <v>148035.78525709163</v>
      </c>
      <c r="NL28" s="76">
        <f>SUM(NL3:NL11,NL15,NL16,NL17,NL26)</f>
        <v>68248167.926825583</v>
      </c>
      <c r="NM28" s="141">
        <f>NO28/NN28</f>
        <v>5.1962470546771051</v>
      </c>
      <c r="NN28" s="63">
        <v>28846679.490030002</v>
      </c>
      <c r="NO28" s="170">
        <f>SUM(NO12,NO16,NO17,NO26)</f>
        <v>149894473.33728287</v>
      </c>
      <c r="NP28" s="172"/>
      <c r="NQ28" s="176">
        <v>887.77522907000002</v>
      </c>
      <c r="NR28" s="140">
        <f>NS28/NQ28</f>
        <v>27110.864475720049</v>
      </c>
      <c r="NS28" s="76">
        <f>SUM(NS3:NS11,NS13,NS15,NS16,NS17,NS26)</f>
        <v>24068353.920218091</v>
      </c>
      <c r="NT28" s="139">
        <v>461.02479754000001</v>
      </c>
      <c r="NU28" s="63">
        <f>NV28/NT28</f>
        <v>148174.39507739228</v>
      </c>
      <c r="NV28" s="76">
        <f>SUM(NV3:NV11,NV15,NV16,NV17,NV26)</f>
        <v>68312070.491166756</v>
      </c>
      <c r="NW28" s="141">
        <f>NY28/NX28</f>
        <v>5.199268810517033</v>
      </c>
      <c r="NX28" s="63">
        <v>28846679.490030002</v>
      </c>
      <c r="NY28" s="170">
        <f>SUM(NY12,NY16,NY17,NY26)</f>
        <v>149981640.95949438</v>
      </c>
      <c r="NZ28" s="172"/>
      <c r="OA28" s="176">
        <v>887.77522907000002</v>
      </c>
      <c r="OB28" s="140">
        <f>OC28/OA28</f>
        <v>27120.873859708689</v>
      </c>
      <c r="OC28" s="76">
        <f>SUM(OC3:OC11,OC13,OC15,OC16,OC17,OC26)</f>
        <v>24077240.003381457</v>
      </c>
      <c r="OD28" s="139">
        <v>461.02479754000001</v>
      </c>
      <c r="OE28" s="63">
        <f>OF28/OD28</f>
        <v>148365.56205816873</v>
      </c>
      <c r="OF28" s="76">
        <f>SUM(OF3:OF11,OF15,OF16,OF17,OF26)</f>
        <v>68400203.209775537</v>
      </c>
      <c r="OG28" s="141">
        <f>OI28/OH28</f>
        <v>5.203052663981353</v>
      </c>
      <c r="OH28" s="63">
        <v>28846679.490030002</v>
      </c>
      <c r="OI28" s="170">
        <f>SUM(OI12,OI16,OI17,OI26)</f>
        <v>150090792.56761685</v>
      </c>
      <c r="OJ28" s="172"/>
      <c r="OK28" s="176">
        <v>887.77522907000002</v>
      </c>
      <c r="OL28" s="140">
        <f>OM28/OK28</f>
        <v>27120.873859708689</v>
      </c>
      <c r="OM28" s="76">
        <f>SUM(OM3:OM11,OM13,OM15,OM16,OM17,OM26)</f>
        <v>24077240.003381457</v>
      </c>
      <c r="ON28" s="139">
        <v>461.02479754000001</v>
      </c>
      <c r="OO28" s="63">
        <f>OP28/ON28</f>
        <v>148365.56205816873</v>
      </c>
      <c r="OP28" s="76">
        <f>SUM(OP3:OP11,OP15,OP16,OP17,OP26)</f>
        <v>68400203.209775537</v>
      </c>
      <c r="OQ28" s="141">
        <f>OS28/OR28</f>
        <v>4.9098708311608411E-2</v>
      </c>
      <c r="OR28" s="63">
        <v>28846679.490030002</v>
      </c>
      <c r="OS28" s="170">
        <f>SUM(OS12,OS16,OS17,OS26)</f>
        <v>1416334.7020394399</v>
      </c>
      <c r="OT28" s="172"/>
      <c r="OU28" s="176">
        <v>887.77522907000002</v>
      </c>
      <c r="OV28" s="140">
        <f>OW28/OU28</f>
        <v>29407.318671472472</v>
      </c>
      <c r="OW28" s="76">
        <f>SUM(OW3:OW11,OW13,OW15,OW16,OW17,OW26)</f>
        <v>26107089.069900963</v>
      </c>
      <c r="OX28" s="139">
        <v>461.02479754000001</v>
      </c>
      <c r="OY28" s="63">
        <f>OZ28/OX28</f>
        <v>148109.78035579927</v>
      </c>
      <c r="OZ28" s="76">
        <f>SUM(OZ3:OZ11,OZ15,OZ16,OZ17,OZ26)</f>
        <v>68282281.502226233</v>
      </c>
      <c r="PA28" s="141">
        <f>PC28/PB28</f>
        <v>4.9298852718953297E-2</v>
      </c>
      <c r="PB28" s="63">
        <v>28846679.490030002</v>
      </c>
      <c r="PC28" s="170">
        <f>SUM(PC12,PC16,PC17,PC26)</f>
        <v>1422108.2036098398</v>
      </c>
      <c r="PD28" s="172"/>
      <c r="PE28" s="176">
        <v>887.77522907000002</v>
      </c>
      <c r="PF28" s="140">
        <f>PG28/PE28</f>
        <v>27120.873859708689</v>
      </c>
      <c r="PG28" s="76">
        <f>SUM(PG3:PG11,PG13,PG15,PG16,PG17,PG26)</f>
        <v>24077240.003381457</v>
      </c>
      <c r="PH28" s="139">
        <v>461.02479754000001</v>
      </c>
      <c r="PI28" s="63">
        <f>PJ28/PH28</f>
        <v>148365.56205816873</v>
      </c>
      <c r="PJ28" s="76">
        <f>SUM(PJ3:PJ11,PJ15,PJ16,PJ17,PJ26)</f>
        <v>68400203.209775537</v>
      </c>
      <c r="PK28" s="141">
        <f>PM28/PL28</f>
        <v>4.9098708311608411E-2</v>
      </c>
      <c r="PL28" s="63">
        <v>28846679.490030002</v>
      </c>
      <c r="PM28" s="170">
        <f>SUM(PM12,PM16,PM17,PM26)</f>
        <v>1416334.7020394399</v>
      </c>
      <c r="PN28" s="172"/>
      <c r="PO28" s="176">
        <v>887.77522907000002</v>
      </c>
      <c r="PP28" s="140">
        <f>PQ28/PO28</f>
        <v>27120.873859708689</v>
      </c>
      <c r="PQ28" s="76">
        <f>SUM(PQ3:PQ11,PQ13,PQ15,PQ16,PQ17,PQ26)</f>
        <v>24077240.003381457</v>
      </c>
      <c r="PR28" s="139">
        <v>461.02479754000001</v>
      </c>
      <c r="PS28" s="63">
        <f>PT28/PR28</f>
        <v>148365.56205816873</v>
      </c>
      <c r="PT28" s="76">
        <f>SUM(PT3:PT11,PT15,PT16,PT17,PT26)</f>
        <v>68400203.209775537</v>
      </c>
      <c r="PU28" s="141">
        <f>PW28/PV28</f>
        <v>4.9098708311608411E-2</v>
      </c>
      <c r="PV28" s="63">
        <v>28846679.490030002</v>
      </c>
      <c r="PW28" s="170">
        <f>SUM(PW12,PW16,PW17,PW26)</f>
        <v>1416334.7020394399</v>
      </c>
      <c r="PX28" s="172"/>
      <c r="PY28" s="176">
        <v>887.77522907000002</v>
      </c>
      <c r="PZ28" s="140">
        <f>QA28/PY28</f>
        <v>27120.873859708689</v>
      </c>
      <c r="QA28" s="76">
        <f>SUM(QA3:QA11,QA13,QA15,QA16,QA17,QA26)</f>
        <v>24077240.003381457</v>
      </c>
      <c r="QB28" s="139">
        <v>461.02479754000001</v>
      </c>
      <c r="QC28" s="63">
        <f>QD28/QB28</f>
        <v>148365.56205816873</v>
      </c>
      <c r="QD28" s="76">
        <f>SUM(QD3:QD11,QD15,QD16,QD17,QD26)</f>
        <v>68400203.209775537</v>
      </c>
      <c r="QE28" s="141">
        <f>QG28/QF28</f>
        <v>4.9098708311608411E-2</v>
      </c>
      <c r="QF28" s="63">
        <v>28846679.490030002</v>
      </c>
      <c r="QG28" s="170">
        <f>SUM(QG12,QG16,QG17,QG26)</f>
        <v>1416334.7020394399</v>
      </c>
      <c r="QH28" s="172"/>
      <c r="QI28" s="176">
        <v>887.77522907000002</v>
      </c>
      <c r="QJ28" s="140">
        <f>QK28/QI28</f>
        <v>27120.873859708689</v>
      </c>
      <c r="QK28" s="76">
        <f>SUM(QK3:QK11,QK13,QK15,QK16,QK17,QK26)</f>
        <v>24077240.003381457</v>
      </c>
      <c r="QL28" s="139">
        <v>461.02479754000001</v>
      </c>
      <c r="QM28" s="63">
        <f>QN28/QL28</f>
        <v>148365.56205816873</v>
      </c>
      <c r="QN28" s="76">
        <f>SUM(QN3:QN11,QN15,QN16,QN17,QN26)</f>
        <v>68400203.209775537</v>
      </c>
      <c r="QO28" s="141">
        <f>QQ28/QP28</f>
        <v>4.9098708311608411E-2</v>
      </c>
      <c r="QP28" s="63">
        <v>28846679.490030002</v>
      </c>
      <c r="QQ28" s="170">
        <f>SUM(QQ12,QQ16,QQ17,QQ26)</f>
        <v>1416334.7020394399</v>
      </c>
      <c r="QR28" s="172"/>
      <c r="QS28" s="176">
        <v>887.77522907000002</v>
      </c>
      <c r="QT28" s="140">
        <f>QU28/QS28</f>
        <v>27120.873859708689</v>
      </c>
      <c r="QU28" s="76">
        <f>SUM(QU3:QU11,QU13,QU15,QU16,QU17,QU26)</f>
        <v>24077240.003381457</v>
      </c>
      <c r="QV28" s="139">
        <v>461.02479754000001</v>
      </c>
      <c r="QW28" s="63">
        <f>QX28/QV28</f>
        <v>148365.56205816873</v>
      </c>
      <c r="QX28" s="76">
        <f>SUM(QX3:QX11,QX15,QX16,QX17,QX26)</f>
        <v>68400203.209775537</v>
      </c>
      <c r="QY28" s="141">
        <f>RA28/QZ28</f>
        <v>4.9098708311608411E-2</v>
      </c>
      <c r="QZ28" s="63">
        <v>28846679.490030002</v>
      </c>
      <c r="RA28" s="170">
        <f>SUM(RA12,RA16,RA17,RA26)</f>
        <v>1416334.7020394399</v>
      </c>
      <c r="RB28" s="172"/>
      <c r="RC28" s="176">
        <v>887.77522907000002</v>
      </c>
      <c r="RD28" s="140">
        <f>RE28/RC28</f>
        <v>27120.873859708689</v>
      </c>
      <c r="RE28" s="76">
        <f>SUM(RE3:RE11,RE13,RE15,RE16,RE17,RE26)</f>
        <v>24077240.003381457</v>
      </c>
      <c r="RF28" s="139">
        <v>461.02479754000001</v>
      </c>
      <c r="RG28" s="63">
        <f>RH28/RF28</f>
        <v>148365.56205816873</v>
      </c>
      <c r="RH28" s="76">
        <f>SUM(RH3:RH11,RH15,RH16,RH17,RH26)</f>
        <v>68400203.209775537</v>
      </c>
      <c r="RI28" s="141">
        <f>RK28/RJ28</f>
        <v>4.9098708311608411E-2</v>
      </c>
      <c r="RJ28" s="63">
        <v>28846679.490030002</v>
      </c>
      <c r="RK28" s="170">
        <f>SUM(RK12,RK16,RK17,RK26)</f>
        <v>1416334.7020394399</v>
      </c>
      <c r="RL28" s="172"/>
      <c r="RM28" s="176">
        <v>887.77522907000002</v>
      </c>
      <c r="RN28" s="140">
        <f>RO28/RM28</f>
        <v>27120.873859708689</v>
      </c>
      <c r="RO28" s="76">
        <f>SUM(RO3:RO11,RO13,RO15,RO16,RO17,RO26)</f>
        <v>24077240.003381457</v>
      </c>
      <c r="RP28" s="139">
        <v>461.02479754000001</v>
      </c>
      <c r="RQ28" s="63">
        <f>RR28/RP28</f>
        <v>148365.56205816873</v>
      </c>
      <c r="RR28" s="76">
        <f>SUM(RR3:RR11,RR15,RR16,RR17,RR26)</f>
        <v>68400203.209775537</v>
      </c>
      <c r="RS28" s="141">
        <f>RU28/RT28</f>
        <v>4.9098708311608411E-2</v>
      </c>
      <c r="RT28" s="63">
        <v>28846679.490030002</v>
      </c>
      <c r="RU28" s="170">
        <f>SUM(RU12,RU16,RU17,RU26)</f>
        <v>1416334.7020394399</v>
      </c>
    </row>
    <row r="29" spans="1:489" ht="15.75" customHeight="1" thickBot="1" x14ac:dyDescent="0.3">
      <c r="A29" s="68" t="s">
        <v>177</v>
      </c>
      <c r="B29" s="59"/>
      <c r="C29" s="59"/>
      <c r="D29" s="60">
        <f>SUM(D3:D4)/D28</f>
        <v>0.85842411136374119</v>
      </c>
      <c r="E29" s="64"/>
      <c r="F29" s="65"/>
      <c r="G29" s="60">
        <f>SUM(G3:G4)/G28</f>
        <v>0.95696324642245778</v>
      </c>
      <c r="H29" s="58"/>
      <c r="I29" s="59"/>
      <c r="J29" s="60">
        <f>SUM(J18:J25)/J28</f>
        <v>0.99099788134753175</v>
      </c>
      <c r="K29" s="58"/>
      <c r="L29" s="59"/>
      <c r="M29" s="60">
        <f>SUM(M3:M4)/M28</f>
        <v>0.86524714473253184</v>
      </c>
      <c r="N29" s="64"/>
      <c r="O29" s="65"/>
      <c r="P29" s="60">
        <f>SUM(P3:P4)/P28</f>
        <v>0.93508336317811835</v>
      </c>
      <c r="Q29" s="58"/>
      <c r="R29" s="59"/>
      <c r="S29" s="60">
        <f>SUM(S18:S25)/S28</f>
        <v>0.99092737811415665</v>
      </c>
      <c r="T29" s="75"/>
      <c r="U29" s="58"/>
      <c r="V29" s="59"/>
      <c r="W29" s="60">
        <f>SUM(W3:W4)/W28</f>
        <v>0.86427175604420947</v>
      </c>
      <c r="X29" s="64"/>
      <c r="Y29" s="65"/>
      <c r="Z29" s="60">
        <f>SUM(Z3:Z4)/Z28</f>
        <v>0.90176373279791311</v>
      </c>
      <c r="AA29" s="58"/>
      <c r="AB29" s="59"/>
      <c r="AC29" s="60">
        <f>SUM(AC18:AC25)/AC28</f>
        <v>0.99082968267227112</v>
      </c>
      <c r="AD29" s="75"/>
      <c r="AE29" s="58"/>
      <c r="AF29" s="59"/>
      <c r="AG29" s="60">
        <f>SUM(AG3:AG4)/AG28</f>
        <v>0.8599011677536752</v>
      </c>
      <c r="AH29" s="64"/>
      <c r="AI29" s="65"/>
      <c r="AJ29" s="60">
        <f>SUM(AJ3:AJ4)/AJ28</f>
        <v>0.91277446553594566</v>
      </c>
      <c r="AK29" s="58"/>
      <c r="AL29" s="59"/>
      <c r="AM29" s="60">
        <f>SUM(AM18:AM25)/AM28</f>
        <v>0.99085576263988273</v>
      </c>
      <c r="AN29" s="75"/>
      <c r="AO29" s="58"/>
      <c r="AP29" s="59"/>
      <c r="AQ29" s="60">
        <f>SUM(AQ3:AQ4)/AQ28</f>
        <v>0.8599011677536752</v>
      </c>
      <c r="AR29" s="64"/>
      <c r="AS29" s="65"/>
      <c r="AT29" s="60">
        <f>SUM(AT3:AT4)/AT28</f>
        <v>0.91277446553594566</v>
      </c>
      <c r="AU29" s="58"/>
      <c r="AV29" s="59"/>
      <c r="AW29" s="60">
        <f>SUM(AW18:AW25)/AW28</f>
        <v>0.99085576263988273</v>
      </c>
      <c r="AX29" s="75"/>
      <c r="AY29" s="58"/>
      <c r="AZ29" s="59"/>
      <c r="BA29" s="60">
        <f>SUM(BA3:BA4)/BA28</f>
        <v>0.78570849914735641</v>
      </c>
      <c r="BB29" s="64"/>
      <c r="BC29" s="65"/>
      <c r="BD29" s="60">
        <f>SUM(BD3:BD4)/BD28</f>
        <v>0.93471810154004076</v>
      </c>
      <c r="BE29" s="58"/>
      <c r="BF29" s="59"/>
      <c r="BG29" s="60">
        <f>SUM(BG18:BG25)/BG28</f>
        <v>0.9900940918854072</v>
      </c>
      <c r="BH29" s="75"/>
      <c r="BI29" s="58"/>
      <c r="BJ29" s="59"/>
      <c r="BK29" s="60">
        <f>SUM(BK3:BK4)/BK28</f>
        <v>0.76294543495309719</v>
      </c>
      <c r="BL29" s="64"/>
      <c r="BM29" s="65"/>
      <c r="BN29" s="60">
        <f>SUM(BN3:BN4)/BN28</f>
        <v>0.92431959189104984</v>
      </c>
      <c r="BO29" s="58"/>
      <c r="BP29" s="59"/>
      <c r="BQ29" s="60">
        <f>SUM(BQ18:BQ25)/BQ28</f>
        <v>0.99011660591060113</v>
      </c>
      <c r="BR29" s="75"/>
      <c r="BS29" s="58"/>
      <c r="BT29" s="59"/>
      <c r="BU29" s="60">
        <f>SUM(BU3:BU4)/BU28</f>
        <v>0.77274031776046781</v>
      </c>
      <c r="BV29" s="64"/>
      <c r="BW29" s="65"/>
      <c r="BX29" s="60">
        <f>SUM(BX3:BX4)/BX28</f>
        <v>0.92021219607958005</v>
      </c>
      <c r="BY29" s="58"/>
      <c r="BZ29" s="59"/>
      <c r="CA29" s="60">
        <f>SUM(CA18:CA25)/CA28</f>
        <v>0.99011106777759583</v>
      </c>
      <c r="CB29" s="75"/>
      <c r="CC29" s="58"/>
      <c r="CD29" s="59"/>
      <c r="CE29" s="60">
        <f>SUM(CE3:CE4)/CE28</f>
        <v>0.75828876702659498</v>
      </c>
      <c r="CF29" s="64"/>
      <c r="CG29" s="65"/>
      <c r="CH29" s="60">
        <f>SUM(CH3:CH4)/CH28</f>
        <v>0.89649291925007146</v>
      </c>
      <c r="CI29" s="58"/>
      <c r="CJ29" s="59"/>
      <c r="CK29" s="60">
        <f>SUM(CK18:CK25)/CK28</f>
        <v>0.99005677890831945</v>
      </c>
      <c r="CL29" s="75"/>
      <c r="CM29" s="58"/>
      <c r="CN29" s="59"/>
      <c r="CO29" s="60">
        <f>SUM(CO3:CO4)/CO28</f>
        <v>0.73699265472255027</v>
      </c>
      <c r="CP29" s="64"/>
      <c r="CQ29" s="65"/>
      <c r="CR29" s="60">
        <f>SUM(CR3:CR4)/CR28</f>
        <v>0.88095060448160889</v>
      </c>
      <c r="CS29" s="58"/>
      <c r="CT29" s="59"/>
      <c r="CU29" s="60">
        <f>SUM(CU18:CU25)/CU28</f>
        <v>0.99008086019300345</v>
      </c>
      <c r="CV29" s="75"/>
      <c r="CW29" s="58"/>
      <c r="CX29" s="59"/>
      <c r="CY29" s="60">
        <f>SUM(CY3:CY4)/CY28</f>
        <v>0.73445154507255039</v>
      </c>
      <c r="CZ29" s="64"/>
      <c r="DA29" s="65"/>
      <c r="DB29" s="60">
        <f>SUM(DB3:DB4)/DB28</f>
        <v>0.87133668513223206</v>
      </c>
      <c r="DC29" s="58"/>
      <c r="DD29" s="59"/>
      <c r="DE29" s="60">
        <f>SUM(DE18:DE25)/DE28</f>
        <v>0.99007358707553683</v>
      </c>
      <c r="DF29" s="75"/>
      <c r="DG29" s="58"/>
      <c r="DH29" s="59"/>
      <c r="DI29" s="60">
        <f>SUM(DI3:DI4)/DI28</f>
        <v>0.69099374030845306</v>
      </c>
      <c r="DJ29" s="64"/>
      <c r="DK29" s="65"/>
      <c r="DL29" s="60">
        <f>SUM(DL3:DL4)/DL28</f>
        <v>0.84407288137300496</v>
      </c>
      <c r="DM29" s="58"/>
      <c r="DN29" s="59"/>
      <c r="DO29" s="60">
        <f>SUM(DO18:DO25)/DO28</f>
        <v>0.99009205547186829</v>
      </c>
      <c r="DP29" s="75"/>
      <c r="DQ29" s="58"/>
      <c r="DR29" s="59"/>
      <c r="DS29" s="60">
        <f>SUM(DS3:DS4)/DS28</f>
        <v>0.68549451625668578</v>
      </c>
      <c r="DT29" s="64"/>
      <c r="DU29" s="65"/>
      <c r="DV29" s="60">
        <f>SUM(DV3:DV4)/DV28</f>
        <v>0.83654904766157767</v>
      </c>
      <c r="DW29" s="58"/>
      <c r="DX29" s="59"/>
      <c r="DY29" s="60">
        <f>SUM(DY18:DY25)/DY28</f>
        <v>0.99007698706334502</v>
      </c>
      <c r="DZ29" s="75"/>
      <c r="EA29" s="58"/>
      <c r="EB29" s="59"/>
      <c r="EC29" s="60">
        <f>SUM(EC3:EC4)/EC28</f>
        <v>0.67247975994493148</v>
      </c>
      <c r="ED29" s="64"/>
      <c r="EE29" s="65"/>
      <c r="EF29" s="60">
        <f>SUM(EF3:EF4)/EF28</f>
        <v>0.81443057550981646</v>
      </c>
      <c r="EG29" s="58"/>
      <c r="EH29" s="59"/>
      <c r="EI29" s="60">
        <f>SUM(EI18:EI25)/EI28</f>
        <v>0.99009137236633926</v>
      </c>
      <c r="EJ29" s="75"/>
      <c r="EK29" s="58"/>
      <c r="EL29" s="59"/>
      <c r="EM29" s="60">
        <f>SUM(EM3:EM4)/EM28</f>
        <v>0.67708721225144819</v>
      </c>
      <c r="EN29" s="64"/>
      <c r="EO29" s="65"/>
      <c r="EP29" s="60">
        <f>SUM(EP3:EP4)/EP28</f>
        <v>0.7980647525509017</v>
      </c>
      <c r="EQ29" s="58"/>
      <c r="ER29" s="59"/>
      <c r="ES29" s="60">
        <f>SUM(ES18:ES25)/ES28</f>
        <v>0.99011327623241985</v>
      </c>
      <c r="ET29" s="75"/>
      <c r="EU29" s="58"/>
      <c r="EV29" s="59"/>
      <c r="EW29" s="60">
        <f>SUM(EW3:EW4)/EW28</f>
        <v>0.67327063063268744</v>
      </c>
      <c r="EX29" s="64"/>
      <c r="EY29" s="65"/>
      <c r="EZ29" s="60">
        <f>SUM(EZ3:EZ4)/EZ28</f>
        <v>0.84105862460305425</v>
      </c>
      <c r="FA29" s="58"/>
      <c r="FB29" s="59"/>
      <c r="FC29" s="60">
        <f>SUM(FC18:FC25)/FC28</f>
        <v>0.99010831461120319</v>
      </c>
      <c r="FD29" s="75"/>
      <c r="FE29" s="58"/>
      <c r="FF29" s="59"/>
      <c r="FG29" s="60">
        <f>SUM(FG3:FG4)/FG28</f>
        <v>0.65272832005142445</v>
      </c>
      <c r="FH29" s="64"/>
      <c r="FI29" s="65"/>
      <c r="FJ29" s="60">
        <f>SUM(FJ3:FJ4)/FJ28</f>
        <v>0.94724579896330086</v>
      </c>
      <c r="FK29" s="58"/>
      <c r="FL29" s="59"/>
      <c r="FM29" s="60">
        <f>SUM(FM18:FM25)/FM28</f>
        <v>0.99014049592477771</v>
      </c>
      <c r="FN29" s="75"/>
      <c r="FO29" s="58"/>
      <c r="FP29" s="59"/>
      <c r="FQ29" s="60">
        <f>SUM(FQ3:FQ4)/FQ28</f>
        <v>0.63819801295269074</v>
      </c>
      <c r="FR29" s="64"/>
      <c r="FS29" s="65"/>
      <c r="FT29" s="60">
        <f>SUM(FT3:FT4)/FT28</f>
        <v>0.96040582671342756</v>
      </c>
      <c r="FU29" s="58"/>
      <c r="FV29" s="59"/>
      <c r="FW29" s="60">
        <f>SUM(FW18:FW25)/FW28</f>
        <v>0.99014705684959181</v>
      </c>
      <c r="FX29" s="75"/>
      <c r="FY29" s="58"/>
      <c r="FZ29" s="59"/>
      <c r="GA29" s="60">
        <f>SUM(GA3:GA4)/GA28</f>
        <v>0.61901959417842434</v>
      </c>
      <c r="GB29" s="64"/>
      <c r="GC29" s="65"/>
      <c r="GD29" s="60">
        <f>SUM(GD3:GD4)/GD28</f>
        <v>0.95956264703327698</v>
      </c>
      <c r="GE29" s="58"/>
      <c r="GF29" s="59"/>
      <c r="GG29" s="60">
        <f>SUM(GG18:GG25)/GG28</f>
        <v>0.99016246521492357</v>
      </c>
      <c r="GH29" s="75"/>
      <c r="GI29" s="58"/>
      <c r="GJ29" s="59"/>
      <c r="GK29" s="60">
        <f>SUM(GK3:GK4)/GK28</f>
        <v>0.59896956661521472</v>
      </c>
      <c r="GL29" s="64"/>
      <c r="GM29" s="65"/>
      <c r="GN29" s="60">
        <f>SUM(GN3:GN4)/GN28</f>
        <v>0.92717429810869589</v>
      </c>
      <c r="GO29" s="58"/>
      <c r="GP29" s="59"/>
      <c r="GQ29" s="60">
        <f>SUM(GQ18:GQ25)/GQ28</f>
        <v>0.99011706017403522</v>
      </c>
      <c r="GR29" s="75"/>
      <c r="GS29" s="58"/>
      <c r="GT29" s="59"/>
      <c r="GU29" s="60">
        <f>SUM(GU3:GU4)/GU28</f>
        <v>0.64012969432033551</v>
      </c>
      <c r="GV29" s="64"/>
      <c r="GW29" s="65"/>
      <c r="GX29" s="60">
        <f>SUM(GX3:GX4)/GX28</f>
        <v>0.92232260097388119</v>
      </c>
      <c r="GY29" s="58"/>
      <c r="GZ29" s="59"/>
      <c r="HA29" s="60">
        <f>SUM(HA18:HA25)/HA28</f>
        <v>0.96991846356483535</v>
      </c>
      <c r="HB29" s="75"/>
      <c r="HC29" s="58"/>
      <c r="HD29" s="59"/>
      <c r="HE29" s="60">
        <f>SUM(HE3:HE4)/HE28</f>
        <v>0.64012969432033551</v>
      </c>
      <c r="HF29" s="64"/>
      <c r="HG29" s="65"/>
      <c r="HH29" s="60">
        <f>SUM(HH3:HH4)/HH28</f>
        <v>0.92232260097388119</v>
      </c>
      <c r="HI29" s="58"/>
      <c r="HJ29" s="59"/>
      <c r="HK29" s="60">
        <f>SUM(HK18:HK25)/HK28</f>
        <v>0.96991846356483535</v>
      </c>
      <c r="HL29" s="75"/>
      <c r="HM29" s="58"/>
      <c r="HN29" s="59"/>
      <c r="HO29" s="60">
        <f>SUM(HO3:HO4)/HO28</f>
        <v>0.61998145250900605</v>
      </c>
      <c r="HP29" s="64"/>
      <c r="HQ29" s="65"/>
      <c r="HR29" s="60">
        <f>SUM(HR3:HR4)/HR28</f>
        <v>0.9527732927339454</v>
      </c>
      <c r="HS29" s="58"/>
      <c r="HT29" s="59"/>
      <c r="HU29" s="60">
        <f>SUM(HU18:HU25)/HU28</f>
        <v>0.99002331220042117</v>
      </c>
      <c r="HV29" s="75"/>
      <c r="HW29" s="58"/>
      <c r="HX29" s="59"/>
      <c r="HY29" s="60">
        <f>SUM(HY3:HY4)/HY28</f>
        <v>0.63830743364128983</v>
      </c>
      <c r="HZ29" s="64"/>
      <c r="IA29" s="65"/>
      <c r="IB29" s="60">
        <f>SUM(IB3:IB4)/IB28</f>
        <v>0.92369542511447189</v>
      </c>
      <c r="IC29" s="58"/>
      <c r="ID29" s="59"/>
      <c r="IE29" s="60">
        <f>SUM(IE18:IE25)/IE28</f>
        <v>0.98995874716543353</v>
      </c>
      <c r="IF29" s="75"/>
      <c r="IG29" s="58"/>
      <c r="IH29" s="59"/>
      <c r="II29" s="60">
        <f>SUM(II3:II4)/II28</f>
        <v>0.6672290425452132</v>
      </c>
      <c r="IJ29" s="64"/>
      <c r="IK29" s="65"/>
      <c r="IL29" s="60">
        <f>SUM(IL3:IL4)/IL28</f>
        <v>0.89263202046162715</v>
      </c>
      <c r="IM29" s="58"/>
      <c r="IN29" s="59"/>
      <c r="IO29" s="60">
        <f>SUM(IO18:IO25)/IO28</f>
        <v>0.99022206538059698</v>
      </c>
      <c r="IP29" s="75"/>
      <c r="IQ29" s="58"/>
      <c r="IR29" s="59"/>
      <c r="IS29" s="60">
        <f>SUM(IS3:IS4)/IS28</f>
        <v>0.69367516533655038</v>
      </c>
      <c r="IT29" s="64"/>
      <c r="IU29" s="65"/>
      <c r="IV29" s="60">
        <f>SUM(IV3:IV4)/IV28</f>
        <v>0.90184433295912492</v>
      </c>
      <c r="IW29" s="58"/>
      <c r="IX29" s="59"/>
      <c r="IY29" s="60">
        <f>SUM(IY18:IY25)/IY28</f>
        <v>0.99026019750395566</v>
      </c>
      <c r="IZ29" s="75"/>
      <c r="JA29" s="58"/>
      <c r="JB29" s="59"/>
      <c r="JC29" s="60">
        <f>SUM(JC3:JC4)/JC28</f>
        <v>0.75937260683249386</v>
      </c>
      <c r="JD29" s="64"/>
      <c r="JE29" s="65"/>
      <c r="JF29" s="60">
        <f>SUM(JF3:JF4)/JF28</f>
        <v>0.87221560963120781</v>
      </c>
      <c r="JG29" s="58"/>
      <c r="JH29" s="59"/>
      <c r="JI29" s="60">
        <f>SUM(JI18:JI25)/JI28</f>
        <v>0.99034126734715533</v>
      </c>
      <c r="JJ29" s="75"/>
      <c r="JK29" s="58"/>
      <c r="JL29" s="59"/>
      <c r="JM29" s="60">
        <f>SUM(JM3:JM4)/JM28</f>
        <v>0.73646746994112722</v>
      </c>
      <c r="JN29" s="64"/>
      <c r="JO29" s="65"/>
      <c r="JP29" s="60">
        <f>SUM(JP3:JP4)/JP28</f>
        <v>0.84504898918294791</v>
      </c>
      <c r="JQ29" s="58"/>
      <c r="JR29" s="59"/>
      <c r="JS29" s="60">
        <f>SUM(JS18:JS25)/JS28</f>
        <v>0.98977237990980249</v>
      </c>
      <c r="JT29" s="75"/>
      <c r="JU29" s="58"/>
      <c r="JV29" s="59"/>
      <c r="JW29" s="60">
        <f>SUM(JW3:JW4)/JW28</f>
        <v>0.74791155330673331</v>
      </c>
      <c r="JX29" s="64"/>
      <c r="JY29" s="65"/>
      <c r="JZ29" s="60">
        <f>SUM(JZ3:JZ4)/JZ28</f>
        <v>0.87684433914704729</v>
      </c>
      <c r="KA29" s="58"/>
      <c r="KB29" s="59"/>
      <c r="KC29" s="60">
        <f>SUM(KC18:KC25)/KC28</f>
        <v>0.98986266700559056</v>
      </c>
      <c r="KD29" s="75"/>
      <c r="KE29" s="58"/>
      <c r="KF29" s="59"/>
      <c r="KG29" s="60">
        <f>SUM(KG3:KG4)/KG28</f>
        <v>0.75825734533700073</v>
      </c>
      <c r="KH29" s="64"/>
      <c r="KI29" s="65"/>
      <c r="KJ29" s="60">
        <f>SUM(KJ3:KJ4)/KJ28</f>
        <v>0.85675891370175272</v>
      </c>
      <c r="KK29" s="58"/>
      <c r="KL29" s="59"/>
      <c r="KM29" s="60">
        <f>SUM(KM18:KM25)/KM28</f>
        <v>0.98987997355838042</v>
      </c>
      <c r="KN29" s="75"/>
      <c r="KO29" s="58"/>
      <c r="KP29" s="59"/>
      <c r="KQ29" s="60">
        <f>SUM(KQ3:KQ4)/KQ28</f>
        <v>0.74321844068831533</v>
      </c>
      <c r="KR29" s="64"/>
      <c r="KS29" s="65"/>
      <c r="KT29" s="60">
        <f>SUM(KT3:KT4)/KT28</f>
        <v>0.85646709375948549</v>
      </c>
      <c r="KU29" s="58"/>
      <c r="KV29" s="59"/>
      <c r="KW29" s="60">
        <f>SUM(KW18:KW25)/KW28</f>
        <v>0.98981814958191294</v>
      </c>
      <c r="KX29" s="75"/>
      <c r="KY29" s="58"/>
      <c r="KZ29" s="59"/>
      <c r="LA29" s="60">
        <f>SUM(LA3:LA4)/LA28</f>
        <v>0.80073393474566334</v>
      </c>
      <c r="LB29" s="64"/>
      <c r="LC29" s="65"/>
      <c r="LD29" s="60">
        <f>SUM(LD3:LD4)/LD28</f>
        <v>0.88765694267291129</v>
      </c>
      <c r="LE29" s="58"/>
      <c r="LF29" s="59"/>
      <c r="LG29" s="60">
        <f>SUM(LG18:LG25)/LG28</f>
        <v>0.98977600906618346</v>
      </c>
      <c r="LH29" s="75"/>
      <c r="LI29" s="58"/>
      <c r="LJ29" s="59"/>
      <c r="LK29" s="60">
        <f>SUM(LK3:LK4)/LK28</f>
        <v>0.79182367794848063</v>
      </c>
      <c r="LL29" s="64"/>
      <c r="LM29" s="65"/>
      <c r="LN29" s="60">
        <f>SUM(LN3:LN4)/LN28</f>
        <v>0.8834115085597456</v>
      </c>
      <c r="LO29" s="58"/>
      <c r="LP29" s="59"/>
      <c r="LQ29" s="60">
        <f>SUM(LQ18:LQ25)/LQ28</f>
        <v>0.98973762022470146</v>
      </c>
      <c r="LR29" s="75"/>
      <c r="LS29" s="58"/>
      <c r="LT29" s="59"/>
      <c r="LU29" s="60">
        <f>SUM(LU3:LU4)/LU28</f>
        <v>0.80263990094724091</v>
      </c>
      <c r="LV29" s="64"/>
      <c r="LW29" s="65"/>
      <c r="LX29" s="60">
        <f>SUM(LX3:LX4)/LX28</f>
        <v>0.88338938224858432</v>
      </c>
      <c r="LY29" s="58"/>
      <c r="LZ29" s="59"/>
      <c r="MA29" s="60">
        <f>SUM(MA18:MA25)/MA28</f>
        <v>0.98964212351782987</v>
      </c>
      <c r="MB29" s="75"/>
      <c r="MC29" s="58"/>
      <c r="MD29" s="59"/>
      <c r="ME29" s="60">
        <f>SUM(ME3:ME4)/ME28</f>
        <v>0.81452654181314532</v>
      </c>
      <c r="MF29" s="64"/>
      <c r="MG29" s="65"/>
      <c r="MH29" s="60">
        <f>SUM(MH3:MH4)/MH28</f>
        <v>0.87029599619870512</v>
      </c>
      <c r="MI29" s="58"/>
      <c r="MJ29" s="59"/>
      <c r="MK29" s="60">
        <f>SUM(MK18:MK25)/MK28</f>
        <v>0.98969000180079836</v>
      </c>
      <c r="ML29" s="75"/>
      <c r="MM29" s="58"/>
      <c r="MN29" s="59"/>
      <c r="MO29" s="60">
        <f>SUM(MO3:MO4)/MO28</f>
        <v>0</v>
      </c>
      <c r="MP29" s="64"/>
      <c r="MQ29" s="65"/>
      <c r="MR29" s="60">
        <f>SUM(MR3:MR4)/MR28</f>
        <v>0.85829050328034562</v>
      </c>
      <c r="MS29" s="58"/>
      <c r="MT29" s="59"/>
      <c r="MU29" s="60">
        <f>SUM(MU18:MU25)/MU28</f>
        <v>0</v>
      </c>
      <c r="MV29" s="75"/>
      <c r="MW29" s="58"/>
      <c r="MX29" s="59"/>
      <c r="MY29" s="60">
        <f>SUM(MY3:MY4)/MY28</f>
        <v>0.85455027707281062</v>
      </c>
      <c r="MZ29" s="64"/>
      <c r="NA29" s="65"/>
      <c r="NB29" s="60">
        <f>SUM(NB3:NB4)/NB28</f>
        <v>0.85964790763037657</v>
      </c>
      <c r="NC29" s="58"/>
      <c r="ND29" s="59"/>
      <c r="NE29" s="60">
        <f>SUM(NE18:NE25)/NE28</f>
        <v>0.98978307632155726</v>
      </c>
      <c r="NF29" s="75"/>
      <c r="NG29" s="58"/>
      <c r="NH29" s="59"/>
      <c r="NI29" s="60">
        <f>SUM(NI3:NI4)/NI28</f>
        <v>0.88463425370824167</v>
      </c>
      <c r="NJ29" s="64"/>
      <c r="NK29" s="65"/>
      <c r="NL29" s="60">
        <f>SUM(NL3:NL4)/NL28</f>
        <v>0.92019504500061389</v>
      </c>
      <c r="NM29" s="58"/>
      <c r="NN29" s="59"/>
      <c r="NO29" s="60">
        <f>SUM(NO18:NO25)/NO28</f>
        <v>0.98980346424293753</v>
      </c>
      <c r="NP29" s="75"/>
      <c r="NQ29" s="58"/>
      <c r="NR29" s="59"/>
      <c r="NS29" s="60">
        <f>SUM(NS3:NS4)/NS28</f>
        <v>0.92472504884431361</v>
      </c>
      <c r="NT29" s="64"/>
      <c r="NU29" s="65"/>
      <c r="NV29" s="60">
        <f>SUM(NV3:NV4)/NV28</f>
        <v>0.89577178914260125</v>
      </c>
      <c r="NW29" s="58"/>
      <c r="NX29" s="59"/>
      <c r="NY29" s="60">
        <f>SUM(NY18:NY25)/NY28</f>
        <v>0.98983756241408694</v>
      </c>
      <c r="NZ29" s="75"/>
      <c r="OA29" s="58"/>
      <c r="OB29" s="59"/>
      <c r="OC29" s="60">
        <f>SUM(OC3:OC4)/OC28</f>
        <v>0.92032728230223781</v>
      </c>
      <c r="OD29" s="64"/>
      <c r="OE29" s="65"/>
      <c r="OF29" s="60">
        <f>SUM(OF3:OF4)/OF28</f>
        <v>0.89561536794484775</v>
      </c>
      <c r="OG29" s="58"/>
      <c r="OH29" s="59"/>
      <c r="OI29" s="60">
        <f>SUM(OI18:OI25)/OI28</f>
        <v>0.98985979848057737</v>
      </c>
      <c r="OJ29" s="75"/>
      <c r="OK29" s="58"/>
      <c r="OL29" s="59"/>
      <c r="OM29" s="60">
        <f>SUM(OM3:OM4)/OM28</f>
        <v>0.92032728230223781</v>
      </c>
      <c r="ON29" s="64"/>
      <c r="OO29" s="65"/>
      <c r="OP29" s="60">
        <f>SUM(OP3:OP4)/OP28</f>
        <v>0.89561536794484775</v>
      </c>
      <c r="OQ29" s="58"/>
      <c r="OR29" s="59"/>
      <c r="OS29" s="60">
        <f>SUM(OS18:OS25)/OS28</f>
        <v>0</v>
      </c>
      <c r="OT29" s="75"/>
      <c r="OU29" s="58"/>
      <c r="OV29" s="59"/>
      <c r="OW29" s="60">
        <f>SUM(OW3:OW4)/OW28</f>
        <v>0.88441596769503905</v>
      </c>
      <c r="OX29" s="64"/>
      <c r="OY29" s="65"/>
      <c r="OZ29" s="60">
        <f>SUM(OZ3:OZ4)/OZ28</f>
        <v>0.88684354034224322</v>
      </c>
      <c r="PA29" s="58"/>
      <c r="PB29" s="59"/>
      <c r="PC29" s="60">
        <f>SUM(PC18:PC25)/PC28</f>
        <v>0</v>
      </c>
      <c r="PD29" s="75"/>
      <c r="PE29" s="58"/>
      <c r="PF29" s="59"/>
      <c r="PG29" s="60">
        <f>SUM(PG3:PG4)/PG28</f>
        <v>0.92032728230223781</v>
      </c>
      <c r="PH29" s="64"/>
      <c r="PI29" s="65"/>
      <c r="PJ29" s="60">
        <f>SUM(PJ3:PJ4)/PJ28</f>
        <v>0.89561536794484775</v>
      </c>
      <c r="PK29" s="58"/>
      <c r="PL29" s="59"/>
      <c r="PM29" s="60">
        <f>SUM(PM18:PM25)/PM28</f>
        <v>0</v>
      </c>
      <c r="PN29" s="75"/>
      <c r="PO29" s="58"/>
      <c r="PP29" s="59"/>
      <c r="PQ29" s="60">
        <f>SUM(PQ3:PQ4)/PQ28</f>
        <v>0.92032728230223781</v>
      </c>
      <c r="PR29" s="64"/>
      <c r="PS29" s="65"/>
      <c r="PT29" s="60">
        <f>SUM(PT3:PT4)/PT28</f>
        <v>0.89561536794484775</v>
      </c>
      <c r="PU29" s="58"/>
      <c r="PV29" s="59"/>
      <c r="PW29" s="60">
        <f>SUM(PW18:PW25)/PW28</f>
        <v>0</v>
      </c>
      <c r="PX29" s="75"/>
      <c r="PY29" s="58"/>
      <c r="PZ29" s="59"/>
      <c r="QA29" s="60">
        <f>SUM(QA3:QA4)/QA28</f>
        <v>0.92032728230223781</v>
      </c>
      <c r="QB29" s="64"/>
      <c r="QC29" s="65"/>
      <c r="QD29" s="60">
        <f>SUM(QD3:QD4)/QD28</f>
        <v>0.89561536794484775</v>
      </c>
      <c r="QE29" s="58"/>
      <c r="QF29" s="59"/>
      <c r="QG29" s="60">
        <f>SUM(QG18:QG25)/QG28</f>
        <v>0</v>
      </c>
      <c r="QH29" s="75"/>
      <c r="QI29" s="58"/>
      <c r="QJ29" s="59"/>
      <c r="QK29" s="60">
        <f>SUM(QK3:QK4)/QK28</f>
        <v>0.92032728230223781</v>
      </c>
      <c r="QL29" s="64"/>
      <c r="QM29" s="65"/>
      <c r="QN29" s="60">
        <f>SUM(QN3:QN4)/QN28</f>
        <v>0.89561536794484775</v>
      </c>
      <c r="QO29" s="58"/>
      <c r="QP29" s="59"/>
      <c r="QQ29" s="60">
        <f>SUM(QQ18:QQ25)/QQ28</f>
        <v>0</v>
      </c>
      <c r="QR29" s="75"/>
      <c r="QS29" s="58"/>
      <c r="QT29" s="59"/>
      <c r="QU29" s="60">
        <f>SUM(QU3:QU4)/QU28</f>
        <v>0.92032728230223781</v>
      </c>
      <c r="QV29" s="64"/>
      <c r="QW29" s="65"/>
      <c r="QX29" s="60">
        <f>SUM(QX3:QX4)/QX28</f>
        <v>0.89561536794484775</v>
      </c>
      <c r="QY29" s="58"/>
      <c r="QZ29" s="59"/>
      <c r="RA29" s="60">
        <f>SUM(RA18:RA25)/RA28</f>
        <v>0</v>
      </c>
      <c r="RB29" s="75"/>
      <c r="RC29" s="58"/>
      <c r="RD29" s="59"/>
      <c r="RE29" s="60">
        <f>SUM(RE3:RE4)/RE28</f>
        <v>0.92032728230223781</v>
      </c>
      <c r="RF29" s="64"/>
      <c r="RG29" s="65"/>
      <c r="RH29" s="60">
        <f>SUM(RH3:RH4)/RH28</f>
        <v>0.89561536794484775</v>
      </c>
      <c r="RI29" s="58"/>
      <c r="RJ29" s="59"/>
      <c r="RK29" s="60">
        <f>SUM(RK18:RK25)/RK28</f>
        <v>0</v>
      </c>
      <c r="RL29" s="75"/>
      <c r="RM29" s="58"/>
      <c r="RN29" s="59"/>
      <c r="RO29" s="60">
        <f>SUM(RO3:RO4)/RO28</f>
        <v>0.92032728230223781</v>
      </c>
      <c r="RP29" s="64"/>
      <c r="RQ29" s="65"/>
      <c r="RR29" s="60">
        <f>SUM(RR3:RR4)/RR28</f>
        <v>0.89561536794484775</v>
      </c>
      <c r="RS29" s="58"/>
      <c r="RT29" s="59"/>
      <c r="RU29" s="60">
        <f>SUM(RU18:RU25)/RU28</f>
        <v>0</v>
      </c>
    </row>
    <row r="30" spans="1:489" x14ac:dyDescent="0.25">
      <c r="AH30" s="83"/>
      <c r="AS30" t="s">
        <v>178</v>
      </c>
      <c r="BK30" s="1"/>
      <c r="BN30" s="1"/>
    </row>
    <row r="31" spans="1:489" x14ac:dyDescent="0.25">
      <c r="BN31" s="1"/>
      <c r="CH31" s="1"/>
      <c r="MR31" s="12"/>
      <c r="NB31" s="12"/>
    </row>
    <row r="32" spans="1:489" x14ac:dyDescent="0.25">
      <c r="R32" s="1"/>
      <c r="CH32" s="1"/>
      <c r="MR32" s="12"/>
      <c r="NB32" s="12"/>
    </row>
    <row r="33" spans="18:366" x14ac:dyDescent="0.25">
      <c r="R33" s="1"/>
      <c r="AQ33" s="1"/>
      <c r="MR33" s="12"/>
      <c r="NB33" s="12"/>
    </row>
    <row r="34" spans="18:366" x14ac:dyDescent="0.25">
      <c r="AQ34" s="164"/>
    </row>
    <row r="35" spans="18:366" x14ac:dyDescent="0.25">
      <c r="AQ35" s="1"/>
    </row>
    <row r="36" spans="18:366" x14ac:dyDescent="0.25">
      <c r="AQ36" s="1"/>
    </row>
    <row r="37" spans="18:366" x14ac:dyDescent="0.25">
      <c r="AQ37" s="145"/>
    </row>
  </sheetData>
  <mergeCells count="49">
    <mergeCell ref="QI1:QQ1"/>
    <mergeCell ref="QS1:RA1"/>
    <mergeCell ref="RC1:RK1"/>
    <mergeCell ref="RM1:RU1"/>
    <mergeCell ref="OU1:PC1"/>
    <mergeCell ref="PE1:PM1"/>
    <mergeCell ref="PO1:PW1"/>
    <mergeCell ref="PY1:QG1"/>
    <mergeCell ref="CM1:CU1"/>
    <mergeCell ref="HC1:HK1"/>
    <mergeCell ref="FE1:FM1"/>
    <mergeCell ref="FO1:FW1"/>
    <mergeCell ref="FY1:GG1"/>
    <mergeCell ref="GI1:GQ1"/>
    <mergeCell ref="CW1:DE1"/>
    <mergeCell ref="EU1:FC1"/>
    <mergeCell ref="GS1:HA1"/>
    <mergeCell ref="EK1:ES1"/>
    <mergeCell ref="EA1:EI1"/>
    <mergeCell ref="DG1:DO1"/>
    <mergeCell ref="DQ1:DY1"/>
    <mergeCell ref="B1:J1"/>
    <mergeCell ref="K1:S1"/>
    <mergeCell ref="AE1:AM1"/>
    <mergeCell ref="AO1:AW1"/>
    <mergeCell ref="CC1:CK1"/>
    <mergeCell ref="BS1:CA1"/>
    <mergeCell ref="AY1:BG1"/>
    <mergeCell ref="BI1:BQ1"/>
    <mergeCell ref="U1:AC1"/>
    <mergeCell ref="JA1:JI1"/>
    <mergeCell ref="IG1:IO1"/>
    <mergeCell ref="IQ1:IY1"/>
    <mergeCell ref="HM1:HU1"/>
    <mergeCell ref="HW1:IE1"/>
    <mergeCell ref="OK1:OS1"/>
    <mergeCell ref="OA1:OI1"/>
    <mergeCell ref="JK1:JS1"/>
    <mergeCell ref="JU1:KC1"/>
    <mergeCell ref="KE1:KM1"/>
    <mergeCell ref="KO1:KW1"/>
    <mergeCell ref="MW1:NE1"/>
    <mergeCell ref="NG1:NO1"/>
    <mergeCell ref="NQ1:NY1"/>
    <mergeCell ref="KY1:LG1"/>
    <mergeCell ref="LI1:LQ1"/>
    <mergeCell ref="LS1:MA1"/>
    <mergeCell ref="MC1:MK1"/>
    <mergeCell ref="MM1:MU1"/>
  </mergeCells>
  <pageMargins left="0.51181102362204722" right="0.51181102362204722" top="0.78740157480314965" bottom="0.78740157480314965" header="0.31496062992125978" footer="0.31496062992125978"/>
  <pageSetup paperSize="9" scale="45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>
    <tabColor theme="8" tint="0.79998168889431442"/>
    <pageSetUpPr fitToPage="1"/>
  </sheetPr>
  <dimension ref="A1:L88"/>
  <sheetViews>
    <sheetView tabSelected="1" zoomScaleNormal="100" workbookViewId="0">
      <selection activeCell="C18" sqref="C18"/>
    </sheetView>
  </sheetViews>
  <sheetFormatPr defaultRowHeight="15" x14ac:dyDescent="0.25"/>
  <cols>
    <col min="1" max="1" width="15.7109375" style="118" customWidth="1"/>
    <col min="2" max="2" width="50.7109375" customWidth="1"/>
    <col min="3" max="3" width="25.7109375" customWidth="1"/>
    <col min="4" max="6" width="20.7109375" customWidth="1"/>
    <col min="8" max="10" width="14.28515625" bestFit="1" customWidth="1"/>
    <col min="11" max="11" width="11.5703125" customWidth="1"/>
    <col min="12" max="12" width="17.42578125" customWidth="1"/>
  </cols>
  <sheetData>
    <row r="1" spans="1:12" ht="15.75" customHeight="1" x14ac:dyDescent="0.25">
      <c r="A1" s="250" t="s">
        <v>179</v>
      </c>
      <c r="B1" s="251"/>
      <c r="C1" s="125"/>
      <c r="D1" s="123"/>
      <c r="E1" s="125" t="s">
        <v>180</v>
      </c>
      <c r="F1" s="124">
        <f>INDEX(historico!A1:Z20,2,1)</f>
        <v>44985</v>
      </c>
      <c r="G1" s="101"/>
    </row>
    <row r="2" spans="1:12" ht="15.75" customHeight="1" x14ac:dyDescent="0.25">
      <c r="A2" s="248" t="s">
        <v>181</v>
      </c>
      <c r="B2" s="249"/>
      <c r="C2" s="177">
        <f>INDEX(historico!A1:Z20,2,5)</f>
        <v>4630074.78</v>
      </c>
      <c r="D2" s="178"/>
      <c r="E2" s="126" t="s">
        <v>182</v>
      </c>
      <c r="F2" s="179">
        <f>INDEX(historico!A1:Z20,2,2)</f>
        <v>3645790.65</v>
      </c>
      <c r="G2" s="101"/>
      <c r="L2" s="94"/>
    </row>
    <row r="3" spans="1:12" ht="15.75" customHeight="1" x14ac:dyDescent="0.25">
      <c r="A3" s="245" t="s">
        <v>183</v>
      </c>
      <c r="B3" s="246"/>
      <c r="C3" s="180">
        <f>INDEX(historico!A1:Z20,3,5)</f>
        <v>4175813.98</v>
      </c>
      <c r="D3" s="181"/>
      <c r="E3" s="127" t="s">
        <v>184</v>
      </c>
      <c r="F3" s="179">
        <f>INDEX(historico!A1:Z20,2,3)</f>
        <v>0</v>
      </c>
      <c r="G3" s="101"/>
      <c r="L3" s="94"/>
    </row>
    <row r="4" spans="1:12" ht="15.75" customHeight="1" x14ac:dyDescent="0.25">
      <c r="A4" s="245" t="s">
        <v>185</v>
      </c>
      <c r="B4" s="246"/>
      <c r="C4" s="180">
        <f>INDEX(historico!A2:Z21,2,14)</f>
        <v>165198.94</v>
      </c>
      <c r="D4" s="181"/>
      <c r="E4" s="152" t="s">
        <v>186</v>
      </c>
      <c r="F4" s="182">
        <f>INDEX(historico!A1:Z20,2,4)</f>
        <v>984284.13</v>
      </c>
      <c r="G4" s="101"/>
      <c r="L4" s="94"/>
    </row>
    <row r="5" spans="1:12" ht="15.75" customHeight="1" thickBot="1" x14ac:dyDescent="0.3">
      <c r="A5" s="247"/>
      <c r="B5" s="241"/>
      <c r="C5" s="181"/>
      <c r="D5" s="181"/>
      <c r="E5" s="183"/>
      <c r="F5" s="184"/>
      <c r="G5" s="101"/>
      <c r="L5" s="94"/>
    </row>
    <row r="6" spans="1:12" ht="15.75" customHeight="1" x14ac:dyDescent="0.25">
      <c r="A6" s="254" t="s">
        <v>187</v>
      </c>
      <c r="B6" s="251"/>
      <c r="C6" s="185">
        <f>SUM(C7:C8)</f>
        <v>4584142.6499999994</v>
      </c>
      <c r="D6" s="105" t="s">
        <v>188</v>
      </c>
      <c r="E6" s="186">
        <f>C6/C3</f>
        <v>1.0977842097266985</v>
      </c>
      <c r="F6" s="106"/>
      <c r="G6" s="101"/>
    </row>
    <row r="7" spans="1:12" ht="15.75" customHeight="1" x14ac:dyDescent="0.25">
      <c r="A7" s="253" t="s">
        <v>189</v>
      </c>
      <c r="B7" s="246"/>
      <c r="C7" s="187">
        <f>SUM(estoque!H:H)</f>
        <v>4584142.6499999994</v>
      </c>
      <c r="D7" s="188"/>
      <c r="E7" s="189"/>
      <c r="F7" s="190"/>
      <c r="G7" s="101"/>
      <c r="H7" s="1"/>
      <c r="I7" s="191"/>
      <c r="J7" s="191"/>
      <c r="K7" s="191"/>
    </row>
    <row r="8" spans="1:12" ht="15.75" customHeight="1" thickBot="1" x14ac:dyDescent="0.3">
      <c r="A8" s="252" t="s">
        <v>190</v>
      </c>
      <c r="B8" s="241"/>
      <c r="C8" s="192">
        <v>0</v>
      </c>
      <c r="D8" s="193"/>
      <c r="E8" s="183"/>
      <c r="F8" s="184"/>
      <c r="G8" s="101"/>
      <c r="H8" s="1"/>
      <c r="I8" s="191"/>
      <c r="J8" s="191"/>
      <c r="K8" s="191"/>
    </row>
    <row r="9" spans="1:12" ht="15.75" customHeight="1" x14ac:dyDescent="0.25">
      <c r="A9" s="111"/>
      <c r="B9" s="194"/>
      <c r="C9" s="195"/>
      <c r="D9" s="93"/>
      <c r="E9" s="181"/>
      <c r="F9" s="16"/>
      <c r="G9" s="101"/>
      <c r="H9" s="1"/>
      <c r="I9" s="191"/>
      <c r="J9" s="191"/>
      <c r="K9" s="191"/>
    </row>
    <row r="10" spans="1:12" ht="15.75" customHeight="1" thickBot="1" x14ac:dyDescent="0.3">
      <c r="A10" s="112" t="s">
        <v>191</v>
      </c>
      <c r="B10" s="196"/>
      <c r="C10" s="196"/>
      <c r="D10" s="99"/>
      <c r="E10" s="197"/>
      <c r="F10" s="100"/>
      <c r="G10" s="101"/>
      <c r="H10" s="1"/>
      <c r="I10" s="191"/>
      <c r="J10" s="191"/>
      <c r="K10" s="191"/>
    </row>
    <row r="11" spans="1:12" ht="15.75" customHeight="1" x14ac:dyDescent="0.25">
      <c r="A11" s="113" t="s">
        <v>192</v>
      </c>
      <c r="B11" s="198" t="s">
        <v>193</v>
      </c>
      <c r="C11" s="98" t="s">
        <v>194</v>
      </c>
      <c r="D11" s="98"/>
      <c r="E11" s="199"/>
      <c r="F11" s="97"/>
      <c r="G11" s="101"/>
      <c r="H11" s="1"/>
      <c r="I11" s="191"/>
      <c r="J11" s="191"/>
      <c r="K11" s="191"/>
    </row>
    <row r="12" spans="1:12" ht="15.75" customHeight="1" x14ac:dyDescent="0.4">
      <c r="A12" s="114" t="s">
        <v>195</v>
      </c>
      <c r="B12" s="200" t="s">
        <v>196</v>
      </c>
      <c r="C12" s="201">
        <f>INDEX(historico!A1:Z20,2,11)</f>
        <v>0.21258493151162453</v>
      </c>
      <c r="D12" s="202"/>
      <c r="E12" s="189"/>
      <c r="F12" s="190"/>
      <c r="G12" s="101"/>
      <c r="H12" s="1"/>
      <c r="I12" s="191"/>
      <c r="J12" s="191"/>
      <c r="K12" s="191"/>
    </row>
    <row r="13" spans="1:12" ht="15.75" customHeight="1" thickBot="1" x14ac:dyDescent="0.3">
      <c r="A13" s="115" t="s">
        <v>197</v>
      </c>
      <c r="B13" s="203" t="s">
        <v>198</v>
      </c>
      <c r="C13" s="204">
        <f>INDEX(historico!A1:Z20,2,12)</f>
        <v>1</v>
      </c>
      <c r="D13" s="193"/>
      <c r="E13" s="183"/>
      <c r="F13" s="184"/>
      <c r="G13" s="101"/>
      <c r="H13" s="1"/>
      <c r="I13" s="191"/>
      <c r="J13" s="191"/>
      <c r="K13" s="191"/>
    </row>
    <row r="14" spans="1:12" ht="15.75" customHeight="1" x14ac:dyDescent="0.25">
      <c r="A14" s="111"/>
      <c r="B14" s="194"/>
      <c r="C14" s="93"/>
      <c r="D14" s="93"/>
      <c r="E14" s="181"/>
      <c r="F14" s="16"/>
      <c r="G14" s="101"/>
      <c r="H14" s="1"/>
      <c r="I14" s="191"/>
      <c r="J14" s="191"/>
      <c r="K14" s="191"/>
    </row>
    <row r="15" spans="1:12" ht="15.75" customHeight="1" thickBot="1" x14ac:dyDescent="0.3">
      <c r="A15" s="112" t="s">
        <v>199</v>
      </c>
      <c r="B15" s="196"/>
      <c r="C15" s="99"/>
      <c r="D15" s="99"/>
      <c r="E15" s="197"/>
      <c r="F15" s="100"/>
      <c r="G15" s="101"/>
      <c r="H15" s="1"/>
      <c r="I15" s="191"/>
      <c r="J15" s="191"/>
      <c r="K15" s="191"/>
    </row>
    <row r="16" spans="1:12" ht="15.75" customHeight="1" x14ac:dyDescent="0.25">
      <c r="A16" s="242" t="s">
        <v>200</v>
      </c>
      <c r="B16" s="243"/>
      <c r="C16" s="243"/>
      <c r="D16" s="243"/>
      <c r="E16" s="243"/>
      <c r="F16" s="244"/>
      <c r="G16" s="101"/>
      <c r="H16" s="1"/>
      <c r="I16" s="191"/>
      <c r="J16" s="191"/>
      <c r="K16" s="191"/>
    </row>
    <row r="17" spans="1:11" ht="15.75" customHeight="1" x14ac:dyDescent="0.25">
      <c r="A17" s="116"/>
      <c r="B17" s="101"/>
      <c r="C17" s="102" t="s">
        <v>201</v>
      </c>
      <c r="D17" s="103">
        <f>INDEX(historico!A1:Z20,2,17)</f>
        <v>0</v>
      </c>
      <c r="E17" s="102" t="s">
        <v>202</v>
      </c>
      <c r="F17" s="128">
        <v>15</v>
      </c>
      <c r="G17" s="101"/>
      <c r="H17" s="1"/>
      <c r="I17" s="191"/>
      <c r="J17" s="191"/>
      <c r="K17" s="191"/>
    </row>
    <row r="18" spans="1:11" ht="15.75" customHeight="1" thickBot="1" x14ac:dyDescent="0.3">
      <c r="A18" s="116"/>
      <c r="B18" s="101"/>
      <c r="D18" s="93"/>
      <c r="E18" s="93"/>
      <c r="F18" s="16"/>
      <c r="G18" s="101"/>
      <c r="H18" s="1"/>
      <c r="I18" s="191"/>
      <c r="J18" s="191"/>
      <c r="K18" s="191"/>
    </row>
    <row r="19" spans="1:11" ht="15.75" customHeight="1" x14ac:dyDescent="0.25">
      <c r="A19" s="242" t="s">
        <v>203</v>
      </c>
      <c r="B19" s="243"/>
      <c r="C19" s="243"/>
      <c r="D19" s="243"/>
      <c r="E19" s="243"/>
      <c r="F19" s="244"/>
      <c r="G19" s="101"/>
      <c r="H19" s="1"/>
      <c r="I19" s="191"/>
      <c r="J19" s="191"/>
      <c r="K19" s="191"/>
    </row>
    <row r="20" spans="1:11" ht="15.75" customHeight="1" x14ac:dyDescent="0.25">
      <c r="A20" s="111"/>
      <c r="B20" s="205"/>
      <c r="C20" s="102" t="s">
        <v>201</v>
      </c>
      <c r="D20" s="103">
        <v>0</v>
      </c>
      <c r="E20" s="102" t="s">
        <v>202</v>
      </c>
      <c r="F20" s="129">
        <v>0</v>
      </c>
      <c r="G20" s="101"/>
      <c r="H20" s="1"/>
      <c r="I20" s="191"/>
      <c r="J20" s="191"/>
      <c r="K20" s="191"/>
    </row>
    <row r="21" spans="1:11" ht="15.75" customHeight="1" thickBot="1" x14ac:dyDescent="0.3">
      <c r="A21" s="130"/>
      <c r="B21" s="131"/>
      <c r="C21" s="161"/>
      <c r="D21" s="132"/>
      <c r="E21" s="132"/>
      <c r="F21" s="110"/>
      <c r="G21" s="101"/>
      <c r="H21" s="1"/>
      <c r="I21" s="191"/>
      <c r="J21" s="191"/>
      <c r="K21" s="191"/>
    </row>
    <row r="22" spans="1:11" ht="15.75" customHeight="1" x14ac:dyDescent="0.25">
      <c r="A22" s="111"/>
      <c r="B22" s="194"/>
      <c r="C22" s="206"/>
      <c r="D22" s="93"/>
      <c r="E22" s="181"/>
      <c r="F22" s="16"/>
      <c r="G22" s="101"/>
      <c r="H22" s="1"/>
      <c r="I22" s="191"/>
      <c r="J22" s="191"/>
      <c r="K22" s="191"/>
    </row>
    <row r="23" spans="1:11" ht="15.75" customHeight="1" thickBot="1" x14ac:dyDescent="0.3">
      <c r="A23" s="113" t="s">
        <v>204</v>
      </c>
      <c r="B23" s="207"/>
      <c r="C23" s="208"/>
      <c r="D23" s="96"/>
      <c r="E23" s="209"/>
      <c r="F23" s="100"/>
      <c r="G23" s="101"/>
      <c r="H23" s="1"/>
      <c r="I23" s="191"/>
      <c r="J23" s="191"/>
      <c r="K23" s="191"/>
    </row>
    <row r="24" spans="1:11" ht="15.75" customHeight="1" x14ac:dyDescent="0.25">
      <c r="A24" s="117" t="s">
        <v>205</v>
      </c>
      <c r="B24" s="210" t="s">
        <v>206</v>
      </c>
      <c r="C24" s="95" t="s">
        <v>207</v>
      </c>
      <c r="D24" s="211" t="s">
        <v>208</v>
      </c>
      <c r="E24" s="95" t="s">
        <v>209</v>
      </c>
      <c r="F24" s="150" t="s">
        <v>210</v>
      </c>
      <c r="G24" s="101"/>
      <c r="H24" s="164"/>
      <c r="I24" s="191"/>
      <c r="J24" s="191"/>
    </row>
    <row r="25" spans="1:11" ht="15.75" customHeight="1" x14ac:dyDescent="0.25">
      <c r="A25" s="212">
        <f>INDEX(amortizacao!A1:Z2,2,3)</f>
        <v>3645790.65</v>
      </c>
      <c r="B25" s="213" t="str">
        <f>INDEX(amortizacao!A1:Z2,2,2)</f>
        <v>COTA_DRACMA_SEN</v>
      </c>
      <c r="C25" s="149">
        <f>INDEX(amortizacao!A1:Z2,2,4)</f>
        <v>45046</v>
      </c>
      <c r="D25" s="148">
        <f>INDEX(amortizacao!A1:Z2,2,5)</f>
        <v>61</v>
      </c>
      <c r="E25" s="149">
        <f>INDEX(amortizacao!A1:Z2,2,6)</f>
        <v>45230</v>
      </c>
      <c r="F25" s="151">
        <f>INDEX(amortizacao!A1:Z2,2,7)</f>
        <v>245</v>
      </c>
      <c r="G25" s="101"/>
      <c r="I25" s="191"/>
      <c r="J25" s="92"/>
      <c r="K25" s="92"/>
    </row>
    <row r="26" spans="1:11" ht="15.75" customHeight="1" x14ac:dyDescent="0.25">
      <c r="A26" s="214"/>
      <c r="B26" s="215"/>
      <c r="C26" s="157"/>
      <c r="D26" s="158"/>
      <c r="E26" s="157"/>
      <c r="F26" s="159"/>
      <c r="G26" s="101"/>
      <c r="I26" s="191"/>
      <c r="J26" s="92"/>
      <c r="K26" s="92"/>
    </row>
    <row r="27" spans="1:11" ht="15.75" customHeight="1" x14ac:dyDescent="0.25">
      <c r="A27" s="216"/>
      <c r="B27" s="217"/>
      <c r="C27" s="154"/>
      <c r="D27" s="155"/>
      <c r="E27" s="154"/>
      <c r="F27" s="156"/>
      <c r="G27" s="101"/>
      <c r="I27" s="191"/>
      <c r="J27" s="92"/>
      <c r="K27" s="92"/>
    </row>
    <row r="28" spans="1:11" ht="15.75" customHeight="1" thickBot="1" x14ac:dyDescent="0.3">
      <c r="A28" s="113" t="s">
        <v>211</v>
      </c>
      <c r="B28" s="207"/>
      <c r="C28" s="208"/>
      <c r="D28" s="96"/>
      <c r="E28" s="209"/>
      <c r="F28" s="100"/>
      <c r="G28" s="101"/>
      <c r="I28" s="191"/>
      <c r="J28" s="92"/>
      <c r="K28" s="92"/>
    </row>
    <row r="29" spans="1:11" ht="15.75" customHeight="1" x14ac:dyDescent="0.25">
      <c r="A29" s="117" t="s">
        <v>657</v>
      </c>
      <c r="B29" s="210" t="s">
        <v>206</v>
      </c>
      <c r="C29" s="95" t="s">
        <v>653</v>
      </c>
      <c r="D29" s="211" t="s">
        <v>654</v>
      </c>
      <c r="E29" s="95" t="s">
        <v>655</v>
      </c>
      <c r="F29" s="150" t="s">
        <v>656</v>
      </c>
      <c r="G29" s="101"/>
      <c r="I29" s="191"/>
      <c r="J29" s="92"/>
      <c r="K29" s="92"/>
    </row>
    <row r="30" spans="1:11" ht="15.75" customHeight="1" x14ac:dyDescent="0.25">
      <c r="A30" s="257">
        <v>1</v>
      </c>
      <c r="B30" s="213" t="str">
        <f>INDEX(emissao_sub!A1:Z2,2,3)</f>
        <v>SUB</v>
      </c>
      <c r="C30" s="149">
        <v>44809</v>
      </c>
      <c r="D30" s="148">
        <f ca="1">E30-TODAY()</f>
        <v>553</v>
      </c>
      <c r="E30" s="149">
        <v>45540</v>
      </c>
      <c r="F30" s="218">
        <f>(15000 - INDEX(emissao_sub!A1:Z2,2,5))*INDEX(emissao_sub!A1:Z2,2,6)</f>
        <v>10663614.016504174</v>
      </c>
      <c r="G30" s="101"/>
      <c r="I30" s="191"/>
      <c r="J30" s="92"/>
      <c r="K30" s="92"/>
    </row>
    <row r="31" spans="1:11" ht="15.75" customHeight="1" x14ac:dyDescent="0.25">
      <c r="A31" s="257">
        <v>2</v>
      </c>
      <c r="B31" s="213" t="str">
        <f>INDEX(emissao_sen!A1:Z2,2,3)</f>
        <v>SEN</v>
      </c>
      <c r="C31" s="149">
        <v>44865</v>
      </c>
      <c r="D31" s="148">
        <f ca="1">E31-TODAY()</f>
        <v>609</v>
      </c>
      <c r="E31" s="149">
        <v>45596</v>
      </c>
      <c r="F31" s="218">
        <f>(5000 - INDEX(emissao_sen!A1:Z2,2,5))*INDEX(emissao_sen!A1:Z2,2,6)</f>
        <v>1655503.1736346674</v>
      </c>
      <c r="G31" s="101"/>
      <c r="I31" s="191"/>
      <c r="J31" s="92"/>
      <c r="K31" s="92"/>
    </row>
    <row r="32" spans="1:11" ht="15.75" customHeight="1" thickBot="1" x14ac:dyDescent="0.3">
      <c r="A32" s="115"/>
      <c r="B32" s="203"/>
      <c r="C32" s="104"/>
      <c r="D32" s="192"/>
      <c r="E32" s="219"/>
      <c r="F32" s="256"/>
      <c r="G32" s="101"/>
    </row>
    <row r="33" spans="1:7" ht="15.75" customHeight="1" x14ac:dyDescent="0.25">
      <c r="A33" s="119"/>
      <c r="B33" s="101"/>
      <c r="C33" s="101"/>
      <c r="D33" s="101"/>
      <c r="E33" s="153"/>
      <c r="F33" s="101"/>
      <c r="G33" s="101"/>
    </row>
    <row r="34" spans="1:7" ht="15.75" customHeight="1" thickBot="1" x14ac:dyDescent="0.3">
      <c r="B34" s="101"/>
      <c r="C34" s="101"/>
      <c r="D34" s="101"/>
      <c r="E34" s="101"/>
      <c r="F34" s="153"/>
      <c r="G34" s="101"/>
    </row>
    <row r="35" spans="1:7" x14ac:dyDescent="0.25">
      <c r="A35" s="120"/>
      <c r="B35" s="107" t="s">
        <v>212</v>
      </c>
      <c r="C35" s="101"/>
      <c r="D35" s="153"/>
      <c r="E35" s="101"/>
      <c r="F35" s="101"/>
      <c r="G35" s="101"/>
    </row>
    <row r="36" spans="1:7" x14ac:dyDescent="0.25">
      <c r="A36" s="121"/>
      <c r="B36" s="108" t="s">
        <v>213</v>
      </c>
      <c r="C36" s="101"/>
      <c r="D36" s="101"/>
      <c r="E36" s="101"/>
      <c r="F36" s="101"/>
      <c r="G36" s="101"/>
    </row>
    <row r="37" spans="1:7" ht="15.75" customHeight="1" thickBot="1" x14ac:dyDescent="0.3">
      <c r="A37" s="122"/>
      <c r="B37" s="109" t="s">
        <v>214</v>
      </c>
      <c r="C37" s="101"/>
      <c r="D37" s="101"/>
      <c r="E37" s="101"/>
      <c r="F37" s="101"/>
      <c r="G37" s="101"/>
    </row>
    <row r="38" spans="1:7" x14ac:dyDescent="0.25">
      <c r="A38" s="119"/>
      <c r="B38" s="101"/>
      <c r="C38" s="101"/>
      <c r="D38" s="101"/>
      <c r="E38" s="101"/>
      <c r="F38" s="101"/>
      <c r="G38" s="101"/>
    </row>
    <row r="88" spans="2:2" x14ac:dyDescent="0.25">
      <c r="B88" s="220"/>
    </row>
  </sheetData>
  <mergeCells count="10">
    <mergeCell ref="A19:F19"/>
    <mergeCell ref="A3:B3"/>
    <mergeCell ref="A5:B5"/>
    <mergeCell ref="A2:B2"/>
    <mergeCell ref="A1:B1"/>
    <mergeCell ref="A8:B8"/>
    <mergeCell ref="A7:B7"/>
    <mergeCell ref="A6:B6"/>
    <mergeCell ref="A16:F16"/>
    <mergeCell ref="A4:B4"/>
  </mergeCells>
  <conditionalFormatting sqref="C12">
    <cfRule type="cellIs" dxfId="20" priority="10" operator="between">
      <formula>0.2</formula>
      <formula>0.26</formula>
    </cfRule>
    <cfRule type="cellIs" dxfId="19" priority="40" operator="greaterThanOrEqual">
      <formula>0.2</formula>
    </cfRule>
    <cfRule type="cellIs" dxfId="18" priority="46" operator="lessThan">
      <formula>0.2</formula>
    </cfRule>
  </conditionalFormatting>
  <conditionalFormatting sqref="C13">
    <cfRule type="cellIs" dxfId="17" priority="9" operator="between">
      <formula>0.5</formula>
      <formula>0.6</formula>
    </cfRule>
    <cfRule type="cellIs" dxfId="16" priority="39" operator="greaterThanOrEqual">
      <formula>0.5</formula>
    </cfRule>
    <cfRule type="cellIs" dxfId="15" priority="45" operator="lessThan">
      <formula>0.5</formula>
    </cfRule>
  </conditionalFormatting>
  <conditionalFormatting sqref="D17">
    <cfRule type="cellIs" dxfId="14" priority="36" operator="greaterThan">
      <formula>14</formula>
    </cfRule>
    <cfRule type="cellIs" dxfId="13" priority="37" operator="equal">
      <formula>0</formula>
    </cfRule>
    <cfRule type="cellIs" dxfId="12" priority="38" operator="between">
      <formula>1</formula>
      <formula>14</formula>
    </cfRule>
  </conditionalFormatting>
  <conditionalFormatting sqref="D20">
    <cfRule type="cellIs" dxfId="11" priority="33" operator="greaterThan">
      <formula>9</formula>
    </cfRule>
    <cfRule type="cellIs" dxfId="10" priority="34" operator="between">
      <formula>1</formula>
      <formula>9</formula>
    </cfRule>
    <cfRule type="cellIs" dxfId="9" priority="35" operator="equal">
      <formula>0</formula>
    </cfRule>
  </conditionalFormatting>
  <conditionalFormatting sqref="E6">
    <cfRule type="cellIs" dxfId="8" priority="16" operator="between">
      <formula>0.5</formula>
      <formula>0.6</formula>
    </cfRule>
    <cfRule type="cellIs" dxfId="7" priority="24" operator="lessThan">
      <formula>0.5</formula>
    </cfRule>
    <cfRule type="cellIs" dxfId="6" priority="28" operator="greaterThanOrEqual">
      <formula>0.5</formula>
    </cfRule>
  </conditionalFormatting>
  <conditionalFormatting sqref="D25">
    <cfRule type="cellIs" dxfId="5" priority="7" operator="lessThan">
      <formula>10</formula>
    </cfRule>
    <cfRule type="cellIs" dxfId="4" priority="8" operator="lessThan">
      <formula>30</formula>
    </cfRule>
  </conditionalFormatting>
  <conditionalFormatting sqref="D30:D31">
    <cfRule type="cellIs" dxfId="3" priority="3" operator="lessThan">
      <formula>10</formula>
    </cfRule>
    <cfRule type="cellIs" dxfId="2" priority="4" operator="lessThan">
      <formula>30</formula>
    </cfRule>
  </conditionalFormatting>
  <conditionalFormatting sqref="F30:F31">
    <cfRule type="cellIs" dxfId="1" priority="1" operator="lessThan">
      <formula>0</formula>
    </cfRule>
    <cfRule type="cellIs" dxfId="0" priority="2" operator="lessThan">
      <formula>1000000</formula>
    </cfRule>
  </conditionalFormatting>
  <printOptions horizontalCentered="1"/>
  <pageMargins left="0.51181102362204722" right="0.51181102362204722" top="0.78740157480314965" bottom="0.78740157480314965" header="0.31496062992125978" footer="0.31496062992125978"/>
  <pageSetup paperSize="9" scale="44" orientation="portrait"/>
  <headerFooter>
    <oddHeader>&amp;CConcentrações - Sacado - Cedente&amp;R&amp;D</oddHeader>
    <oddFooter>&amp;L&amp;C&amp;R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N50"/>
  <sheetViews>
    <sheetView workbookViewId="0">
      <selection activeCell="G22" sqref="G22"/>
    </sheetView>
  </sheetViews>
  <sheetFormatPr defaultRowHeight="15" x14ac:dyDescent="0.25"/>
  <cols>
    <col min="1" max="1" width="10.42578125" bestFit="1" customWidth="1"/>
    <col min="2" max="2" width="7.7109375" bestFit="1" customWidth="1"/>
    <col min="3" max="3" width="6.85546875" bestFit="1" customWidth="1"/>
    <col min="4" max="4" width="12.28515625" bestFit="1" customWidth="1"/>
    <col min="5" max="5" width="17.7109375" bestFit="1" customWidth="1"/>
    <col min="6" max="6" width="11.140625" bestFit="1" customWidth="1"/>
    <col min="7" max="7" width="12" bestFit="1" customWidth="1"/>
    <col min="8" max="8" width="10.28515625" bestFit="1" customWidth="1"/>
    <col min="9" max="9" width="11.7109375" bestFit="1" customWidth="1"/>
    <col min="10" max="10" width="15.5703125" bestFit="1" customWidth="1"/>
    <col min="11" max="11" width="11.42578125" bestFit="1" customWidth="1"/>
    <col min="12" max="12" width="12.140625" bestFit="1" customWidth="1"/>
    <col min="13" max="14" width="12" bestFit="1" customWidth="1"/>
    <col min="15" max="15" width="15.85546875" bestFit="1" customWidth="1"/>
  </cols>
  <sheetData>
    <row r="1" spans="1:14" x14ac:dyDescent="0.25">
      <c r="A1" t="s">
        <v>215</v>
      </c>
      <c r="B1" t="s">
        <v>216</v>
      </c>
      <c r="C1" t="s">
        <v>217</v>
      </c>
      <c r="D1" t="s">
        <v>218</v>
      </c>
      <c r="E1" t="s">
        <v>219</v>
      </c>
      <c r="F1" t="s">
        <v>220</v>
      </c>
      <c r="G1" t="s">
        <v>221</v>
      </c>
      <c r="H1" t="s">
        <v>222</v>
      </c>
      <c r="I1" t="s">
        <v>223</v>
      </c>
      <c r="J1" t="s">
        <v>224</v>
      </c>
      <c r="K1" t="s">
        <v>225</v>
      </c>
      <c r="L1" t="s">
        <v>226</v>
      </c>
      <c r="M1" t="s">
        <v>227</v>
      </c>
      <c r="N1" t="s">
        <v>228</v>
      </c>
    </row>
    <row r="2" spans="1:14" x14ac:dyDescent="0.25">
      <c r="A2" s="221">
        <v>44985</v>
      </c>
      <c r="B2" t="s">
        <v>229</v>
      </c>
      <c r="C2" t="s">
        <v>230</v>
      </c>
      <c r="D2" t="s">
        <v>231</v>
      </c>
      <c r="E2">
        <v>0.68022682893704622</v>
      </c>
      <c r="F2">
        <v>135412.54</v>
      </c>
      <c r="G2">
        <v>75000.009999999995</v>
      </c>
      <c r="H2">
        <v>92111.24</v>
      </c>
      <c r="I2">
        <v>92111.24</v>
      </c>
      <c r="J2" s="221">
        <v>45291</v>
      </c>
      <c r="K2" s="221">
        <v>44820</v>
      </c>
      <c r="L2" s="221">
        <v>44820</v>
      </c>
      <c r="M2">
        <v>58.787200368383161</v>
      </c>
    </row>
    <row r="3" spans="1:14" x14ac:dyDescent="0.25">
      <c r="A3" s="221">
        <v>44985</v>
      </c>
      <c r="B3" t="s">
        <v>229</v>
      </c>
      <c r="C3" t="s">
        <v>232</v>
      </c>
      <c r="D3" t="s">
        <v>231</v>
      </c>
      <c r="E3">
        <v>0.66172396023283298</v>
      </c>
      <c r="F3">
        <v>335710.6</v>
      </c>
      <c r="G3">
        <v>180000</v>
      </c>
      <c r="H3">
        <v>222147.74</v>
      </c>
      <c r="I3">
        <v>222147.74</v>
      </c>
      <c r="J3" s="221">
        <v>45291</v>
      </c>
      <c r="K3" s="221">
        <v>44827</v>
      </c>
      <c r="L3" s="221">
        <v>44827</v>
      </c>
      <c r="M3">
        <v>64.129923753484547</v>
      </c>
    </row>
    <row r="4" spans="1:14" x14ac:dyDescent="0.25">
      <c r="A4" s="221">
        <v>44985</v>
      </c>
      <c r="B4" t="s">
        <v>229</v>
      </c>
      <c r="C4" t="s">
        <v>233</v>
      </c>
      <c r="D4" t="s">
        <v>231</v>
      </c>
      <c r="E4">
        <v>0.67163253238760035</v>
      </c>
      <c r="F4">
        <v>91184.03</v>
      </c>
      <c r="G4">
        <v>50000</v>
      </c>
      <c r="H4">
        <v>61242.16</v>
      </c>
      <c r="I4">
        <v>61242.16</v>
      </c>
      <c r="J4" s="221">
        <v>45291</v>
      </c>
      <c r="K4" s="221">
        <v>44827</v>
      </c>
      <c r="L4" s="221">
        <v>44827</v>
      </c>
      <c r="M4">
        <v>61.228543584611288</v>
      </c>
    </row>
    <row r="5" spans="1:14" x14ac:dyDescent="0.25">
      <c r="A5" s="221">
        <v>44985</v>
      </c>
      <c r="B5" t="s">
        <v>229</v>
      </c>
      <c r="C5" t="s">
        <v>234</v>
      </c>
      <c r="D5" t="s">
        <v>231</v>
      </c>
      <c r="E5">
        <v>0.77207232765750611</v>
      </c>
      <c r="F5">
        <v>380878.35</v>
      </c>
      <c r="G5">
        <v>259025.9</v>
      </c>
      <c r="H5">
        <v>294065.63</v>
      </c>
      <c r="I5">
        <v>294065.63</v>
      </c>
      <c r="J5" s="221">
        <v>45291</v>
      </c>
      <c r="K5" s="221">
        <v>44833</v>
      </c>
      <c r="L5" s="221">
        <v>44833</v>
      </c>
      <c r="M5">
        <v>36.398757972235643</v>
      </c>
    </row>
    <row r="6" spans="1:14" x14ac:dyDescent="0.25">
      <c r="A6" s="221">
        <v>44985</v>
      </c>
      <c r="B6" t="s">
        <v>229</v>
      </c>
      <c r="C6" t="s">
        <v>235</v>
      </c>
      <c r="D6" t="s">
        <v>231</v>
      </c>
      <c r="E6">
        <v>0.77095372463036926</v>
      </c>
      <c r="F6">
        <v>190801.27</v>
      </c>
      <c r="G6">
        <v>130283.51</v>
      </c>
      <c r="H6">
        <v>147098.94</v>
      </c>
      <c r="I6">
        <v>147098.94</v>
      </c>
      <c r="J6" s="221">
        <v>45291</v>
      </c>
      <c r="K6" s="221">
        <v>44840</v>
      </c>
      <c r="L6" s="221">
        <v>44840</v>
      </c>
      <c r="M6">
        <v>36.636279143083563</v>
      </c>
    </row>
    <row r="7" spans="1:14" x14ac:dyDescent="0.25">
      <c r="A7" s="221">
        <v>44985</v>
      </c>
      <c r="B7" t="s">
        <v>229</v>
      </c>
      <c r="C7" t="s">
        <v>236</v>
      </c>
      <c r="D7" t="s">
        <v>231</v>
      </c>
      <c r="E7">
        <v>0.69108187267853893</v>
      </c>
      <c r="F7">
        <v>102360.45</v>
      </c>
      <c r="G7">
        <v>61235.29</v>
      </c>
      <c r="H7">
        <v>70739.45</v>
      </c>
      <c r="I7">
        <v>70739.45</v>
      </c>
      <c r="J7" s="221">
        <v>45291</v>
      </c>
      <c r="K7" s="221">
        <v>44865</v>
      </c>
      <c r="L7" s="221">
        <v>44865</v>
      </c>
      <c r="M7">
        <v>55.798975777899358</v>
      </c>
    </row>
    <row r="8" spans="1:14" x14ac:dyDescent="0.25">
      <c r="A8" s="221">
        <v>44985</v>
      </c>
      <c r="B8" t="s">
        <v>229</v>
      </c>
      <c r="C8" t="s">
        <v>237</v>
      </c>
      <c r="D8" t="s">
        <v>231</v>
      </c>
      <c r="E8">
        <v>0.70501237718260101</v>
      </c>
      <c r="F8">
        <v>121727.77</v>
      </c>
      <c r="G8">
        <v>74870.52</v>
      </c>
      <c r="H8">
        <v>85819.58</v>
      </c>
      <c r="I8">
        <v>85819.58</v>
      </c>
      <c r="J8" s="221">
        <v>45291</v>
      </c>
      <c r="K8" s="221">
        <v>44865</v>
      </c>
      <c r="L8" s="221">
        <v>44865</v>
      </c>
      <c r="M8">
        <v>52.112151871029702</v>
      </c>
    </row>
    <row r="9" spans="1:14" x14ac:dyDescent="0.25">
      <c r="A9" s="221">
        <v>44985</v>
      </c>
      <c r="B9" t="s">
        <v>229</v>
      </c>
      <c r="C9" t="s">
        <v>238</v>
      </c>
      <c r="D9" t="s">
        <v>231</v>
      </c>
      <c r="E9">
        <v>0.77768632397158377</v>
      </c>
      <c r="F9">
        <v>157307.59</v>
      </c>
      <c r="G9">
        <v>110896</v>
      </c>
      <c r="H9">
        <v>122335.96</v>
      </c>
      <c r="I9">
        <v>122335.96</v>
      </c>
      <c r="J9" s="221">
        <v>45291</v>
      </c>
      <c r="K9" s="221">
        <v>44865</v>
      </c>
      <c r="L9" s="221">
        <v>44865</v>
      </c>
      <c r="M9">
        <v>35.21804293682829</v>
      </c>
    </row>
    <row r="10" spans="1:14" x14ac:dyDescent="0.25">
      <c r="A10" s="221">
        <v>44985</v>
      </c>
      <c r="B10" t="s">
        <v>229</v>
      </c>
      <c r="C10" t="s">
        <v>239</v>
      </c>
      <c r="D10" t="s">
        <v>231</v>
      </c>
      <c r="E10">
        <v>0.80989003629777623</v>
      </c>
      <c r="F10">
        <v>136858.25</v>
      </c>
      <c r="G10">
        <v>102799.75</v>
      </c>
      <c r="H10">
        <v>110840.13</v>
      </c>
      <c r="I10">
        <v>110840.13</v>
      </c>
      <c r="J10" s="221">
        <v>45291</v>
      </c>
      <c r="K10" s="221">
        <v>44875</v>
      </c>
      <c r="L10" s="221">
        <v>44875</v>
      </c>
      <c r="M10">
        <v>28.791954133885898</v>
      </c>
    </row>
    <row r="11" spans="1:14" x14ac:dyDescent="0.25">
      <c r="A11" s="221">
        <v>44985</v>
      </c>
      <c r="B11" t="s">
        <v>229</v>
      </c>
      <c r="C11" t="s">
        <v>240</v>
      </c>
      <c r="D11" t="s">
        <v>231</v>
      </c>
      <c r="E11">
        <v>0.66018217146648317</v>
      </c>
      <c r="F11">
        <v>176506.54</v>
      </c>
      <c r="G11">
        <v>100664.78</v>
      </c>
      <c r="H11">
        <v>116526.47</v>
      </c>
      <c r="I11">
        <v>116526.47</v>
      </c>
      <c r="J11" s="221">
        <v>45291</v>
      </c>
      <c r="K11" s="221">
        <v>44876</v>
      </c>
      <c r="L11" s="221">
        <v>44876</v>
      </c>
      <c r="M11">
        <v>64.590001734927881</v>
      </c>
    </row>
    <row r="12" spans="1:14" x14ac:dyDescent="0.25">
      <c r="A12" s="221">
        <v>44985</v>
      </c>
      <c r="B12" t="s">
        <v>229</v>
      </c>
      <c r="C12" t="s">
        <v>241</v>
      </c>
      <c r="D12" t="s">
        <v>231</v>
      </c>
      <c r="E12">
        <v>0.66018216351685899</v>
      </c>
      <c r="F12">
        <v>531265.19999999995</v>
      </c>
      <c r="G12">
        <v>302989.87</v>
      </c>
      <c r="H12">
        <v>350731.8</v>
      </c>
      <c r="I12">
        <v>350731.8</v>
      </c>
      <c r="J12" s="221">
        <v>45291</v>
      </c>
      <c r="K12" s="221">
        <v>44876</v>
      </c>
      <c r="L12" s="221">
        <v>44876</v>
      </c>
      <c r="M12">
        <v>64.590004113232681</v>
      </c>
    </row>
    <row r="13" spans="1:14" x14ac:dyDescent="0.25">
      <c r="A13" s="221">
        <v>44985</v>
      </c>
      <c r="B13" t="s">
        <v>229</v>
      </c>
      <c r="C13" t="s">
        <v>242</v>
      </c>
      <c r="D13" t="s">
        <v>231</v>
      </c>
      <c r="E13">
        <v>0.75444548278458745</v>
      </c>
      <c r="F13">
        <v>342730.9</v>
      </c>
      <c r="G13">
        <v>234131.32</v>
      </c>
      <c r="H13">
        <v>258571.77</v>
      </c>
      <c r="I13">
        <v>258571.77</v>
      </c>
      <c r="J13" s="221">
        <v>45291</v>
      </c>
      <c r="K13" s="221">
        <v>44876</v>
      </c>
      <c r="L13" s="221">
        <v>44876</v>
      </c>
      <c r="M13">
        <v>40.231818179583279</v>
      </c>
    </row>
    <row r="14" spans="1:14" x14ac:dyDescent="0.25">
      <c r="A14" s="221">
        <v>44985</v>
      </c>
      <c r="B14" t="s">
        <v>229</v>
      </c>
      <c r="C14" t="s">
        <v>243</v>
      </c>
      <c r="D14" t="s">
        <v>231</v>
      </c>
      <c r="E14">
        <v>0.66746231729335026</v>
      </c>
      <c r="F14">
        <v>106158.16</v>
      </c>
      <c r="G14">
        <v>62402.21</v>
      </c>
      <c r="H14">
        <v>70856.570000000007</v>
      </c>
      <c r="I14">
        <v>70856.570000000007</v>
      </c>
      <c r="J14" s="221">
        <v>45291</v>
      </c>
      <c r="K14" s="221">
        <v>44889</v>
      </c>
      <c r="L14" s="221">
        <v>44889</v>
      </c>
      <c r="M14">
        <v>62.438098768414818</v>
      </c>
    </row>
    <row r="15" spans="1:14" x14ac:dyDescent="0.25">
      <c r="A15" s="221">
        <v>44985</v>
      </c>
      <c r="B15" t="s">
        <v>229</v>
      </c>
      <c r="C15" t="s">
        <v>244</v>
      </c>
      <c r="D15" t="s">
        <v>231</v>
      </c>
      <c r="E15">
        <v>0.66534076611834703</v>
      </c>
      <c r="F15">
        <v>70783.88</v>
      </c>
      <c r="G15">
        <v>41757.49</v>
      </c>
      <c r="H15">
        <v>47095.4</v>
      </c>
      <c r="I15">
        <v>47095.4</v>
      </c>
      <c r="J15" s="221">
        <v>45291</v>
      </c>
      <c r="K15" s="221">
        <v>44895</v>
      </c>
      <c r="L15" s="221">
        <v>44895</v>
      </c>
      <c r="M15">
        <v>63.059850300901601</v>
      </c>
    </row>
    <row r="16" spans="1:14" x14ac:dyDescent="0.25">
      <c r="A16" s="221">
        <v>44985</v>
      </c>
      <c r="B16" t="s">
        <v>229</v>
      </c>
      <c r="C16" t="s">
        <v>245</v>
      </c>
      <c r="D16" t="s">
        <v>231</v>
      </c>
      <c r="E16">
        <v>0.7458415014990385</v>
      </c>
      <c r="F16">
        <v>137005.95000000001</v>
      </c>
      <c r="G16">
        <v>94498.53</v>
      </c>
      <c r="H16">
        <v>102184.72</v>
      </c>
      <c r="I16">
        <v>102184.72</v>
      </c>
      <c r="J16" s="221">
        <v>45291</v>
      </c>
      <c r="K16" s="221">
        <v>44903</v>
      </c>
      <c r="L16" s="221">
        <v>44903</v>
      </c>
      <c r="M16">
        <v>42.175297400840073</v>
      </c>
    </row>
    <row r="17" spans="1:13" x14ac:dyDescent="0.25">
      <c r="A17" s="221">
        <v>44985</v>
      </c>
      <c r="B17" t="s">
        <v>229</v>
      </c>
      <c r="C17" t="s">
        <v>246</v>
      </c>
      <c r="D17" t="s">
        <v>231</v>
      </c>
      <c r="E17">
        <v>0.72976948209890635</v>
      </c>
      <c r="F17">
        <v>21045.360000000001</v>
      </c>
      <c r="G17">
        <v>14291.25</v>
      </c>
      <c r="H17">
        <v>15358.26</v>
      </c>
      <c r="I17">
        <v>15358.26</v>
      </c>
      <c r="J17" s="221">
        <v>45291</v>
      </c>
      <c r="K17" s="221">
        <v>44915</v>
      </c>
      <c r="L17" s="221">
        <v>44915</v>
      </c>
      <c r="M17">
        <v>45.940947859491679</v>
      </c>
    </row>
    <row r="18" spans="1:13" x14ac:dyDescent="0.25">
      <c r="A18" s="221">
        <v>44985</v>
      </c>
      <c r="B18" t="s">
        <v>229</v>
      </c>
      <c r="C18" t="s">
        <v>247</v>
      </c>
      <c r="D18" t="s">
        <v>231</v>
      </c>
      <c r="E18">
        <v>0.72963481179510881</v>
      </c>
      <c r="F18">
        <v>3834</v>
      </c>
      <c r="G18">
        <v>2602.96</v>
      </c>
      <c r="H18">
        <v>2797.41</v>
      </c>
      <c r="I18">
        <v>2797.41</v>
      </c>
      <c r="J18" s="221">
        <v>45291</v>
      </c>
      <c r="K18" s="221">
        <v>44915</v>
      </c>
      <c r="L18" s="221">
        <v>44915</v>
      </c>
      <c r="M18">
        <v>45.973272426585858</v>
      </c>
    </row>
    <row r="19" spans="1:13" x14ac:dyDescent="0.25">
      <c r="A19" s="221">
        <v>44985</v>
      </c>
      <c r="B19" t="s">
        <v>229</v>
      </c>
      <c r="C19" t="s">
        <v>248</v>
      </c>
      <c r="D19" t="s">
        <v>231</v>
      </c>
      <c r="E19">
        <v>0.72979655865225834</v>
      </c>
      <c r="F19">
        <v>66240.05</v>
      </c>
      <c r="G19">
        <v>44983.61</v>
      </c>
      <c r="H19">
        <v>48341.760000000002</v>
      </c>
      <c r="I19">
        <v>48341.760000000002</v>
      </c>
      <c r="J19" s="221">
        <v>45291</v>
      </c>
      <c r="K19" s="221">
        <v>44915</v>
      </c>
      <c r="L19" s="221">
        <v>44915</v>
      </c>
      <c r="M19">
        <v>45.934450328387143</v>
      </c>
    </row>
    <row r="20" spans="1:13" x14ac:dyDescent="0.25">
      <c r="A20" s="221">
        <v>44985</v>
      </c>
      <c r="B20" t="s">
        <v>229</v>
      </c>
      <c r="C20" t="s">
        <v>249</v>
      </c>
      <c r="D20" t="s">
        <v>231</v>
      </c>
      <c r="E20">
        <v>0.72974278134404047</v>
      </c>
      <c r="F20">
        <v>26937.21</v>
      </c>
      <c r="G20">
        <v>18291.400000000001</v>
      </c>
      <c r="H20">
        <v>19657.23</v>
      </c>
      <c r="I20">
        <v>19657.23</v>
      </c>
      <c r="J20" s="221">
        <v>45291</v>
      </c>
      <c r="K20" s="221">
        <v>44915</v>
      </c>
      <c r="L20" s="221">
        <v>44915</v>
      </c>
      <c r="M20">
        <v>45.947355730041757</v>
      </c>
    </row>
    <row r="21" spans="1:13" x14ac:dyDescent="0.25">
      <c r="A21" s="221">
        <v>44985</v>
      </c>
      <c r="B21" t="s">
        <v>229</v>
      </c>
      <c r="C21" t="s">
        <v>250</v>
      </c>
      <c r="D21" t="s">
        <v>231</v>
      </c>
      <c r="E21">
        <v>0.72976948451577273</v>
      </c>
      <c r="F21">
        <v>49544.19</v>
      </c>
      <c r="G21">
        <v>33643.919999999998</v>
      </c>
      <c r="H21">
        <v>36155.83</v>
      </c>
      <c r="I21">
        <v>36155.83</v>
      </c>
      <c r="J21" s="221">
        <v>45291</v>
      </c>
      <c r="K21" s="221">
        <v>44915</v>
      </c>
      <c r="L21" s="221">
        <v>44915</v>
      </c>
      <c r="M21">
        <v>45.940947279495226</v>
      </c>
    </row>
    <row r="22" spans="1:13" x14ac:dyDescent="0.25">
      <c r="A22" s="221">
        <v>44985</v>
      </c>
      <c r="B22" t="s">
        <v>229</v>
      </c>
      <c r="C22" t="s">
        <v>251</v>
      </c>
      <c r="D22" t="s">
        <v>231</v>
      </c>
      <c r="E22">
        <v>0.72974282933534285</v>
      </c>
      <c r="F22">
        <v>40484.04</v>
      </c>
      <c r="G22">
        <v>27490.22</v>
      </c>
      <c r="H22">
        <v>29542.93</v>
      </c>
      <c r="I22">
        <v>29542.93</v>
      </c>
      <c r="J22" s="221">
        <v>45291</v>
      </c>
      <c r="K22" s="221">
        <v>44915</v>
      </c>
      <c r="L22" s="221">
        <v>44915</v>
      </c>
      <c r="M22">
        <v>45.947344212224749</v>
      </c>
    </row>
    <row r="23" spans="1:13" x14ac:dyDescent="0.25">
      <c r="A23" s="221">
        <v>44985</v>
      </c>
      <c r="B23" t="s">
        <v>229</v>
      </c>
      <c r="C23" t="s">
        <v>252</v>
      </c>
      <c r="D23" t="s">
        <v>231</v>
      </c>
      <c r="E23">
        <v>0.74825968389616726</v>
      </c>
      <c r="F23">
        <v>163553.19</v>
      </c>
      <c r="G23">
        <v>114847.84</v>
      </c>
      <c r="H23">
        <v>122380.25</v>
      </c>
      <c r="I23">
        <v>122380.25</v>
      </c>
      <c r="J23" s="221">
        <v>45291</v>
      </c>
      <c r="K23" s="221">
        <v>44917</v>
      </c>
      <c r="L23" s="221">
        <v>44917</v>
      </c>
      <c r="M23">
        <v>41.624107052654942</v>
      </c>
    </row>
    <row r="24" spans="1:13" x14ac:dyDescent="0.25">
      <c r="A24" s="221">
        <v>44985</v>
      </c>
      <c r="B24" t="s">
        <v>229</v>
      </c>
      <c r="C24" t="s">
        <v>253</v>
      </c>
      <c r="D24" t="s">
        <v>231</v>
      </c>
      <c r="E24">
        <v>0.7233330700387498</v>
      </c>
      <c r="F24">
        <v>732496.11</v>
      </c>
      <c r="G24">
        <v>521729.59</v>
      </c>
      <c r="H24">
        <v>529838.66</v>
      </c>
      <c r="I24">
        <v>529838.66</v>
      </c>
      <c r="J24" s="221">
        <v>45291</v>
      </c>
      <c r="K24" s="221">
        <v>44967</v>
      </c>
      <c r="L24" s="221">
        <v>44967</v>
      </c>
      <c r="M24">
        <v>47.500677373071269</v>
      </c>
    </row>
    <row r="25" spans="1:13" x14ac:dyDescent="0.25">
      <c r="A25" s="221">
        <v>44985</v>
      </c>
      <c r="B25" t="s">
        <v>229</v>
      </c>
      <c r="C25" t="s">
        <v>254</v>
      </c>
      <c r="D25" t="s">
        <v>231</v>
      </c>
      <c r="E25">
        <v>0.49379192315973069</v>
      </c>
      <c r="F25">
        <v>69107.59</v>
      </c>
      <c r="G25">
        <v>33608.629999999997</v>
      </c>
      <c r="H25">
        <v>34124.76</v>
      </c>
      <c r="I25">
        <v>34124.76</v>
      </c>
      <c r="J25" s="221">
        <v>45657</v>
      </c>
      <c r="K25" s="221">
        <v>44967</v>
      </c>
      <c r="L25" s="221">
        <v>44967</v>
      </c>
      <c r="M25">
        <v>46.823913579636567</v>
      </c>
    </row>
    <row r="26" spans="1:13" x14ac:dyDescent="0.25">
      <c r="A26" s="221">
        <v>44985</v>
      </c>
      <c r="B26" t="s">
        <v>229</v>
      </c>
      <c r="C26" t="s">
        <v>255</v>
      </c>
      <c r="D26" t="s">
        <v>231</v>
      </c>
      <c r="E26">
        <v>0.58818163034953619</v>
      </c>
      <c r="F26">
        <v>608308.16</v>
      </c>
      <c r="G26">
        <v>354123.51</v>
      </c>
      <c r="H26">
        <v>357795.68</v>
      </c>
      <c r="I26">
        <v>357795.68</v>
      </c>
      <c r="J26" s="221">
        <v>45657</v>
      </c>
      <c r="K26" s="221">
        <v>44970</v>
      </c>
      <c r="L26" s="221">
        <v>44970</v>
      </c>
      <c r="M26">
        <v>33.490232005824019</v>
      </c>
    </row>
    <row r="27" spans="1:13" x14ac:dyDescent="0.25">
      <c r="A27" s="221">
        <v>44985</v>
      </c>
      <c r="B27" t="s">
        <v>229</v>
      </c>
      <c r="C27" t="s">
        <v>256</v>
      </c>
      <c r="D27" t="s">
        <v>231</v>
      </c>
      <c r="E27">
        <v>0.67496642943277896</v>
      </c>
      <c r="F27">
        <v>863138.24</v>
      </c>
      <c r="G27">
        <v>573930.09</v>
      </c>
      <c r="H27">
        <v>582589.32999999996</v>
      </c>
      <c r="I27">
        <v>582589.32999999996</v>
      </c>
      <c r="J27" s="221">
        <v>45291</v>
      </c>
      <c r="K27" s="221">
        <v>44971</v>
      </c>
      <c r="L27" s="221">
        <v>44971</v>
      </c>
      <c r="M27">
        <v>60.273378720606793</v>
      </c>
    </row>
    <row r="28" spans="1:13" x14ac:dyDescent="0.25">
      <c r="A28" s="221">
        <v>44985</v>
      </c>
      <c r="B28" t="s">
        <v>229</v>
      </c>
      <c r="C28" t="s">
        <v>257</v>
      </c>
      <c r="D28" t="s">
        <v>231</v>
      </c>
      <c r="E28">
        <v>0.57630324421018442</v>
      </c>
      <c r="F28">
        <v>303184.17</v>
      </c>
      <c r="G28">
        <v>173482.58</v>
      </c>
      <c r="H28">
        <v>174726.02</v>
      </c>
      <c r="I28">
        <v>174726.02</v>
      </c>
      <c r="J28" s="221">
        <v>45657</v>
      </c>
      <c r="K28" s="221">
        <v>44973</v>
      </c>
      <c r="L28" s="221">
        <v>44973</v>
      </c>
      <c r="M28">
        <v>34.980797855544353</v>
      </c>
    </row>
    <row r="29" spans="1:13" x14ac:dyDescent="0.25">
      <c r="A29" s="221">
        <v>44985</v>
      </c>
      <c r="B29" t="s">
        <v>229</v>
      </c>
      <c r="C29" t="s">
        <v>258</v>
      </c>
      <c r="D29" t="s">
        <v>231</v>
      </c>
      <c r="E29">
        <v>0.63944988969138628</v>
      </c>
      <c r="F29">
        <v>29843.99</v>
      </c>
      <c r="G29">
        <v>19002.64</v>
      </c>
      <c r="H29">
        <v>19083.73</v>
      </c>
      <c r="I29">
        <v>19083.73</v>
      </c>
      <c r="J29" s="221">
        <v>45291</v>
      </c>
      <c r="K29" s="221">
        <v>44981</v>
      </c>
      <c r="L29" s="221">
        <v>44981</v>
      </c>
      <c r="M29">
        <v>71.014202655406038</v>
      </c>
    </row>
    <row r="30" spans="1:13" x14ac:dyDescent="0.25">
      <c r="A30" s="221">
        <v>44985</v>
      </c>
      <c r="B30" t="s">
        <v>229</v>
      </c>
      <c r="C30" t="s">
        <v>259</v>
      </c>
      <c r="D30" t="s">
        <v>231</v>
      </c>
      <c r="E30">
        <v>0.49074611226193982</v>
      </c>
      <c r="F30">
        <v>34683.74</v>
      </c>
      <c r="G30">
        <v>16968.77</v>
      </c>
      <c r="H30">
        <v>17020.91</v>
      </c>
      <c r="I30">
        <v>17020.91</v>
      </c>
      <c r="J30" s="221">
        <v>45659</v>
      </c>
      <c r="K30" s="221">
        <v>44981</v>
      </c>
      <c r="L30" s="221">
        <v>44981</v>
      </c>
      <c r="M30">
        <v>47.196234801003811</v>
      </c>
    </row>
    <row r="31" spans="1:13" x14ac:dyDescent="0.25">
      <c r="A31" s="221">
        <v>44985</v>
      </c>
      <c r="B31" t="s">
        <v>229</v>
      </c>
      <c r="C31" t="s">
        <v>260</v>
      </c>
      <c r="D31" t="s">
        <v>231</v>
      </c>
      <c r="E31">
        <v>0.58777392186403388</v>
      </c>
      <c r="F31">
        <v>98098.83</v>
      </c>
      <c r="G31">
        <v>57368.85</v>
      </c>
      <c r="H31">
        <v>57659.93</v>
      </c>
      <c r="I31">
        <v>57659.93</v>
      </c>
      <c r="J31" s="221">
        <v>45291</v>
      </c>
      <c r="K31" s="221">
        <v>44981</v>
      </c>
      <c r="L31" s="221">
        <v>44981</v>
      </c>
      <c r="M31">
        <v>89.21154142755006</v>
      </c>
    </row>
    <row r="32" spans="1:13" x14ac:dyDescent="0.25">
      <c r="A32" s="221">
        <v>44985</v>
      </c>
      <c r="B32" t="s">
        <v>229</v>
      </c>
      <c r="C32" t="s">
        <v>261</v>
      </c>
      <c r="D32" t="s">
        <v>231</v>
      </c>
      <c r="E32">
        <v>0.63944944767583434</v>
      </c>
      <c r="F32">
        <v>15799.8</v>
      </c>
      <c r="G32">
        <v>10060.24</v>
      </c>
      <c r="H32">
        <v>10103.17</v>
      </c>
      <c r="I32">
        <v>10103.17</v>
      </c>
      <c r="J32" s="221">
        <v>45291</v>
      </c>
      <c r="K32" s="221">
        <v>44981</v>
      </c>
      <c r="L32" s="221">
        <v>44981</v>
      </c>
      <c r="M32">
        <v>71.014344510452204</v>
      </c>
    </row>
    <row r="33" spans="1:13" x14ac:dyDescent="0.25">
      <c r="A33" s="221">
        <v>44985</v>
      </c>
      <c r="B33" t="s">
        <v>229</v>
      </c>
      <c r="C33" t="s">
        <v>262</v>
      </c>
      <c r="D33" t="s">
        <v>231</v>
      </c>
      <c r="E33">
        <v>0.63944961432062675</v>
      </c>
      <c r="F33">
        <v>15780.29</v>
      </c>
      <c r="G33">
        <v>10047.82</v>
      </c>
      <c r="H33">
        <v>10090.700000000001</v>
      </c>
      <c r="I33">
        <v>10090.700000000001</v>
      </c>
      <c r="J33" s="221">
        <v>45291</v>
      </c>
      <c r="K33" s="221">
        <v>44981</v>
      </c>
      <c r="L33" s="221">
        <v>44981</v>
      </c>
      <c r="M33">
        <v>71.014291029492568</v>
      </c>
    </row>
    <row r="34" spans="1:13" x14ac:dyDescent="0.25">
      <c r="A34" s="221">
        <v>44985</v>
      </c>
      <c r="B34" t="s">
        <v>229</v>
      </c>
      <c r="C34" t="s">
        <v>263</v>
      </c>
      <c r="D34" t="s">
        <v>231</v>
      </c>
      <c r="E34">
        <v>0.63944929150120244</v>
      </c>
      <c r="F34">
        <v>15520.22</v>
      </c>
      <c r="G34">
        <v>9882.2199999999993</v>
      </c>
      <c r="H34">
        <v>9924.39</v>
      </c>
      <c r="I34">
        <v>9924.39</v>
      </c>
      <c r="J34" s="221">
        <v>45291</v>
      </c>
      <c r="K34" s="221">
        <v>44981</v>
      </c>
      <c r="L34" s="221">
        <v>44981</v>
      </c>
      <c r="M34">
        <v>71.014394631273333</v>
      </c>
    </row>
    <row r="35" spans="1:13" x14ac:dyDescent="0.25">
      <c r="A35" s="221">
        <v>44985</v>
      </c>
      <c r="B35" t="s">
        <v>229</v>
      </c>
      <c r="C35" t="s">
        <v>264</v>
      </c>
      <c r="D35" t="s">
        <v>231</v>
      </c>
      <c r="E35">
        <v>0.49074591250835442</v>
      </c>
      <c r="F35">
        <v>23683.29</v>
      </c>
      <c r="G35">
        <v>11586.87</v>
      </c>
      <c r="H35">
        <v>11622.47</v>
      </c>
      <c r="I35">
        <v>11622.47</v>
      </c>
      <c r="J35" s="221">
        <v>45659</v>
      </c>
      <c r="K35" s="221">
        <v>44981</v>
      </c>
      <c r="L35" s="221">
        <v>44981</v>
      </c>
      <c r="M35">
        <v>47.196267340971218</v>
      </c>
    </row>
    <row r="36" spans="1:13" x14ac:dyDescent="0.25">
      <c r="A36" s="221">
        <v>44985</v>
      </c>
      <c r="B36" t="s">
        <v>229</v>
      </c>
      <c r="C36" t="s">
        <v>265</v>
      </c>
      <c r="D36" t="s">
        <v>231</v>
      </c>
      <c r="E36">
        <v>0.48967122294606158</v>
      </c>
      <c r="F36">
        <v>28076.2</v>
      </c>
      <c r="G36">
        <v>13705.86</v>
      </c>
      <c r="H36">
        <v>13748.1</v>
      </c>
      <c r="I36">
        <v>13748.1</v>
      </c>
      <c r="J36" s="221">
        <v>45659</v>
      </c>
      <c r="K36" s="221">
        <v>44981</v>
      </c>
      <c r="L36" s="221">
        <v>44981</v>
      </c>
      <c r="M36">
        <v>47.371631257857352</v>
      </c>
    </row>
    <row r="37" spans="1:13" x14ac:dyDescent="0.25">
      <c r="A37" s="221">
        <v>44985</v>
      </c>
      <c r="B37" t="s">
        <v>229</v>
      </c>
      <c r="C37" t="s">
        <v>266</v>
      </c>
      <c r="D37" t="s">
        <v>231</v>
      </c>
      <c r="E37">
        <v>0.71749842965156752</v>
      </c>
      <c r="F37">
        <v>17904.21</v>
      </c>
      <c r="G37">
        <v>12805.69</v>
      </c>
      <c r="H37">
        <v>12846.24</v>
      </c>
      <c r="I37">
        <v>12846.24</v>
      </c>
      <c r="J37" s="221">
        <v>45291</v>
      </c>
      <c r="K37" s="221">
        <v>44981</v>
      </c>
      <c r="L37" s="221">
        <v>44981</v>
      </c>
      <c r="M37">
        <v>48.941201904956998</v>
      </c>
    </row>
    <row r="38" spans="1:13" x14ac:dyDescent="0.25">
      <c r="A38" s="221">
        <v>44985</v>
      </c>
      <c r="B38" t="s">
        <v>229</v>
      </c>
      <c r="C38" t="s">
        <v>267</v>
      </c>
      <c r="D38" t="s">
        <v>231</v>
      </c>
      <c r="E38">
        <v>0.71626306333885481</v>
      </c>
      <c r="F38">
        <v>35421.129999999997</v>
      </c>
      <c r="G38">
        <v>25334.38</v>
      </c>
      <c r="H38">
        <v>25370.84</v>
      </c>
      <c r="I38">
        <v>25370.84</v>
      </c>
      <c r="J38" s="221">
        <v>45659</v>
      </c>
      <c r="K38" s="221">
        <v>44981</v>
      </c>
      <c r="L38" s="221">
        <v>44981</v>
      </c>
      <c r="M38">
        <v>19.87002466747003</v>
      </c>
    </row>
    <row r="39" spans="1:13" x14ac:dyDescent="0.25">
      <c r="A39" s="221">
        <v>44985</v>
      </c>
      <c r="B39" t="s">
        <v>229</v>
      </c>
      <c r="C39" t="s">
        <v>268</v>
      </c>
      <c r="D39" t="s">
        <v>231</v>
      </c>
      <c r="E39">
        <v>0.49074606891737732</v>
      </c>
      <c r="F39">
        <v>69941.06</v>
      </c>
      <c r="G39">
        <v>34218.15</v>
      </c>
      <c r="H39">
        <v>34323.300000000003</v>
      </c>
      <c r="I39">
        <v>34323.300000000003</v>
      </c>
      <c r="J39" s="221">
        <v>45659</v>
      </c>
      <c r="K39" s="221">
        <v>44981</v>
      </c>
      <c r="L39" s="221">
        <v>44981</v>
      </c>
      <c r="M39">
        <v>47.19624186185483</v>
      </c>
    </row>
    <row r="40" spans="1:13" x14ac:dyDescent="0.25">
      <c r="A40" s="221">
        <v>44985</v>
      </c>
      <c r="B40" t="s">
        <v>229</v>
      </c>
      <c r="C40" t="s">
        <v>269</v>
      </c>
      <c r="D40" t="s">
        <v>231</v>
      </c>
      <c r="E40">
        <v>0.49074559544945079</v>
      </c>
      <c r="F40">
        <v>20963.36</v>
      </c>
      <c r="G40">
        <v>10256.16</v>
      </c>
      <c r="H40">
        <v>10287.67</v>
      </c>
      <c r="I40">
        <v>10287.67</v>
      </c>
      <c r="J40" s="221">
        <v>45659</v>
      </c>
      <c r="K40" s="221">
        <v>44981</v>
      </c>
      <c r="L40" s="221">
        <v>44981</v>
      </c>
      <c r="M40">
        <v>47.196318990080499</v>
      </c>
    </row>
    <row r="41" spans="1:13" x14ac:dyDescent="0.25">
      <c r="A41" s="221">
        <v>44985</v>
      </c>
      <c r="B41" t="s">
        <v>229</v>
      </c>
      <c r="C41" t="s">
        <v>270</v>
      </c>
      <c r="D41" t="s">
        <v>231</v>
      </c>
      <c r="E41">
        <v>0.4907460335579828</v>
      </c>
      <c r="F41">
        <v>101529.38</v>
      </c>
      <c r="G41">
        <v>49672.5</v>
      </c>
      <c r="H41">
        <v>49825.14</v>
      </c>
      <c r="I41">
        <v>49825.14</v>
      </c>
      <c r="J41" s="221">
        <v>45659</v>
      </c>
      <c r="K41" s="221">
        <v>44981</v>
      </c>
      <c r="L41" s="221">
        <v>44981</v>
      </c>
      <c r="M41">
        <v>47.196247621918673</v>
      </c>
    </row>
    <row r="42" spans="1:13" x14ac:dyDescent="0.25">
      <c r="A42" s="221">
        <v>44985</v>
      </c>
      <c r="B42" t="s">
        <v>229</v>
      </c>
      <c r="C42" t="s">
        <v>271</v>
      </c>
      <c r="D42" t="s">
        <v>231</v>
      </c>
      <c r="E42">
        <v>0.63944938926453021</v>
      </c>
      <c r="F42">
        <v>21334.61</v>
      </c>
      <c r="G42">
        <v>13584.43</v>
      </c>
      <c r="H42">
        <v>13642.4</v>
      </c>
      <c r="I42">
        <v>13642.4</v>
      </c>
      <c r="J42" s="221">
        <v>45291</v>
      </c>
      <c r="K42" s="221">
        <v>44981</v>
      </c>
      <c r="L42" s="221">
        <v>44981</v>
      </c>
      <c r="M42">
        <v>71.014363256275345</v>
      </c>
    </row>
    <row r="43" spans="1:13" x14ac:dyDescent="0.25">
      <c r="A43" s="221">
        <v>44985</v>
      </c>
      <c r="B43" t="s">
        <v>229</v>
      </c>
      <c r="C43" t="s">
        <v>272</v>
      </c>
      <c r="D43" t="s">
        <v>231</v>
      </c>
      <c r="E43">
        <v>0.63944956647106987</v>
      </c>
      <c r="F43">
        <v>19812.41</v>
      </c>
      <c r="G43">
        <v>12615.2</v>
      </c>
      <c r="H43">
        <v>12669.03</v>
      </c>
      <c r="I43">
        <v>12669.03</v>
      </c>
      <c r="J43" s="221">
        <v>45291</v>
      </c>
      <c r="K43" s="221">
        <v>44981</v>
      </c>
      <c r="L43" s="221">
        <v>44981</v>
      </c>
      <c r="M43">
        <v>71.014306385746167</v>
      </c>
    </row>
    <row r="44" spans="1:13" x14ac:dyDescent="0.25">
      <c r="A44" s="221">
        <v>44985</v>
      </c>
      <c r="B44" t="s">
        <v>229</v>
      </c>
      <c r="C44" t="s">
        <v>273</v>
      </c>
      <c r="D44" t="s">
        <v>231</v>
      </c>
      <c r="E44">
        <v>0.63944944431241635</v>
      </c>
      <c r="F44">
        <v>16394.54</v>
      </c>
      <c r="G44">
        <v>10438.93</v>
      </c>
      <c r="H44">
        <v>10483.469999999999</v>
      </c>
      <c r="I44">
        <v>10483.469999999999</v>
      </c>
      <c r="J44" s="221">
        <v>45291</v>
      </c>
      <c r="K44" s="221">
        <v>44981</v>
      </c>
      <c r="L44" s="221">
        <v>44981</v>
      </c>
      <c r="M44">
        <v>71.014345589867105</v>
      </c>
    </row>
    <row r="45" spans="1:13" x14ac:dyDescent="0.25">
      <c r="A45" s="221">
        <v>44985</v>
      </c>
      <c r="B45" t="s">
        <v>229</v>
      </c>
      <c r="C45" t="s">
        <v>274</v>
      </c>
      <c r="D45" t="s">
        <v>231</v>
      </c>
      <c r="E45">
        <v>0.63944962122946769</v>
      </c>
      <c r="F45">
        <v>36006.199999999997</v>
      </c>
      <c r="G45">
        <v>22926.31</v>
      </c>
      <c r="H45">
        <v>23024.15</v>
      </c>
      <c r="I45">
        <v>23024.15</v>
      </c>
      <c r="J45" s="221">
        <v>45291</v>
      </c>
      <c r="K45" s="221">
        <v>44981</v>
      </c>
      <c r="L45" s="221">
        <v>44981</v>
      </c>
      <c r="M45">
        <v>71.014288812253511</v>
      </c>
    </row>
    <row r="46" spans="1:13" x14ac:dyDescent="0.25">
      <c r="A46" s="221">
        <v>44985</v>
      </c>
      <c r="B46" t="s">
        <v>229</v>
      </c>
      <c r="C46" t="s">
        <v>275</v>
      </c>
      <c r="D46" t="s">
        <v>231</v>
      </c>
      <c r="E46">
        <v>0.63944975158220951</v>
      </c>
      <c r="F46">
        <v>42180.89</v>
      </c>
      <c r="G46">
        <v>26857.94</v>
      </c>
      <c r="H46">
        <v>26972.55</v>
      </c>
      <c r="I46">
        <v>26972.55</v>
      </c>
      <c r="J46" s="221">
        <v>45291</v>
      </c>
      <c r="K46" s="221">
        <v>44981</v>
      </c>
      <c r="L46" s="221">
        <v>44981</v>
      </c>
      <c r="M46">
        <v>71.014246978447034</v>
      </c>
    </row>
    <row r="47" spans="1:13" x14ac:dyDescent="0.25">
      <c r="A47" s="221">
        <v>44985</v>
      </c>
      <c r="B47" t="s">
        <v>229</v>
      </c>
      <c r="C47" t="s">
        <v>276</v>
      </c>
      <c r="D47" t="s">
        <v>231</v>
      </c>
      <c r="E47">
        <v>0.63945000821305953</v>
      </c>
      <c r="F47">
        <v>26875.8</v>
      </c>
      <c r="G47">
        <v>17112.7</v>
      </c>
      <c r="H47">
        <v>17185.73</v>
      </c>
      <c r="I47">
        <v>17185.73</v>
      </c>
      <c r="J47" s="221">
        <v>45291</v>
      </c>
      <c r="K47" s="221">
        <v>44981</v>
      </c>
      <c r="L47" s="221">
        <v>44981</v>
      </c>
      <c r="M47">
        <v>71.014164618551675</v>
      </c>
    </row>
    <row r="48" spans="1:13" x14ac:dyDescent="0.25">
      <c r="A48" s="221">
        <v>44985</v>
      </c>
      <c r="B48" t="s">
        <v>229</v>
      </c>
      <c r="C48" t="s">
        <v>277</v>
      </c>
      <c r="D48" t="s">
        <v>231</v>
      </c>
      <c r="E48">
        <v>0.63944974346968031</v>
      </c>
      <c r="F48">
        <v>59635.35</v>
      </c>
      <c r="G48">
        <v>37971.760000000002</v>
      </c>
      <c r="H48">
        <v>38133.800000000003</v>
      </c>
      <c r="I48">
        <v>38133.800000000003</v>
      </c>
      <c r="J48" s="221">
        <v>45291</v>
      </c>
      <c r="K48" s="221">
        <v>44981</v>
      </c>
      <c r="L48" s="221">
        <v>44981</v>
      </c>
      <c r="M48">
        <v>71.014249581981858</v>
      </c>
    </row>
    <row r="49" spans="1:13" x14ac:dyDescent="0.25">
      <c r="A49" s="221">
        <v>44985</v>
      </c>
      <c r="B49" t="s">
        <v>229</v>
      </c>
      <c r="C49" t="s">
        <v>278</v>
      </c>
      <c r="D49" t="s">
        <v>231</v>
      </c>
      <c r="E49">
        <v>0.63944963190858006</v>
      </c>
      <c r="F49">
        <v>48115.37</v>
      </c>
      <c r="G49">
        <v>30636.61</v>
      </c>
      <c r="H49">
        <v>30767.35</v>
      </c>
      <c r="I49">
        <v>30767.35</v>
      </c>
      <c r="J49" s="221">
        <v>45291</v>
      </c>
      <c r="K49" s="221">
        <v>44981</v>
      </c>
      <c r="L49" s="221">
        <v>44981</v>
      </c>
      <c r="M49">
        <v>71.014285385029766</v>
      </c>
    </row>
    <row r="50" spans="1:13" x14ac:dyDescent="0.25">
      <c r="A50" s="221">
        <v>44985</v>
      </c>
      <c r="B50" t="s">
        <v>229</v>
      </c>
      <c r="C50" t="s">
        <v>279</v>
      </c>
      <c r="D50" t="s">
        <v>231</v>
      </c>
      <c r="E50">
        <v>0.63944956937884012</v>
      </c>
      <c r="F50">
        <v>37034.83</v>
      </c>
      <c r="G50">
        <v>23581.27</v>
      </c>
      <c r="H50">
        <v>23681.9</v>
      </c>
      <c r="I50">
        <v>23681.9</v>
      </c>
      <c r="J50" s="221">
        <v>45291</v>
      </c>
      <c r="K50" s="221">
        <v>44981</v>
      </c>
      <c r="L50" s="221">
        <v>44981</v>
      </c>
      <c r="M50">
        <v>71.014305452561729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Q2511"/>
  <sheetViews>
    <sheetView workbookViewId="0">
      <selection activeCell="A2" sqref="A2:B30"/>
    </sheetView>
  </sheetViews>
  <sheetFormatPr defaultRowHeight="15" x14ac:dyDescent="0.25"/>
  <cols>
    <col min="1" max="1" width="10.7109375" style="147" bestFit="1" customWidth="1"/>
    <col min="2" max="2" width="14.5703125" style="222" bestFit="1" customWidth="1"/>
    <col min="3" max="3" width="12.42578125" style="222" bestFit="1" customWidth="1"/>
    <col min="4" max="4" width="12.85546875" style="222" bestFit="1" customWidth="1"/>
    <col min="5" max="5" width="18.7109375" style="222" bestFit="1" customWidth="1"/>
    <col min="6" max="6" width="23.85546875" style="222" bestFit="1" customWidth="1"/>
    <col min="7" max="7" width="15" style="222" bestFit="1" customWidth="1"/>
    <col min="8" max="8" width="15.28515625" style="222" bestFit="1" customWidth="1"/>
    <col min="9" max="9" width="12.7109375" style="222" bestFit="1" customWidth="1"/>
    <col min="10" max="10" width="14.42578125" style="222" bestFit="1" customWidth="1"/>
    <col min="11" max="12" width="9.140625" style="146" customWidth="1"/>
    <col min="13" max="13" width="27.5703125" bestFit="1" customWidth="1"/>
    <col min="14" max="14" width="15.85546875" style="222" bestFit="1" customWidth="1"/>
    <col min="15" max="15" width="13.5703125" bestFit="1" customWidth="1"/>
    <col min="16" max="16" width="26.5703125" bestFit="1" customWidth="1"/>
  </cols>
  <sheetData>
    <row r="1" spans="1:17" x14ac:dyDescent="0.25">
      <c r="A1" s="147" t="s">
        <v>215</v>
      </c>
      <c r="B1" s="222" t="s">
        <v>280</v>
      </c>
      <c r="C1" s="222" t="s">
        <v>281</v>
      </c>
      <c r="D1" s="222" t="s">
        <v>282</v>
      </c>
      <c r="E1" s="222" t="s">
        <v>283</v>
      </c>
      <c r="F1" s="222" t="s">
        <v>284</v>
      </c>
      <c r="G1" s="222" t="s">
        <v>285</v>
      </c>
      <c r="H1" s="222" t="s">
        <v>286</v>
      </c>
      <c r="I1" s="222" t="s">
        <v>287</v>
      </c>
      <c r="J1" s="222" t="s">
        <v>288</v>
      </c>
      <c r="K1" s="146" t="s">
        <v>289</v>
      </c>
      <c r="L1" s="146" t="s">
        <v>290</v>
      </c>
      <c r="M1" t="s">
        <v>291</v>
      </c>
      <c r="N1" s="222" t="s">
        <v>292</v>
      </c>
      <c r="O1" t="s">
        <v>293</v>
      </c>
      <c r="P1" t="s">
        <v>294</v>
      </c>
      <c r="Q1" t="s">
        <v>295</v>
      </c>
    </row>
    <row r="2" spans="1:17" x14ac:dyDescent="0.25">
      <c r="A2" s="147">
        <v>44985</v>
      </c>
      <c r="B2" s="222">
        <v>3645790.65</v>
      </c>
      <c r="C2" s="222">
        <v>0</v>
      </c>
      <c r="D2" s="222">
        <v>984284.13</v>
      </c>
      <c r="E2" s="222">
        <v>4630074.78</v>
      </c>
      <c r="F2" s="222">
        <v>-92300</v>
      </c>
      <c r="G2" s="222">
        <v>87335.9</v>
      </c>
      <c r="H2" s="222">
        <v>0</v>
      </c>
      <c r="I2" s="222">
        <v>45915.66</v>
      </c>
      <c r="J2" s="222">
        <v>4980.57</v>
      </c>
      <c r="K2" s="146">
        <f t="shared" ref="K2:K65" si="0">D2/E2</f>
        <v>0.21258493151162453</v>
      </c>
      <c r="L2" s="146">
        <f t="shared" ref="L2:L65" si="1">D2/(C2+D2)</f>
        <v>1</v>
      </c>
      <c r="M2">
        <f t="shared" ref="M2:M65" si="2">IF(OR(IF(K2&lt;0.2,1,0),IF(L2&lt;0.5,1,0)),1,0)</f>
        <v>0</v>
      </c>
      <c r="N2" s="222">
        <f t="shared" ref="N2:N65" si="3">G2+H2+I2+J2</f>
        <v>138232.13</v>
      </c>
      <c r="O2">
        <f t="shared" ref="O2:O13" si="4">A$2-A2</f>
        <v>0</v>
      </c>
      <c r="P2">
        <f t="shared" ref="P2:P13" si="5">O2*M2</f>
        <v>0</v>
      </c>
      <c r="Q2">
        <f>M2*MAX(P2:P13)</f>
        <v>0</v>
      </c>
    </row>
    <row r="3" spans="1:17" x14ac:dyDescent="0.25">
      <c r="A3" s="147">
        <v>44981</v>
      </c>
      <c r="B3" s="222">
        <v>3239410.01</v>
      </c>
      <c r="C3" s="222">
        <v>0</v>
      </c>
      <c r="D3" s="222">
        <v>936403.97</v>
      </c>
      <c r="E3" s="222">
        <v>4175813.98</v>
      </c>
      <c r="F3" s="222">
        <v>-82266.67</v>
      </c>
      <c r="G3" s="222">
        <v>14134.19</v>
      </c>
      <c r="H3" s="222">
        <v>0</v>
      </c>
      <c r="I3" s="222">
        <v>46089.29</v>
      </c>
      <c r="J3" s="222">
        <v>104975.46</v>
      </c>
      <c r="K3" s="146">
        <f t="shared" si="0"/>
        <v>0.22424465612809696</v>
      </c>
      <c r="L3" s="146">
        <f t="shared" si="1"/>
        <v>1</v>
      </c>
      <c r="M3">
        <f t="shared" si="2"/>
        <v>0</v>
      </c>
      <c r="N3" s="222">
        <f t="shared" si="3"/>
        <v>165198.94</v>
      </c>
      <c r="O3">
        <f t="shared" si="4"/>
        <v>4</v>
      </c>
      <c r="P3">
        <f t="shared" si="5"/>
        <v>0</v>
      </c>
    </row>
    <row r="4" spans="1:17" x14ac:dyDescent="0.25">
      <c r="A4" s="147">
        <v>44980</v>
      </c>
      <c r="B4" s="222">
        <v>3236859.53</v>
      </c>
      <c r="C4" s="222">
        <v>0</v>
      </c>
      <c r="D4" s="222">
        <v>939741.31</v>
      </c>
      <c r="E4" s="222">
        <v>4176600.84</v>
      </c>
      <c r="F4" s="222">
        <v>-75250.009999999995</v>
      </c>
      <c r="G4" s="222">
        <v>14134.19</v>
      </c>
      <c r="H4" s="222">
        <v>0</v>
      </c>
      <c r="I4" s="222">
        <v>46294.16</v>
      </c>
      <c r="J4" s="222">
        <v>104922.21</v>
      </c>
      <c r="K4" s="146">
        <f t="shared" si="0"/>
        <v>0.22500146554584327</v>
      </c>
      <c r="L4" s="146">
        <f t="shared" si="1"/>
        <v>1</v>
      </c>
      <c r="M4">
        <f t="shared" si="2"/>
        <v>0</v>
      </c>
      <c r="N4" s="222">
        <f t="shared" si="3"/>
        <v>165350.56</v>
      </c>
      <c r="O4">
        <f t="shared" si="4"/>
        <v>5</v>
      </c>
      <c r="P4">
        <f t="shared" si="5"/>
        <v>0</v>
      </c>
    </row>
    <row r="5" spans="1:17" x14ac:dyDescent="0.25">
      <c r="A5" s="147">
        <v>44979</v>
      </c>
      <c r="B5" s="222">
        <v>3233954.51</v>
      </c>
      <c r="C5" s="222">
        <v>0</v>
      </c>
      <c r="D5" s="222">
        <v>941426.57</v>
      </c>
      <c r="E5" s="222">
        <v>4175381.08</v>
      </c>
      <c r="F5" s="222">
        <v>-70233.34</v>
      </c>
      <c r="G5" s="222">
        <v>14134.19</v>
      </c>
      <c r="H5" s="222">
        <v>0</v>
      </c>
      <c r="I5" s="222">
        <v>46481.79</v>
      </c>
      <c r="J5" s="222">
        <v>104869.18</v>
      </c>
      <c r="K5" s="146">
        <f t="shared" si="0"/>
        <v>0.22547081379216288</v>
      </c>
      <c r="L5" s="146">
        <f t="shared" si="1"/>
        <v>1</v>
      </c>
      <c r="M5">
        <f t="shared" si="2"/>
        <v>0</v>
      </c>
      <c r="N5" s="222">
        <f t="shared" si="3"/>
        <v>165485.16</v>
      </c>
      <c r="O5">
        <f t="shared" si="4"/>
        <v>6</v>
      </c>
      <c r="P5">
        <f t="shared" si="5"/>
        <v>0</v>
      </c>
    </row>
    <row r="6" spans="1:17" x14ac:dyDescent="0.25">
      <c r="A6" s="147">
        <v>44974</v>
      </c>
      <c r="B6" s="222">
        <v>3231052.12</v>
      </c>
      <c r="C6" s="222">
        <v>0</v>
      </c>
      <c r="D6" s="222">
        <v>943330.42</v>
      </c>
      <c r="E6" s="222">
        <v>4174382.54</v>
      </c>
      <c r="F6" s="222">
        <v>-65216.68</v>
      </c>
      <c r="G6" s="222">
        <v>14134.19</v>
      </c>
      <c r="H6" s="222">
        <v>0</v>
      </c>
      <c r="I6" s="222">
        <v>46879.99</v>
      </c>
      <c r="J6" s="222">
        <v>104816.49</v>
      </c>
      <c r="K6" s="146">
        <f t="shared" si="0"/>
        <v>0.22598082733452599</v>
      </c>
      <c r="L6" s="146">
        <f t="shared" si="1"/>
        <v>1</v>
      </c>
      <c r="M6">
        <f t="shared" si="2"/>
        <v>0</v>
      </c>
      <c r="N6" s="222">
        <f t="shared" si="3"/>
        <v>165830.67000000001</v>
      </c>
      <c r="O6">
        <f t="shared" si="4"/>
        <v>11</v>
      </c>
      <c r="P6">
        <f t="shared" si="5"/>
        <v>0</v>
      </c>
    </row>
    <row r="7" spans="1:17" x14ac:dyDescent="0.25">
      <c r="A7" s="147">
        <v>44973</v>
      </c>
      <c r="B7" s="222">
        <v>3228152.3</v>
      </c>
      <c r="C7" s="222">
        <v>0</v>
      </c>
      <c r="D7" s="222">
        <v>945743.41</v>
      </c>
      <c r="E7" s="222">
        <v>4173895.71</v>
      </c>
      <c r="F7" s="222">
        <v>-60200.01</v>
      </c>
      <c r="G7" s="222">
        <v>115357.06</v>
      </c>
      <c r="H7" s="222">
        <v>0</v>
      </c>
      <c r="I7" s="222">
        <v>46506.44</v>
      </c>
      <c r="J7" s="222">
        <v>4814.0600000000004</v>
      </c>
      <c r="K7" s="146">
        <f t="shared" si="0"/>
        <v>0.22658529961209789</v>
      </c>
      <c r="L7" s="146">
        <f t="shared" si="1"/>
        <v>1</v>
      </c>
      <c r="M7">
        <f t="shared" si="2"/>
        <v>0</v>
      </c>
      <c r="N7" s="222">
        <f t="shared" si="3"/>
        <v>166677.56</v>
      </c>
      <c r="O7">
        <f t="shared" si="4"/>
        <v>12</v>
      </c>
      <c r="P7">
        <f t="shared" si="5"/>
        <v>0</v>
      </c>
    </row>
    <row r="8" spans="1:17" x14ac:dyDescent="0.25">
      <c r="A8" s="147">
        <v>44972</v>
      </c>
      <c r="B8" s="222">
        <v>3225255.11</v>
      </c>
      <c r="C8" s="222">
        <v>0</v>
      </c>
      <c r="D8" s="222">
        <v>947497.29</v>
      </c>
      <c r="E8" s="222">
        <v>4172752.4</v>
      </c>
      <c r="F8" s="222">
        <v>-55183.35</v>
      </c>
      <c r="G8" s="222">
        <v>288839.64</v>
      </c>
      <c r="H8" s="222">
        <v>0</v>
      </c>
      <c r="I8" s="222">
        <v>46482.6</v>
      </c>
      <c r="J8" s="222">
        <v>4811.63</v>
      </c>
      <c r="K8" s="146">
        <f t="shared" si="0"/>
        <v>0.22706769996705295</v>
      </c>
      <c r="L8" s="146">
        <f t="shared" si="1"/>
        <v>1</v>
      </c>
      <c r="M8">
        <f t="shared" si="2"/>
        <v>0</v>
      </c>
      <c r="N8" s="222">
        <f t="shared" si="3"/>
        <v>340133.87</v>
      </c>
      <c r="O8">
        <f t="shared" si="4"/>
        <v>13</v>
      </c>
      <c r="P8">
        <f t="shared" si="5"/>
        <v>0</v>
      </c>
    </row>
    <row r="9" spans="1:17" x14ac:dyDescent="0.25">
      <c r="A9" s="147">
        <v>44971</v>
      </c>
      <c r="B9" s="222">
        <v>3023168.55</v>
      </c>
      <c r="C9" s="222">
        <v>0</v>
      </c>
      <c r="D9" s="222">
        <v>950519.41</v>
      </c>
      <c r="E9" s="222">
        <v>3973687.96</v>
      </c>
      <c r="F9" s="222">
        <v>-50166.68</v>
      </c>
      <c r="G9" s="222">
        <v>90147.91</v>
      </c>
      <c r="H9" s="222">
        <v>0</v>
      </c>
      <c r="I9" s="222">
        <v>47219.26</v>
      </c>
      <c r="J9" s="222">
        <v>4809.24</v>
      </c>
      <c r="K9" s="146">
        <f t="shared" si="0"/>
        <v>0.23920333442588684</v>
      </c>
      <c r="L9" s="146">
        <f t="shared" si="1"/>
        <v>1</v>
      </c>
      <c r="M9">
        <f t="shared" si="2"/>
        <v>0</v>
      </c>
      <c r="N9" s="222">
        <f t="shared" si="3"/>
        <v>142176.41</v>
      </c>
      <c r="O9">
        <f t="shared" si="4"/>
        <v>14</v>
      </c>
      <c r="P9">
        <f t="shared" si="5"/>
        <v>0</v>
      </c>
    </row>
    <row r="10" spans="1:17" x14ac:dyDescent="0.25">
      <c r="A10" s="147">
        <v>44970</v>
      </c>
      <c r="B10" s="222">
        <v>2621359.33</v>
      </c>
      <c r="C10" s="222">
        <v>0</v>
      </c>
      <c r="D10" s="222">
        <v>752193.22</v>
      </c>
      <c r="E10" s="222">
        <v>3373552.55</v>
      </c>
      <c r="F10" s="222">
        <v>-45150.02</v>
      </c>
      <c r="G10" s="222">
        <v>64078</v>
      </c>
      <c r="H10" s="222">
        <v>0</v>
      </c>
      <c r="I10" s="222">
        <v>47109.87</v>
      </c>
      <c r="J10" s="222">
        <v>4806.8500000000004</v>
      </c>
      <c r="K10" s="146">
        <f t="shared" si="0"/>
        <v>0.22296769024688826</v>
      </c>
      <c r="L10" s="146">
        <f t="shared" si="1"/>
        <v>1</v>
      </c>
      <c r="M10">
        <f t="shared" si="2"/>
        <v>0</v>
      </c>
      <c r="N10" s="222">
        <f t="shared" si="3"/>
        <v>115994.72</v>
      </c>
      <c r="O10">
        <f t="shared" si="4"/>
        <v>15</v>
      </c>
      <c r="P10">
        <f t="shared" si="5"/>
        <v>0</v>
      </c>
    </row>
    <row r="11" spans="1:17" x14ac:dyDescent="0.25">
      <c r="A11" s="147">
        <v>44967</v>
      </c>
      <c r="B11" s="222">
        <v>2619551.35</v>
      </c>
      <c r="C11" s="222">
        <v>0</v>
      </c>
      <c r="D11" s="222">
        <v>759069.29</v>
      </c>
      <c r="E11" s="222">
        <v>3378620.64</v>
      </c>
      <c r="F11" s="222">
        <v>-66097.649999999994</v>
      </c>
      <c r="G11" s="222">
        <v>448851.93</v>
      </c>
      <c r="H11" s="222">
        <v>0</v>
      </c>
      <c r="I11" s="222">
        <v>47104.21</v>
      </c>
      <c r="J11" s="222">
        <v>4804.45</v>
      </c>
      <c r="K11" s="146">
        <f t="shared" si="0"/>
        <v>0.22466839899492239</v>
      </c>
      <c r="L11" s="146">
        <f t="shared" si="1"/>
        <v>1</v>
      </c>
      <c r="M11">
        <f t="shared" si="2"/>
        <v>0</v>
      </c>
      <c r="N11" s="222">
        <f t="shared" si="3"/>
        <v>500760.59</v>
      </c>
      <c r="O11">
        <f t="shared" si="4"/>
        <v>18</v>
      </c>
      <c r="P11">
        <f t="shared" si="5"/>
        <v>0</v>
      </c>
    </row>
    <row r="12" spans="1:17" x14ac:dyDescent="0.25">
      <c r="A12" s="147">
        <v>44966</v>
      </c>
      <c r="B12" s="222">
        <v>2617744.63</v>
      </c>
      <c r="C12" s="222">
        <v>0</v>
      </c>
      <c r="D12" s="222">
        <v>761531.41</v>
      </c>
      <c r="E12" s="222">
        <v>3379276.04</v>
      </c>
      <c r="F12" s="222">
        <v>-35116.69</v>
      </c>
      <c r="G12" s="222">
        <v>23225.85</v>
      </c>
      <c r="H12" s="222">
        <v>0</v>
      </c>
      <c r="I12" s="222">
        <v>46983.54</v>
      </c>
      <c r="J12" s="222">
        <v>959327.74</v>
      </c>
      <c r="K12" s="146">
        <f t="shared" si="0"/>
        <v>0.22535341918975049</v>
      </c>
      <c r="L12" s="146">
        <f t="shared" si="1"/>
        <v>1</v>
      </c>
      <c r="M12">
        <f t="shared" si="2"/>
        <v>0</v>
      </c>
      <c r="N12" s="222">
        <f t="shared" si="3"/>
        <v>1029537.13</v>
      </c>
      <c r="O12">
        <f t="shared" si="4"/>
        <v>19</v>
      </c>
      <c r="P12">
        <f t="shared" si="5"/>
        <v>0</v>
      </c>
    </row>
    <row r="13" spans="1:17" x14ac:dyDescent="0.25">
      <c r="A13" s="147">
        <v>44965</v>
      </c>
      <c r="B13" s="222">
        <v>2616543.17</v>
      </c>
      <c r="C13" s="222">
        <v>0</v>
      </c>
      <c r="D13" s="222">
        <v>763869.26</v>
      </c>
      <c r="E13" s="222">
        <v>3380412.43</v>
      </c>
      <c r="F13" s="222">
        <v>-30100.02</v>
      </c>
      <c r="G13" s="222">
        <v>19225.849999999999</v>
      </c>
      <c r="H13" s="222">
        <v>0</v>
      </c>
      <c r="I13" s="222">
        <v>47342.48</v>
      </c>
      <c r="J13" s="222">
        <v>962846.21</v>
      </c>
      <c r="K13" s="146">
        <f t="shared" si="0"/>
        <v>0.22596924955692463</v>
      </c>
      <c r="L13" s="146">
        <f t="shared" si="1"/>
        <v>1</v>
      </c>
      <c r="M13">
        <f t="shared" si="2"/>
        <v>0</v>
      </c>
      <c r="N13" s="222">
        <f t="shared" si="3"/>
        <v>1029414.5399999999</v>
      </c>
      <c r="O13">
        <f t="shared" si="4"/>
        <v>20</v>
      </c>
      <c r="P13">
        <f t="shared" si="5"/>
        <v>0</v>
      </c>
    </row>
    <row r="14" spans="1:17" x14ac:dyDescent="0.25">
      <c r="A14" s="147">
        <v>44964</v>
      </c>
      <c r="B14" s="222">
        <v>2614703</v>
      </c>
      <c r="C14" s="222">
        <v>0</v>
      </c>
      <c r="D14" s="222">
        <v>766212.47</v>
      </c>
      <c r="E14" s="222">
        <v>3380915.47</v>
      </c>
      <c r="F14" s="222">
        <v>-70383.350000000006</v>
      </c>
      <c r="G14" s="222">
        <v>64525.85</v>
      </c>
      <c r="H14" s="222">
        <v>0</v>
      </c>
      <c r="I14" s="222">
        <v>47068.04</v>
      </c>
      <c r="J14" s="222">
        <v>962358.51</v>
      </c>
      <c r="K14" s="146">
        <f t="shared" si="0"/>
        <v>0.22662869770003446</v>
      </c>
      <c r="L14" s="146">
        <f t="shared" si="1"/>
        <v>1</v>
      </c>
      <c r="M14">
        <f t="shared" si="2"/>
        <v>0</v>
      </c>
      <c r="N14" s="222">
        <f t="shared" si="3"/>
        <v>1073952.3999999999</v>
      </c>
    </row>
    <row r="15" spans="1:17" x14ac:dyDescent="0.25">
      <c r="A15" s="147">
        <v>44963</v>
      </c>
      <c r="B15" s="222">
        <v>2612864.13</v>
      </c>
      <c r="C15" s="222">
        <v>0</v>
      </c>
      <c r="D15" s="222">
        <v>768736.79</v>
      </c>
      <c r="E15" s="222">
        <v>3381600.92</v>
      </c>
      <c r="F15" s="222">
        <v>-110366.68</v>
      </c>
      <c r="G15" s="222">
        <v>18525.849999999999</v>
      </c>
      <c r="H15" s="222">
        <v>0</v>
      </c>
      <c r="I15" s="222">
        <v>47004.46</v>
      </c>
      <c r="J15" s="222">
        <v>1052836.19</v>
      </c>
      <c r="K15" s="146">
        <f t="shared" si="0"/>
        <v>0.22732924676398539</v>
      </c>
      <c r="L15" s="146">
        <f t="shared" si="1"/>
        <v>1</v>
      </c>
      <c r="M15">
        <f t="shared" si="2"/>
        <v>0</v>
      </c>
      <c r="N15" s="222">
        <f t="shared" si="3"/>
        <v>1118366.5</v>
      </c>
    </row>
    <row r="16" spans="1:17" x14ac:dyDescent="0.25">
      <c r="A16" s="147">
        <v>44960</v>
      </c>
      <c r="B16" s="222">
        <v>2611026.5499999998</v>
      </c>
      <c r="C16" s="222">
        <v>0</v>
      </c>
      <c r="D16" s="222">
        <v>770884.44</v>
      </c>
      <c r="E16" s="222">
        <v>3381910.99</v>
      </c>
      <c r="F16" s="222">
        <v>-105350.01</v>
      </c>
      <c r="G16" s="222">
        <v>18525.849999999999</v>
      </c>
      <c r="H16" s="222">
        <v>0</v>
      </c>
      <c r="I16" s="222">
        <v>46558.91</v>
      </c>
      <c r="J16" s="222">
        <v>1052314.3</v>
      </c>
      <c r="K16" s="146">
        <f t="shared" si="0"/>
        <v>0.22794344448432685</v>
      </c>
      <c r="L16" s="146">
        <f t="shared" si="1"/>
        <v>1</v>
      </c>
      <c r="M16">
        <f t="shared" si="2"/>
        <v>0</v>
      </c>
      <c r="N16" s="222">
        <f t="shared" si="3"/>
        <v>1117399.06</v>
      </c>
    </row>
    <row r="17" spans="1:14" x14ac:dyDescent="0.25">
      <c r="A17" s="147">
        <v>44959</v>
      </c>
      <c r="B17" s="222">
        <v>2609190.25</v>
      </c>
      <c r="C17" s="222">
        <v>0</v>
      </c>
      <c r="D17" s="222">
        <v>773931.17</v>
      </c>
      <c r="E17" s="222">
        <v>3383121.42</v>
      </c>
      <c r="F17" s="222">
        <v>-100333.34</v>
      </c>
      <c r="G17" s="222">
        <v>18525.849999999999</v>
      </c>
      <c r="H17" s="222">
        <v>0</v>
      </c>
      <c r="I17" s="222">
        <v>47012.27</v>
      </c>
      <c r="J17" s="222">
        <v>1051787.74</v>
      </c>
      <c r="K17" s="146">
        <f t="shared" si="0"/>
        <v>0.22876245748223842</v>
      </c>
      <c r="L17" s="146">
        <f t="shared" si="1"/>
        <v>1</v>
      </c>
      <c r="M17">
        <f t="shared" si="2"/>
        <v>0</v>
      </c>
      <c r="N17" s="222">
        <f t="shared" si="3"/>
        <v>1117325.8599999999</v>
      </c>
    </row>
    <row r="18" spans="1:14" x14ac:dyDescent="0.25">
      <c r="A18" s="147">
        <v>44958</v>
      </c>
      <c r="B18" s="222">
        <v>2607355.25</v>
      </c>
      <c r="C18" s="222">
        <v>0</v>
      </c>
      <c r="D18" s="222">
        <v>776509.09</v>
      </c>
      <c r="E18" s="222">
        <v>3383864.34</v>
      </c>
      <c r="F18" s="222">
        <v>-95316.67</v>
      </c>
      <c r="G18" s="222">
        <v>18525.849999999999</v>
      </c>
      <c r="H18" s="222">
        <v>0</v>
      </c>
      <c r="I18" s="222">
        <v>46991.55</v>
      </c>
      <c r="J18" s="222">
        <v>1051261.54</v>
      </c>
      <c r="K18" s="146">
        <f t="shared" si="0"/>
        <v>0.22947406041697285</v>
      </c>
      <c r="L18" s="146">
        <f t="shared" si="1"/>
        <v>1</v>
      </c>
      <c r="M18">
        <f t="shared" si="2"/>
        <v>0</v>
      </c>
      <c r="N18" s="222">
        <f t="shared" si="3"/>
        <v>1116778.94</v>
      </c>
    </row>
    <row r="19" spans="1:14" x14ac:dyDescent="0.25">
      <c r="A19" s="147">
        <v>44957</v>
      </c>
      <c r="B19" s="222">
        <v>2605521.54</v>
      </c>
      <c r="C19" s="222">
        <v>0</v>
      </c>
      <c r="D19" s="222">
        <v>778976.8</v>
      </c>
      <c r="E19" s="222">
        <v>3384498.34</v>
      </c>
      <c r="F19" s="222">
        <v>-90300</v>
      </c>
      <c r="G19" s="222">
        <v>18525.849999999999</v>
      </c>
      <c r="H19" s="222">
        <v>0</v>
      </c>
      <c r="I19" s="222">
        <v>46852.39</v>
      </c>
      <c r="J19" s="222">
        <v>1050738.82</v>
      </c>
      <c r="K19" s="146">
        <f t="shared" si="0"/>
        <v>0.23016019561705564</v>
      </c>
      <c r="L19" s="146">
        <f t="shared" si="1"/>
        <v>1</v>
      </c>
      <c r="M19">
        <f t="shared" si="2"/>
        <v>0</v>
      </c>
      <c r="N19" s="222">
        <f t="shared" si="3"/>
        <v>1116117.06</v>
      </c>
    </row>
    <row r="20" spans="1:14" x14ac:dyDescent="0.25">
      <c r="A20" s="147">
        <v>44956</v>
      </c>
      <c r="B20" s="222">
        <v>2603689.11</v>
      </c>
      <c r="C20" s="222">
        <v>0</v>
      </c>
      <c r="D20" s="222">
        <v>780580.81</v>
      </c>
      <c r="E20" s="222">
        <v>3384269.92</v>
      </c>
      <c r="F20" s="222">
        <v>-86195.45</v>
      </c>
      <c r="G20" s="222">
        <v>18525.849999999999</v>
      </c>
      <c r="H20" s="222">
        <v>0</v>
      </c>
      <c r="I20" s="222">
        <v>46756.28</v>
      </c>
      <c r="J20" s="222">
        <v>1050216.56</v>
      </c>
      <c r="K20" s="146">
        <f t="shared" si="0"/>
        <v>0.23064969061333029</v>
      </c>
      <c r="L20" s="146">
        <f t="shared" si="1"/>
        <v>1</v>
      </c>
      <c r="M20">
        <f t="shared" si="2"/>
        <v>0</v>
      </c>
      <c r="N20" s="222">
        <f t="shared" si="3"/>
        <v>1115498.69</v>
      </c>
    </row>
    <row r="21" spans="1:14" x14ac:dyDescent="0.25">
      <c r="A21" s="147">
        <v>44953</v>
      </c>
      <c r="B21" s="222">
        <v>2601858</v>
      </c>
      <c r="C21" s="222">
        <v>0</v>
      </c>
      <c r="D21" s="222">
        <v>782241.58</v>
      </c>
      <c r="E21" s="222">
        <v>3384099.58</v>
      </c>
      <c r="F21" s="222">
        <v>-82090.91</v>
      </c>
      <c r="G21" s="222">
        <v>18525.849999999999</v>
      </c>
      <c r="H21" s="222">
        <v>0</v>
      </c>
      <c r="I21" s="222">
        <v>46712.63</v>
      </c>
      <c r="J21" s="222">
        <v>1049693.8400000001</v>
      </c>
      <c r="K21" s="146">
        <f t="shared" si="0"/>
        <v>0.231152057292593</v>
      </c>
      <c r="L21" s="146">
        <f t="shared" si="1"/>
        <v>1</v>
      </c>
      <c r="M21">
        <f t="shared" si="2"/>
        <v>0</v>
      </c>
      <c r="N21" s="222">
        <f t="shared" si="3"/>
        <v>1114932.32</v>
      </c>
    </row>
    <row r="22" spans="1:14" x14ac:dyDescent="0.25">
      <c r="A22" s="147">
        <v>44952</v>
      </c>
      <c r="B22" s="222">
        <v>2600028.15</v>
      </c>
      <c r="C22" s="222">
        <v>0</v>
      </c>
      <c r="D22" s="222">
        <v>784102.82</v>
      </c>
      <c r="E22" s="222">
        <v>3384130.97</v>
      </c>
      <c r="F22" s="222">
        <v>-77986.37</v>
      </c>
      <c r="G22" s="222">
        <v>18525.849999999999</v>
      </c>
      <c r="H22" s="222">
        <v>0</v>
      </c>
      <c r="I22" s="222">
        <v>46868.41</v>
      </c>
      <c r="J22" s="222">
        <v>1049167.33</v>
      </c>
      <c r="K22" s="146">
        <f t="shared" si="0"/>
        <v>0.23169990374220059</v>
      </c>
      <c r="L22" s="146">
        <f t="shared" si="1"/>
        <v>1</v>
      </c>
      <c r="M22">
        <f t="shared" si="2"/>
        <v>0</v>
      </c>
      <c r="N22" s="222">
        <f t="shared" si="3"/>
        <v>1114561.5900000001</v>
      </c>
    </row>
    <row r="23" spans="1:14" x14ac:dyDescent="0.25">
      <c r="A23" s="147">
        <v>44951</v>
      </c>
      <c r="B23" s="222">
        <v>2598199.61</v>
      </c>
      <c r="C23" s="222">
        <v>0</v>
      </c>
      <c r="D23" s="222">
        <v>786025.18</v>
      </c>
      <c r="E23" s="222">
        <v>3384224.79</v>
      </c>
      <c r="F23" s="222">
        <v>-73881.81</v>
      </c>
      <c r="G23" s="222">
        <v>18525.849999999999</v>
      </c>
      <c r="H23" s="223">
        <v>0</v>
      </c>
      <c r="I23" s="222">
        <v>47084.61</v>
      </c>
      <c r="J23" s="222">
        <v>1048636.7</v>
      </c>
      <c r="K23" s="146">
        <f t="shared" si="0"/>
        <v>0.23226151593789374</v>
      </c>
      <c r="L23" s="146">
        <f t="shared" si="1"/>
        <v>1</v>
      </c>
      <c r="M23">
        <f t="shared" si="2"/>
        <v>0</v>
      </c>
      <c r="N23" s="222">
        <f t="shared" si="3"/>
        <v>1114247.1599999999</v>
      </c>
    </row>
    <row r="24" spans="1:14" x14ac:dyDescent="0.25">
      <c r="A24" s="147">
        <v>44950</v>
      </c>
      <c r="B24" s="222">
        <v>2596090.62</v>
      </c>
      <c r="C24" s="222">
        <v>0</v>
      </c>
      <c r="D24" s="222">
        <v>787950.51</v>
      </c>
      <c r="E24" s="222">
        <v>3384041.13</v>
      </c>
      <c r="F24" s="222">
        <v>-69777.279999999999</v>
      </c>
      <c r="G24" s="222">
        <v>18525.849999999999</v>
      </c>
      <c r="H24" s="222">
        <v>0</v>
      </c>
      <c r="I24" s="222">
        <v>47016.38</v>
      </c>
      <c r="J24" s="222">
        <v>1048106.99</v>
      </c>
      <c r="K24" s="146">
        <f t="shared" si="0"/>
        <v>0.2328430653560053</v>
      </c>
      <c r="L24" s="146">
        <f t="shared" si="1"/>
        <v>1</v>
      </c>
      <c r="M24">
        <f t="shared" si="2"/>
        <v>0</v>
      </c>
      <c r="N24" s="222">
        <f t="shared" si="3"/>
        <v>1113649.22</v>
      </c>
    </row>
    <row r="25" spans="1:14" x14ac:dyDescent="0.25">
      <c r="A25" s="147">
        <v>44949</v>
      </c>
      <c r="B25" s="222">
        <v>2594311.75</v>
      </c>
      <c r="C25" s="222">
        <v>0</v>
      </c>
      <c r="D25" s="222">
        <v>789258.03</v>
      </c>
      <c r="E25" s="222">
        <v>3383569.78</v>
      </c>
      <c r="F25" s="222">
        <v>-65672.72</v>
      </c>
      <c r="G25" s="222">
        <v>18525.849999999999</v>
      </c>
      <c r="H25" s="222">
        <v>0</v>
      </c>
      <c r="I25" s="222">
        <v>46649.54</v>
      </c>
      <c r="J25" s="222">
        <v>1047582.1</v>
      </c>
      <c r="K25" s="146">
        <f t="shared" si="0"/>
        <v>0.23326193379112165</v>
      </c>
      <c r="L25" s="146">
        <f t="shared" si="1"/>
        <v>1</v>
      </c>
      <c r="M25">
        <f t="shared" si="2"/>
        <v>0</v>
      </c>
      <c r="N25" s="222">
        <f t="shared" si="3"/>
        <v>1112757.49</v>
      </c>
    </row>
    <row r="26" spans="1:14" x14ac:dyDescent="0.25">
      <c r="A26" s="147">
        <v>44946</v>
      </c>
      <c r="B26" s="222">
        <v>2592534.11</v>
      </c>
      <c r="C26" s="222">
        <v>0</v>
      </c>
      <c r="D26" s="222">
        <v>791356.86</v>
      </c>
      <c r="E26" s="222">
        <v>3383890.97</v>
      </c>
      <c r="F26" s="222">
        <v>-61568.19</v>
      </c>
      <c r="G26" s="222">
        <v>18525.849999999999</v>
      </c>
      <c r="H26" s="222">
        <v>0</v>
      </c>
      <c r="I26" s="222">
        <v>47070.02</v>
      </c>
      <c r="J26" s="222">
        <v>1047056.32</v>
      </c>
      <c r="K26" s="146">
        <f t="shared" si="0"/>
        <v>0.23386003479893441</v>
      </c>
      <c r="L26" s="146">
        <f t="shared" si="1"/>
        <v>1</v>
      </c>
      <c r="M26">
        <f t="shared" si="2"/>
        <v>0</v>
      </c>
      <c r="N26" s="222">
        <f t="shared" si="3"/>
        <v>1112652.19</v>
      </c>
    </row>
    <row r="27" spans="1:14" x14ac:dyDescent="0.25">
      <c r="A27" s="147">
        <v>44945</v>
      </c>
      <c r="B27" s="222">
        <v>2590757.65</v>
      </c>
      <c r="C27" s="222">
        <v>0</v>
      </c>
      <c r="D27" s="222">
        <v>793788.33</v>
      </c>
      <c r="E27" s="222">
        <v>3384545.98</v>
      </c>
      <c r="F27" s="222">
        <v>-57463.63</v>
      </c>
      <c r="G27" s="222">
        <v>18525.849999999999</v>
      </c>
      <c r="H27" s="222">
        <v>0</v>
      </c>
      <c r="I27" s="222">
        <v>47813.48</v>
      </c>
      <c r="J27" s="222">
        <v>1046535.37</v>
      </c>
      <c r="K27" s="146">
        <f t="shared" si="0"/>
        <v>0.23453317954333122</v>
      </c>
      <c r="L27" s="146">
        <f t="shared" si="1"/>
        <v>1</v>
      </c>
      <c r="M27">
        <f t="shared" si="2"/>
        <v>0</v>
      </c>
      <c r="N27" s="222">
        <f t="shared" si="3"/>
        <v>1112874.7</v>
      </c>
    </row>
    <row r="28" spans="1:14" x14ac:dyDescent="0.25">
      <c r="A28" s="147">
        <v>44944</v>
      </c>
      <c r="B28" s="222">
        <v>2588982.44</v>
      </c>
      <c r="C28" s="222">
        <v>0</v>
      </c>
      <c r="D28" s="222">
        <v>795465.48</v>
      </c>
      <c r="E28" s="222">
        <v>3384447.92</v>
      </c>
      <c r="F28" s="222">
        <v>-53359.09</v>
      </c>
      <c r="G28" s="222">
        <v>18525.849999999999</v>
      </c>
      <c r="H28" s="222">
        <v>0</v>
      </c>
      <c r="I28" s="222">
        <v>47792.49</v>
      </c>
      <c r="J28" s="222">
        <v>1046019.78</v>
      </c>
      <c r="K28" s="146">
        <f t="shared" si="0"/>
        <v>0.23503552094842103</v>
      </c>
      <c r="L28" s="146">
        <f t="shared" si="1"/>
        <v>1</v>
      </c>
      <c r="M28">
        <f t="shared" si="2"/>
        <v>0</v>
      </c>
      <c r="N28" s="222">
        <f t="shared" si="3"/>
        <v>1112338.1200000001</v>
      </c>
    </row>
    <row r="29" spans="1:14" x14ac:dyDescent="0.25">
      <c r="A29" s="147">
        <v>44943</v>
      </c>
      <c r="B29" s="222">
        <v>2587208.46</v>
      </c>
      <c r="C29" s="222">
        <v>0</v>
      </c>
      <c r="D29" s="222">
        <v>797319.36</v>
      </c>
      <c r="E29" s="222">
        <v>3384527.82</v>
      </c>
      <c r="F29" s="222">
        <v>-49254.55</v>
      </c>
      <c r="G29" s="222">
        <v>18525.849999999999</v>
      </c>
      <c r="H29" s="222">
        <v>0</v>
      </c>
      <c r="I29" s="222">
        <v>47935.37</v>
      </c>
      <c r="J29" s="222">
        <v>1045512.27</v>
      </c>
      <c r="K29" s="146">
        <f t="shared" si="0"/>
        <v>0.23557772380786635</v>
      </c>
      <c r="L29" s="146">
        <f t="shared" si="1"/>
        <v>1</v>
      </c>
      <c r="M29">
        <f t="shared" si="2"/>
        <v>0</v>
      </c>
      <c r="N29" s="222">
        <f t="shared" si="3"/>
        <v>1111973.49</v>
      </c>
    </row>
    <row r="30" spans="1:14" x14ac:dyDescent="0.25">
      <c r="A30" s="147">
        <v>44942</v>
      </c>
      <c r="B30" s="222">
        <v>2585435.66</v>
      </c>
      <c r="C30" s="222">
        <v>0</v>
      </c>
      <c r="D30" s="222">
        <v>798836.99</v>
      </c>
      <c r="E30" s="222">
        <v>3384272.65</v>
      </c>
      <c r="F30" s="222">
        <v>-45150</v>
      </c>
      <c r="G30" s="222">
        <v>18525.849999999999</v>
      </c>
      <c r="H30" s="222">
        <v>0</v>
      </c>
      <c r="I30" s="222">
        <v>47735.51</v>
      </c>
      <c r="J30" s="222">
        <v>1045006.43</v>
      </c>
      <c r="K30" s="146">
        <f t="shared" si="0"/>
        <v>0.23604392217039605</v>
      </c>
      <c r="L30" s="146">
        <f t="shared" si="1"/>
        <v>1</v>
      </c>
      <c r="M30">
        <f t="shared" si="2"/>
        <v>0</v>
      </c>
      <c r="N30" s="222">
        <f t="shared" si="3"/>
        <v>1111267.79</v>
      </c>
    </row>
    <row r="31" spans="1:14" x14ac:dyDescent="0.25">
      <c r="A31" s="147">
        <v>44939</v>
      </c>
      <c r="B31" s="222">
        <v>2583547.35</v>
      </c>
      <c r="C31" s="222">
        <v>0</v>
      </c>
      <c r="D31" s="222">
        <v>801182.4</v>
      </c>
      <c r="E31" s="222">
        <v>3384729.75</v>
      </c>
      <c r="F31" s="222">
        <v>-41045.440000000002</v>
      </c>
      <c r="G31" s="222">
        <v>18525.849999999999</v>
      </c>
      <c r="H31" s="222">
        <v>0</v>
      </c>
      <c r="I31" s="222">
        <v>48244.73</v>
      </c>
      <c r="J31" s="222">
        <v>1044497.73</v>
      </c>
      <c r="K31" s="146">
        <f t="shared" si="0"/>
        <v>0.2367049836105822</v>
      </c>
      <c r="L31" s="146">
        <f t="shared" si="1"/>
        <v>1</v>
      </c>
      <c r="M31">
        <f t="shared" si="2"/>
        <v>0</v>
      </c>
      <c r="N31" s="222">
        <f t="shared" si="3"/>
        <v>1111268.31</v>
      </c>
    </row>
    <row r="32" spans="1:14" x14ac:dyDescent="0.25">
      <c r="A32" s="147">
        <v>44938</v>
      </c>
      <c r="B32" s="222">
        <v>2581660.42</v>
      </c>
      <c r="C32" s="222">
        <v>0</v>
      </c>
      <c r="D32" s="222">
        <v>803081.1</v>
      </c>
      <c r="E32" s="222">
        <v>3384741.52</v>
      </c>
      <c r="F32" s="222">
        <v>-36940.910000000003</v>
      </c>
      <c r="G32" s="222">
        <v>18525.849999999999</v>
      </c>
      <c r="H32" s="222">
        <v>0</v>
      </c>
      <c r="I32" s="222">
        <v>48297.06</v>
      </c>
      <c r="J32" s="222">
        <v>1043994.63</v>
      </c>
      <c r="K32" s="146">
        <f t="shared" si="0"/>
        <v>0.23726511913973269</v>
      </c>
      <c r="L32" s="146">
        <f t="shared" si="1"/>
        <v>1</v>
      </c>
      <c r="M32">
        <f t="shared" si="2"/>
        <v>0</v>
      </c>
      <c r="N32" s="222">
        <f t="shared" si="3"/>
        <v>1110817.54</v>
      </c>
    </row>
    <row r="33" spans="1:14" x14ac:dyDescent="0.25">
      <c r="A33" s="147">
        <v>44937</v>
      </c>
      <c r="B33" s="222">
        <v>2579774.89</v>
      </c>
      <c r="C33" s="222">
        <v>0</v>
      </c>
      <c r="D33" s="222">
        <v>804743.69</v>
      </c>
      <c r="E33" s="222">
        <v>3384518.58</v>
      </c>
      <c r="F33" s="222">
        <v>-32836.36</v>
      </c>
      <c r="G33" s="222">
        <v>18525.849999999999</v>
      </c>
      <c r="H33" s="222">
        <v>0</v>
      </c>
      <c r="I33" s="222">
        <v>48115.040000000001</v>
      </c>
      <c r="J33" s="222">
        <v>1043485.17</v>
      </c>
      <c r="K33" s="146">
        <f t="shared" si="0"/>
        <v>0.23777198173927588</v>
      </c>
      <c r="L33" s="146">
        <f t="shared" si="1"/>
        <v>1</v>
      </c>
      <c r="M33">
        <f t="shared" si="2"/>
        <v>0</v>
      </c>
      <c r="N33" s="222">
        <f t="shared" si="3"/>
        <v>1110126.06</v>
      </c>
    </row>
    <row r="34" spans="1:14" x14ac:dyDescent="0.25">
      <c r="A34" s="147">
        <v>44936</v>
      </c>
      <c r="B34" s="222">
        <v>2577890.7200000002</v>
      </c>
      <c r="C34" s="222">
        <v>0</v>
      </c>
      <c r="D34" s="222">
        <v>805934.02</v>
      </c>
      <c r="E34" s="222">
        <v>3383824.74</v>
      </c>
      <c r="F34" s="222">
        <v>-28731.81</v>
      </c>
      <c r="G34" s="222">
        <v>18525.849999999999</v>
      </c>
      <c r="H34" s="222">
        <v>0</v>
      </c>
      <c r="I34" s="222">
        <v>47461.82</v>
      </c>
      <c r="J34" s="222">
        <v>1042970.03</v>
      </c>
      <c r="K34" s="146">
        <f t="shared" si="0"/>
        <v>0.23817250653472083</v>
      </c>
      <c r="L34" s="146">
        <f t="shared" si="1"/>
        <v>1</v>
      </c>
      <c r="M34">
        <f t="shared" si="2"/>
        <v>0</v>
      </c>
      <c r="N34" s="222">
        <f t="shared" si="3"/>
        <v>1108957.7</v>
      </c>
    </row>
    <row r="35" spans="1:14" x14ac:dyDescent="0.25">
      <c r="A35" s="147">
        <v>44935</v>
      </c>
      <c r="B35" s="222">
        <v>2572249</v>
      </c>
      <c r="C35" s="222">
        <v>0</v>
      </c>
      <c r="D35" s="222">
        <v>811040.78</v>
      </c>
      <c r="E35" s="222">
        <v>3383289.78</v>
      </c>
      <c r="F35" s="222">
        <v>-24627.27</v>
      </c>
      <c r="G35" s="222">
        <v>18525.849999999999</v>
      </c>
      <c r="H35" s="222">
        <v>0</v>
      </c>
      <c r="I35" s="222">
        <v>46935.45</v>
      </c>
      <c r="J35" s="222">
        <v>1042480.95</v>
      </c>
      <c r="K35" s="146">
        <f t="shared" si="0"/>
        <v>0.23971957258712853</v>
      </c>
      <c r="L35" s="146">
        <f t="shared" si="1"/>
        <v>1</v>
      </c>
      <c r="M35">
        <f t="shared" si="2"/>
        <v>0</v>
      </c>
      <c r="N35" s="222">
        <f t="shared" si="3"/>
        <v>1107942.25</v>
      </c>
    </row>
    <row r="36" spans="1:14" x14ac:dyDescent="0.25">
      <c r="A36" s="147">
        <v>44932</v>
      </c>
      <c r="B36" s="222">
        <v>2570591.13</v>
      </c>
      <c r="C36" s="222">
        <v>0</v>
      </c>
      <c r="D36" s="222">
        <v>812711.57</v>
      </c>
      <c r="E36" s="222">
        <v>3383302.7</v>
      </c>
      <c r="F36" s="222">
        <v>-32522.720000000001</v>
      </c>
      <c r="G36" s="222">
        <v>30525.85</v>
      </c>
      <c r="H36" s="222">
        <v>0</v>
      </c>
      <c r="I36" s="222">
        <v>46981.51</v>
      </c>
      <c r="J36" s="222">
        <v>1041961.38</v>
      </c>
      <c r="K36" s="146">
        <f t="shared" si="0"/>
        <v>0.2402124911850187</v>
      </c>
      <c r="L36" s="146">
        <f t="shared" si="1"/>
        <v>1</v>
      </c>
      <c r="M36">
        <f t="shared" si="2"/>
        <v>0</v>
      </c>
      <c r="N36" s="222">
        <f t="shared" si="3"/>
        <v>1119468.74</v>
      </c>
    </row>
    <row r="37" spans="1:14" x14ac:dyDescent="0.25">
      <c r="A37" s="147">
        <v>44931</v>
      </c>
      <c r="B37" s="222">
        <v>2568934.33</v>
      </c>
      <c r="C37" s="222">
        <v>0</v>
      </c>
      <c r="D37" s="222">
        <v>813929.32</v>
      </c>
      <c r="E37" s="222">
        <v>3382863.649999999</v>
      </c>
      <c r="F37" s="222">
        <v>-95068.18</v>
      </c>
      <c r="G37" s="222">
        <v>27175.85</v>
      </c>
      <c r="H37" s="222">
        <v>0</v>
      </c>
      <c r="I37" s="222">
        <v>46614.91</v>
      </c>
      <c r="J37" s="222">
        <v>1111396.53</v>
      </c>
      <c r="K37" s="146">
        <f t="shared" si="0"/>
        <v>0.24060364360236636</v>
      </c>
      <c r="L37" s="146">
        <f t="shared" si="1"/>
        <v>1</v>
      </c>
      <c r="M37">
        <f t="shared" si="2"/>
        <v>0</v>
      </c>
      <c r="N37" s="222">
        <f t="shared" si="3"/>
        <v>1185187.29</v>
      </c>
    </row>
    <row r="38" spans="1:14" x14ac:dyDescent="0.25">
      <c r="A38" s="147">
        <v>44930</v>
      </c>
      <c r="B38" s="222">
        <v>2567278.6</v>
      </c>
      <c r="C38" s="222">
        <v>0</v>
      </c>
      <c r="D38" s="222">
        <v>815310.1</v>
      </c>
      <c r="E38" s="222">
        <v>3382588.7</v>
      </c>
      <c r="F38" s="222">
        <v>-90963.63</v>
      </c>
      <c r="G38" s="222">
        <v>27175.85</v>
      </c>
      <c r="H38" s="222">
        <v>0</v>
      </c>
      <c r="I38" s="222">
        <v>46426.91</v>
      </c>
      <c r="J38" s="222">
        <v>1110811.29</v>
      </c>
      <c r="K38" s="146">
        <f t="shared" si="0"/>
        <v>0.24103140296069692</v>
      </c>
      <c r="L38" s="146">
        <f t="shared" si="1"/>
        <v>1</v>
      </c>
      <c r="M38">
        <f t="shared" si="2"/>
        <v>0</v>
      </c>
      <c r="N38" s="222">
        <f t="shared" si="3"/>
        <v>1184414.05</v>
      </c>
    </row>
    <row r="39" spans="1:14" x14ac:dyDescent="0.25">
      <c r="A39" s="147">
        <v>44929</v>
      </c>
      <c r="B39" s="222">
        <v>2565623.92</v>
      </c>
      <c r="C39" s="222">
        <v>0</v>
      </c>
      <c r="D39" s="222">
        <v>817078.96</v>
      </c>
      <c r="E39" s="222">
        <v>3382702.88</v>
      </c>
      <c r="F39" s="222">
        <v>-86859.08</v>
      </c>
      <c r="G39" s="222">
        <v>27175.85</v>
      </c>
      <c r="H39" s="222">
        <v>0</v>
      </c>
      <c r="I39" s="222">
        <v>46604.4</v>
      </c>
      <c r="J39" s="222">
        <v>1110243.73</v>
      </c>
      <c r="K39" s="146">
        <f t="shared" si="0"/>
        <v>0.24154618037277931</v>
      </c>
      <c r="L39" s="146">
        <f t="shared" si="1"/>
        <v>1</v>
      </c>
      <c r="M39">
        <f t="shared" si="2"/>
        <v>0</v>
      </c>
      <c r="N39" s="222">
        <f t="shared" si="3"/>
        <v>1184023.98</v>
      </c>
    </row>
    <row r="40" spans="1:14" x14ac:dyDescent="0.25">
      <c r="A40" s="147">
        <v>44928</v>
      </c>
      <c r="B40" s="222">
        <v>2563970.31</v>
      </c>
      <c r="C40" s="222">
        <v>0</v>
      </c>
      <c r="D40" s="222">
        <v>832006.71</v>
      </c>
      <c r="E40" s="222">
        <v>3395977.02</v>
      </c>
      <c r="F40" s="222">
        <v>-70045.45</v>
      </c>
      <c r="G40" s="222">
        <v>27175.85</v>
      </c>
      <c r="H40" s="222">
        <v>0</v>
      </c>
      <c r="I40" s="222">
        <v>47220.959999999999</v>
      </c>
      <c r="J40" s="222">
        <v>1109682.07</v>
      </c>
      <c r="K40" s="146">
        <f t="shared" si="0"/>
        <v>0.24499774441936595</v>
      </c>
      <c r="L40" s="146">
        <f t="shared" si="1"/>
        <v>1</v>
      </c>
      <c r="M40">
        <f t="shared" si="2"/>
        <v>0</v>
      </c>
      <c r="N40" s="222">
        <f t="shared" si="3"/>
        <v>1184078.8800000001</v>
      </c>
    </row>
    <row r="41" spans="1:14" x14ac:dyDescent="0.25">
      <c r="A41" s="147">
        <v>44925</v>
      </c>
      <c r="B41" s="222">
        <v>2562317.77</v>
      </c>
      <c r="C41" s="222">
        <v>0</v>
      </c>
      <c r="D41" s="222">
        <v>833164.55</v>
      </c>
      <c r="E41" s="222">
        <v>3395482.3199999989</v>
      </c>
      <c r="F41" s="222">
        <v>-67000</v>
      </c>
      <c r="G41" s="222">
        <v>27175.85</v>
      </c>
      <c r="H41" s="222">
        <v>0</v>
      </c>
      <c r="I41" s="222">
        <v>47819.360000000001</v>
      </c>
      <c r="J41" s="222">
        <v>1109132.04</v>
      </c>
      <c r="K41" s="146">
        <f t="shared" si="0"/>
        <v>0.24537443328522479</v>
      </c>
      <c r="L41" s="146">
        <f t="shared" si="1"/>
        <v>1</v>
      </c>
      <c r="M41">
        <f t="shared" si="2"/>
        <v>0</v>
      </c>
      <c r="N41" s="222">
        <f t="shared" si="3"/>
        <v>1184127.25</v>
      </c>
    </row>
    <row r="42" spans="1:14" x14ac:dyDescent="0.25">
      <c r="A42" s="147">
        <v>44924</v>
      </c>
      <c r="B42" s="222">
        <v>2560666.31</v>
      </c>
      <c r="C42" s="222">
        <v>0</v>
      </c>
      <c r="D42" s="222">
        <v>833692.41</v>
      </c>
      <c r="E42" s="222">
        <v>3394358.72</v>
      </c>
      <c r="F42" s="222">
        <v>-63954.55</v>
      </c>
      <c r="G42" s="222">
        <v>27175.85</v>
      </c>
      <c r="H42" s="222">
        <v>0</v>
      </c>
      <c r="I42" s="222">
        <v>47798.58</v>
      </c>
      <c r="J42" s="222">
        <v>1108566.1599999999</v>
      </c>
      <c r="K42" s="146">
        <f t="shared" si="0"/>
        <v>0.24561116805002861</v>
      </c>
      <c r="L42" s="146">
        <f t="shared" si="1"/>
        <v>1</v>
      </c>
      <c r="M42">
        <f t="shared" si="2"/>
        <v>0</v>
      </c>
      <c r="N42" s="222">
        <f t="shared" si="3"/>
        <v>1183540.5899999999</v>
      </c>
    </row>
    <row r="43" spans="1:14" x14ac:dyDescent="0.25">
      <c r="A43" s="147">
        <v>44923</v>
      </c>
      <c r="B43" s="222">
        <v>2559015.9</v>
      </c>
      <c r="C43" s="222">
        <v>0</v>
      </c>
      <c r="D43" s="222">
        <v>833718.6</v>
      </c>
      <c r="E43" s="222">
        <v>3392734.5</v>
      </c>
      <c r="F43" s="222">
        <v>-60909.09</v>
      </c>
      <c r="G43" s="222">
        <v>27175.85</v>
      </c>
      <c r="H43" s="222">
        <v>0</v>
      </c>
      <c r="I43" s="222">
        <v>47258.66</v>
      </c>
      <c r="J43" s="222">
        <v>1108013.1499999999</v>
      </c>
      <c r="K43" s="146">
        <f t="shared" si="0"/>
        <v>0.24573647009514007</v>
      </c>
      <c r="L43" s="146">
        <f t="shared" si="1"/>
        <v>1</v>
      </c>
      <c r="M43">
        <f t="shared" si="2"/>
        <v>0</v>
      </c>
      <c r="N43" s="222">
        <f t="shared" si="3"/>
        <v>1182447.6599999999</v>
      </c>
    </row>
    <row r="44" spans="1:14" x14ac:dyDescent="0.25">
      <c r="A44" s="147">
        <v>44922</v>
      </c>
      <c r="B44" s="222">
        <v>2557366.56</v>
      </c>
      <c r="C44" s="222">
        <v>0</v>
      </c>
      <c r="D44" s="222">
        <v>834281.86</v>
      </c>
      <c r="E44" s="222">
        <v>3391648.42</v>
      </c>
      <c r="F44" s="222">
        <v>-57863.65</v>
      </c>
      <c r="G44" s="222">
        <v>27175.85</v>
      </c>
      <c r="H44" s="222">
        <v>0</v>
      </c>
      <c r="I44" s="222">
        <v>47258.66</v>
      </c>
      <c r="J44" s="222">
        <v>1107452.44</v>
      </c>
      <c r="K44" s="146">
        <f t="shared" si="0"/>
        <v>0.24598123292508012</v>
      </c>
      <c r="L44" s="146">
        <f t="shared" si="1"/>
        <v>1</v>
      </c>
      <c r="M44">
        <f t="shared" si="2"/>
        <v>0</v>
      </c>
      <c r="N44" s="222">
        <f t="shared" si="3"/>
        <v>1181886.95</v>
      </c>
    </row>
    <row r="45" spans="1:14" x14ac:dyDescent="0.25">
      <c r="A45" s="147">
        <v>44921</v>
      </c>
      <c r="B45" s="222">
        <v>2555718.2799999998</v>
      </c>
      <c r="C45" s="222">
        <v>0</v>
      </c>
      <c r="D45" s="222">
        <v>834698.34</v>
      </c>
      <c r="E45" s="222">
        <v>3390416.62</v>
      </c>
      <c r="F45" s="222">
        <v>-54818.19</v>
      </c>
      <c r="G45" s="222">
        <v>27175.85</v>
      </c>
      <c r="H45" s="222">
        <v>0</v>
      </c>
      <c r="I45" s="222">
        <v>47104.06</v>
      </c>
      <c r="J45" s="222">
        <v>1106894.78</v>
      </c>
      <c r="K45" s="146">
        <f t="shared" si="0"/>
        <v>0.2461934427397893</v>
      </c>
      <c r="L45" s="146">
        <f t="shared" si="1"/>
        <v>1</v>
      </c>
      <c r="M45">
        <f t="shared" si="2"/>
        <v>0</v>
      </c>
      <c r="N45" s="222">
        <f t="shared" si="3"/>
        <v>1181174.69</v>
      </c>
    </row>
    <row r="46" spans="1:14" x14ac:dyDescent="0.25">
      <c r="A46" s="147">
        <v>44918</v>
      </c>
      <c r="B46" s="222">
        <v>2554071.08</v>
      </c>
      <c r="C46" s="222">
        <v>0</v>
      </c>
      <c r="D46" s="222">
        <v>835239.04</v>
      </c>
      <c r="E46" s="222">
        <v>3389310.12</v>
      </c>
      <c r="F46" s="222">
        <v>-51772.74</v>
      </c>
      <c r="G46" s="222">
        <v>27175.85</v>
      </c>
      <c r="H46" s="222">
        <v>0</v>
      </c>
      <c r="I46" s="222">
        <v>47072.77</v>
      </c>
      <c r="J46" s="222">
        <v>1106333.19</v>
      </c>
      <c r="K46" s="146">
        <f t="shared" si="0"/>
        <v>0.24643334791683211</v>
      </c>
      <c r="L46" s="146">
        <f t="shared" si="1"/>
        <v>1</v>
      </c>
      <c r="M46">
        <f t="shared" si="2"/>
        <v>0</v>
      </c>
      <c r="N46" s="222">
        <f t="shared" si="3"/>
        <v>1180581.81</v>
      </c>
    </row>
    <row r="47" spans="1:14" x14ac:dyDescent="0.25">
      <c r="A47" s="147">
        <v>44917</v>
      </c>
      <c r="B47" s="222">
        <v>2553117.7200000002</v>
      </c>
      <c r="C47" s="222">
        <v>0</v>
      </c>
      <c r="D47" s="222">
        <v>835503.28</v>
      </c>
      <c r="E47" s="222">
        <v>3388621</v>
      </c>
      <c r="F47" s="222">
        <v>-48727.26</v>
      </c>
      <c r="G47" s="222">
        <v>26880.87</v>
      </c>
      <c r="H47" s="222">
        <v>0</v>
      </c>
      <c r="I47" s="222">
        <v>46590.57</v>
      </c>
      <c r="J47" s="222">
        <v>1221776.9099999999</v>
      </c>
      <c r="K47" s="146">
        <f t="shared" si="0"/>
        <v>0.24656144195529686</v>
      </c>
      <c r="L47" s="146">
        <f t="shared" si="1"/>
        <v>1</v>
      </c>
      <c r="M47">
        <f t="shared" si="2"/>
        <v>0</v>
      </c>
      <c r="N47" s="222">
        <f t="shared" si="3"/>
        <v>1295248.3499999999</v>
      </c>
    </row>
    <row r="48" spans="1:14" x14ac:dyDescent="0.25">
      <c r="A48" s="147">
        <v>44916</v>
      </c>
      <c r="B48" s="222">
        <v>2551333.6800000002</v>
      </c>
      <c r="C48" s="222">
        <v>0</v>
      </c>
      <c r="D48" s="222">
        <v>836039.31</v>
      </c>
      <c r="E48" s="222">
        <v>3387372.99</v>
      </c>
      <c r="F48" s="222">
        <v>-45681.81</v>
      </c>
      <c r="G48" s="222">
        <v>26880.87</v>
      </c>
      <c r="H48" s="222">
        <v>0</v>
      </c>
      <c r="I48" s="222">
        <v>46297.78</v>
      </c>
      <c r="J48" s="222">
        <v>1221165.2</v>
      </c>
      <c r="K48" s="146">
        <f t="shared" si="0"/>
        <v>0.24681052617119675</v>
      </c>
      <c r="L48" s="146">
        <f t="shared" si="1"/>
        <v>1</v>
      </c>
      <c r="M48">
        <f t="shared" si="2"/>
        <v>0</v>
      </c>
      <c r="N48" s="222">
        <f t="shared" si="3"/>
        <v>1294343.8499999999</v>
      </c>
    </row>
    <row r="49" spans="1:14" x14ac:dyDescent="0.25">
      <c r="A49" s="147">
        <v>44915</v>
      </c>
      <c r="B49" s="222">
        <v>2549550.9</v>
      </c>
      <c r="C49" s="222">
        <v>0</v>
      </c>
      <c r="D49" s="222">
        <v>838430.13</v>
      </c>
      <c r="E49" s="222">
        <v>3387981.03</v>
      </c>
      <c r="F49" s="222">
        <v>-42636.35</v>
      </c>
      <c r="G49" s="222">
        <v>28353.81</v>
      </c>
      <c r="H49" s="222">
        <v>0</v>
      </c>
      <c r="I49" s="222">
        <v>46379.23</v>
      </c>
      <c r="J49" s="222">
        <v>1220556.72</v>
      </c>
      <c r="K49" s="146">
        <f t="shared" si="0"/>
        <v>0.2474719080702763</v>
      </c>
      <c r="L49" s="146">
        <f t="shared" si="1"/>
        <v>1</v>
      </c>
      <c r="M49">
        <f t="shared" si="2"/>
        <v>0</v>
      </c>
      <c r="N49" s="222">
        <f t="shared" si="3"/>
        <v>1295289.76</v>
      </c>
    </row>
    <row r="50" spans="1:14" x14ac:dyDescent="0.25">
      <c r="A50" s="147">
        <v>44914</v>
      </c>
      <c r="B50" s="222">
        <v>2547769.36</v>
      </c>
      <c r="C50" s="222">
        <v>0</v>
      </c>
      <c r="D50" s="222">
        <v>839252.17</v>
      </c>
      <c r="E50" s="222">
        <v>3387021.53</v>
      </c>
      <c r="F50" s="222">
        <v>-39590.910000000003</v>
      </c>
      <c r="G50" s="222">
        <v>169657.17</v>
      </c>
      <c r="H50" s="222">
        <v>0</v>
      </c>
      <c r="I50" s="222">
        <v>46146.01</v>
      </c>
      <c r="J50" s="222">
        <v>1219951.1200000001</v>
      </c>
      <c r="K50" s="146">
        <f t="shared" si="0"/>
        <v>0.24778471662091858</v>
      </c>
      <c r="L50" s="146">
        <f t="shared" si="1"/>
        <v>1</v>
      </c>
      <c r="M50">
        <f t="shared" si="2"/>
        <v>0</v>
      </c>
      <c r="N50" s="222">
        <f t="shared" si="3"/>
        <v>1435754.3</v>
      </c>
    </row>
    <row r="51" spans="1:14" x14ac:dyDescent="0.25">
      <c r="A51" s="147">
        <v>44911</v>
      </c>
      <c r="B51" s="222">
        <v>2545989.06</v>
      </c>
      <c r="C51" s="222">
        <v>0</v>
      </c>
      <c r="D51" s="222">
        <v>840393.14</v>
      </c>
      <c r="E51" s="222">
        <v>3386382.2</v>
      </c>
      <c r="F51" s="222">
        <v>-36545.449999999997</v>
      </c>
      <c r="G51" s="222">
        <v>9657.17</v>
      </c>
      <c r="H51" s="222">
        <v>0</v>
      </c>
      <c r="I51" s="222">
        <v>46313.54</v>
      </c>
      <c r="J51" s="222">
        <v>1379259.48</v>
      </c>
      <c r="K51" s="146">
        <f t="shared" si="0"/>
        <v>0.24816842587939422</v>
      </c>
      <c r="L51" s="146">
        <f t="shared" si="1"/>
        <v>1</v>
      </c>
      <c r="M51">
        <f t="shared" si="2"/>
        <v>0</v>
      </c>
      <c r="N51" s="222">
        <f t="shared" si="3"/>
        <v>1435230.19</v>
      </c>
    </row>
    <row r="52" spans="1:14" x14ac:dyDescent="0.25">
      <c r="A52" s="147">
        <v>44910</v>
      </c>
      <c r="B52" s="222">
        <v>2544210.02</v>
      </c>
      <c r="C52" s="222">
        <v>0</v>
      </c>
      <c r="D52" s="222">
        <v>841769.89</v>
      </c>
      <c r="E52" s="222">
        <v>3385979.9100000011</v>
      </c>
      <c r="F52" s="222">
        <v>-33500</v>
      </c>
      <c r="G52" s="222">
        <v>9657.17</v>
      </c>
      <c r="H52" s="222">
        <v>0</v>
      </c>
      <c r="I52" s="222">
        <v>46707.55</v>
      </c>
      <c r="J52" s="222">
        <v>1378573.13</v>
      </c>
      <c r="K52" s="146">
        <f t="shared" si="0"/>
        <v>0.24860451401792272</v>
      </c>
      <c r="L52" s="146">
        <f t="shared" si="1"/>
        <v>1</v>
      </c>
      <c r="M52">
        <f t="shared" si="2"/>
        <v>0</v>
      </c>
      <c r="N52" s="222">
        <f t="shared" si="3"/>
        <v>1434937.8499999999</v>
      </c>
    </row>
    <row r="53" spans="1:14" x14ac:dyDescent="0.25">
      <c r="A53" s="147">
        <v>44909</v>
      </c>
      <c r="B53" s="222">
        <v>2542570.77</v>
      </c>
      <c r="C53" s="222">
        <v>0</v>
      </c>
      <c r="D53" s="222">
        <v>842582.05</v>
      </c>
      <c r="E53" s="222">
        <v>3385152.82</v>
      </c>
      <c r="F53" s="222">
        <v>-30454.54</v>
      </c>
      <c r="G53" s="222">
        <v>9657.17</v>
      </c>
      <c r="H53" s="222">
        <v>0</v>
      </c>
      <c r="I53" s="222">
        <v>46669.43</v>
      </c>
      <c r="J53" s="222">
        <v>1377888.85</v>
      </c>
      <c r="K53" s="146">
        <f t="shared" si="0"/>
        <v>0.24890517350410199</v>
      </c>
      <c r="L53" s="146">
        <f t="shared" si="1"/>
        <v>1</v>
      </c>
      <c r="M53">
        <f t="shared" si="2"/>
        <v>0</v>
      </c>
      <c r="N53" s="222">
        <f t="shared" si="3"/>
        <v>1434215.4500000002</v>
      </c>
    </row>
    <row r="54" spans="1:14" x14ac:dyDescent="0.25">
      <c r="A54" s="147">
        <v>44908</v>
      </c>
      <c r="B54" s="222">
        <v>2540932.58</v>
      </c>
      <c r="C54" s="222">
        <v>0</v>
      </c>
      <c r="D54" s="222">
        <v>843463.11</v>
      </c>
      <c r="E54" s="222">
        <v>3384395.69</v>
      </c>
      <c r="F54" s="222">
        <v>-27409.09</v>
      </c>
      <c r="G54" s="222">
        <v>9657.17</v>
      </c>
      <c r="H54" s="222">
        <v>0</v>
      </c>
      <c r="I54" s="222">
        <v>46695.18</v>
      </c>
      <c r="J54" s="222">
        <v>1377205.42</v>
      </c>
      <c r="K54" s="146">
        <f t="shared" si="0"/>
        <v>0.24922118666331242</v>
      </c>
      <c r="L54" s="146">
        <f t="shared" si="1"/>
        <v>1</v>
      </c>
      <c r="M54">
        <f t="shared" si="2"/>
        <v>0</v>
      </c>
      <c r="N54" s="222">
        <f t="shared" si="3"/>
        <v>1433557.77</v>
      </c>
    </row>
    <row r="55" spans="1:14" x14ac:dyDescent="0.25">
      <c r="A55" s="147">
        <v>44907</v>
      </c>
      <c r="B55" s="222">
        <v>2539295.42</v>
      </c>
      <c r="C55" s="222">
        <v>0</v>
      </c>
      <c r="D55" s="222">
        <v>844504</v>
      </c>
      <c r="E55" s="222">
        <v>3383799.42</v>
      </c>
      <c r="F55" s="222">
        <v>-24363.64</v>
      </c>
      <c r="G55" s="222">
        <v>9657.17</v>
      </c>
      <c r="H55" s="222">
        <v>0</v>
      </c>
      <c r="I55" s="222">
        <v>46875.199999999997</v>
      </c>
      <c r="J55" s="222">
        <v>1376523.37</v>
      </c>
      <c r="K55" s="146">
        <f t="shared" si="0"/>
        <v>0.24957271255753097</v>
      </c>
      <c r="L55" s="146">
        <f t="shared" si="1"/>
        <v>1</v>
      </c>
      <c r="M55">
        <f t="shared" si="2"/>
        <v>0</v>
      </c>
      <c r="N55" s="222">
        <f t="shared" si="3"/>
        <v>1433055.7400000002</v>
      </c>
    </row>
    <row r="56" spans="1:14" x14ac:dyDescent="0.25">
      <c r="A56" s="147">
        <v>44904</v>
      </c>
      <c r="B56" s="222">
        <v>2537659.34</v>
      </c>
      <c r="C56" s="222">
        <v>0</v>
      </c>
      <c r="D56" s="222">
        <v>845773.75</v>
      </c>
      <c r="E56" s="222">
        <v>3383433.09</v>
      </c>
      <c r="F56" s="222">
        <v>-21318.19</v>
      </c>
      <c r="G56" s="222">
        <v>9657.17</v>
      </c>
      <c r="H56" s="222">
        <v>0</v>
      </c>
      <c r="I56" s="222">
        <v>47282.54</v>
      </c>
      <c r="J56" s="222">
        <v>1375838.72</v>
      </c>
      <c r="K56" s="146">
        <f t="shared" si="0"/>
        <v>0.24997501871686195</v>
      </c>
      <c r="L56" s="146">
        <f t="shared" si="1"/>
        <v>1</v>
      </c>
      <c r="M56">
        <f t="shared" si="2"/>
        <v>0</v>
      </c>
      <c r="N56" s="222">
        <f t="shared" si="3"/>
        <v>1432778.43</v>
      </c>
    </row>
    <row r="57" spans="1:14" x14ac:dyDescent="0.25">
      <c r="A57" s="147">
        <v>44903</v>
      </c>
      <c r="B57" s="222">
        <v>2536399.59</v>
      </c>
      <c r="C57" s="222">
        <v>0</v>
      </c>
      <c r="D57" s="222">
        <v>847416.75</v>
      </c>
      <c r="E57" s="222">
        <v>3383816.34</v>
      </c>
      <c r="F57" s="222">
        <v>-48022.73</v>
      </c>
      <c r="G57" s="222">
        <v>40374.410000000003</v>
      </c>
      <c r="H57" s="222">
        <v>0</v>
      </c>
      <c r="I57" s="222">
        <v>47470.18</v>
      </c>
      <c r="J57" s="222">
        <v>1375150.87</v>
      </c>
      <c r="K57" s="146">
        <f t="shared" si="0"/>
        <v>0.25043225306962141</v>
      </c>
      <c r="L57" s="146">
        <f t="shared" si="1"/>
        <v>1</v>
      </c>
      <c r="M57">
        <f t="shared" si="2"/>
        <v>0</v>
      </c>
      <c r="N57" s="222">
        <f t="shared" si="3"/>
        <v>1462995.4600000002</v>
      </c>
    </row>
    <row r="58" spans="1:14" x14ac:dyDescent="0.25">
      <c r="A58" s="147">
        <v>44902</v>
      </c>
      <c r="B58" s="222">
        <v>2534717.2000000002</v>
      </c>
      <c r="C58" s="222">
        <v>0</v>
      </c>
      <c r="D58" s="222">
        <v>848586.75</v>
      </c>
      <c r="E58" s="222">
        <v>3383303.95</v>
      </c>
      <c r="F58" s="222">
        <v>-44977.26</v>
      </c>
      <c r="G58" s="222">
        <v>4872.9399999999996</v>
      </c>
      <c r="H58" s="222">
        <v>0</v>
      </c>
      <c r="I58" s="222">
        <v>47653.04</v>
      </c>
      <c r="J58" s="222">
        <v>1504402.31</v>
      </c>
      <c r="K58" s="146">
        <f t="shared" si="0"/>
        <v>0.25081599600296034</v>
      </c>
      <c r="L58" s="146">
        <f t="shared" si="1"/>
        <v>1</v>
      </c>
      <c r="M58">
        <f t="shared" si="2"/>
        <v>0</v>
      </c>
      <c r="N58" s="222">
        <f t="shared" si="3"/>
        <v>1556928.29</v>
      </c>
    </row>
    <row r="59" spans="1:14" x14ac:dyDescent="0.25">
      <c r="A59" s="147">
        <v>44901</v>
      </c>
      <c r="B59" s="222">
        <v>1333831.8700000001</v>
      </c>
      <c r="C59" s="222">
        <v>0</v>
      </c>
      <c r="D59" s="222">
        <v>849292.6</v>
      </c>
      <c r="E59" s="222">
        <v>2183124.4700000002</v>
      </c>
      <c r="F59" s="222">
        <v>-74681.8</v>
      </c>
      <c r="G59" s="222">
        <v>17622.939999999999</v>
      </c>
      <c r="H59" s="222">
        <v>0</v>
      </c>
      <c r="I59" s="222">
        <v>47578.37</v>
      </c>
      <c r="J59" s="222">
        <v>324239.19</v>
      </c>
      <c r="K59" s="146">
        <f t="shared" si="0"/>
        <v>0.38902619235448355</v>
      </c>
      <c r="L59" s="146">
        <f t="shared" si="1"/>
        <v>1</v>
      </c>
      <c r="M59">
        <f t="shared" si="2"/>
        <v>0</v>
      </c>
      <c r="N59" s="222">
        <f t="shared" si="3"/>
        <v>389440.5</v>
      </c>
    </row>
    <row r="60" spans="1:14" x14ac:dyDescent="0.25">
      <c r="A60" s="147">
        <v>44900</v>
      </c>
      <c r="B60" s="222">
        <v>1133079.8</v>
      </c>
      <c r="C60" s="222">
        <v>0</v>
      </c>
      <c r="D60" s="222">
        <v>850555.71</v>
      </c>
      <c r="E60" s="222">
        <v>1983635.51</v>
      </c>
      <c r="F60" s="222">
        <v>-71636.350000000006</v>
      </c>
      <c r="G60" s="222">
        <v>17622.939999999999</v>
      </c>
      <c r="H60" s="222">
        <v>0</v>
      </c>
      <c r="I60" s="222">
        <v>48088.1</v>
      </c>
      <c r="J60" s="222">
        <v>124177.2</v>
      </c>
      <c r="K60" s="146">
        <f t="shared" si="0"/>
        <v>0.42878628947310987</v>
      </c>
      <c r="L60" s="146">
        <f t="shared" si="1"/>
        <v>1</v>
      </c>
      <c r="M60">
        <f t="shared" si="2"/>
        <v>0</v>
      </c>
      <c r="N60" s="222">
        <f t="shared" si="3"/>
        <v>189888.24</v>
      </c>
    </row>
    <row r="61" spans="1:14" x14ac:dyDescent="0.25">
      <c r="A61" s="221">
        <v>44897</v>
      </c>
      <c r="B61">
        <v>1132328.22</v>
      </c>
      <c r="C61">
        <v>0</v>
      </c>
      <c r="D61">
        <v>851921.45</v>
      </c>
      <c r="E61">
        <v>1984249.67</v>
      </c>
      <c r="F61">
        <v>-68590.899999999994</v>
      </c>
      <c r="G61">
        <v>17622.939999999999</v>
      </c>
      <c r="H61">
        <v>0</v>
      </c>
      <c r="I61">
        <v>48695.6</v>
      </c>
      <c r="J61">
        <v>124115.6</v>
      </c>
      <c r="K61" s="146">
        <f t="shared" si="0"/>
        <v>0.42934186301263189</v>
      </c>
      <c r="L61" s="146">
        <f t="shared" si="1"/>
        <v>1</v>
      </c>
      <c r="M61">
        <f t="shared" si="2"/>
        <v>0</v>
      </c>
      <c r="N61" s="222">
        <f t="shared" si="3"/>
        <v>190434.14</v>
      </c>
    </row>
    <row r="62" spans="1:14" x14ac:dyDescent="0.25">
      <c r="A62" s="221">
        <v>44896</v>
      </c>
      <c r="B62">
        <v>1131577.1499999999</v>
      </c>
      <c r="C62">
        <v>0</v>
      </c>
      <c r="D62">
        <v>852484.85</v>
      </c>
      <c r="E62">
        <v>1984062</v>
      </c>
      <c r="F62">
        <v>-65545.45</v>
      </c>
      <c r="G62">
        <v>17622.939999999999</v>
      </c>
      <c r="H62">
        <v>0</v>
      </c>
      <c r="I62">
        <v>48496.800000000003</v>
      </c>
      <c r="J62">
        <v>124053.45</v>
      </c>
      <c r="K62" s="146">
        <f t="shared" si="0"/>
        <v>0.42966643683513922</v>
      </c>
      <c r="L62" s="146">
        <f t="shared" si="1"/>
        <v>1</v>
      </c>
      <c r="M62">
        <f t="shared" si="2"/>
        <v>0</v>
      </c>
      <c r="N62" s="222">
        <f t="shared" si="3"/>
        <v>190173.19</v>
      </c>
    </row>
    <row r="63" spans="1:14" x14ac:dyDescent="0.25">
      <c r="A63" s="221">
        <v>44895</v>
      </c>
      <c r="B63">
        <v>1130826.57</v>
      </c>
      <c r="C63">
        <v>0</v>
      </c>
      <c r="D63">
        <v>854285.7</v>
      </c>
      <c r="E63">
        <v>1985112.27</v>
      </c>
      <c r="F63">
        <v>-62500</v>
      </c>
      <c r="G63">
        <v>18321.650000000001</v>
      </c>
      <c r="H63">
        <v>0</v>
      </c>
      <c r="I63">
        <v>48831.61</v>
      </c>
      <c r="J63">
        <v>123991.92</v>
      </c>
      <c r="K63" s="146">
        <f t="shared" si="0"/>
        <v>0.43034628968365601</v>
      </c>
      <c r="L63" s="146">
        <f t="shared" si="1"/>
        <v>1</v>
      </c>
      <c r="M63">
        <f t="shared" si="2"/>
        <v>0</v>
      </c>
      <c r="N63" s="222">
        <f t="shared" si="3"/>
        <v>191145.18</v>
      </c>
    </row>
    <row r="64" spans="1:14" x14ac:dyDescent="0.25">
      <c r="A64" s="221">
        <v>44894</v>
      </c>
      <c r="B64">
        <v>1130076.48</v>
      </c>
      <c r="C64">
        <v>0</v>
      </c>
      <c r="D64">
        <v>854775.58</v>
      </c>
      <c r="E64">
        <v>1984852.06</v>
      </c>
      <c r="F64">
        <v>-59150</v>
      </c>
      <c r="G64">
        <v>18079.14</v>
      </c>
      <c r="H64">
        <v>0</v>
      </c>
      <c r="I64">
        <v>48184.06</v>
      </c>
      <c r="J64">
        <v>165910.54</v>
      </c>
      <c r="K64" s="146">
        <f t="shared" si="0"/>
        <v>0.43064951651862654</v>
      </c>
      <c r="L64" s="146">
        <f t="shared" si="1"/>
        <v>1</v>
      </c>
      <c r="M64">
        <f t="shared" si="2"/>
        <v>0</v>
      </c>
      <c r="N64" s="222">
        <f t="shared" si="3"/>
        <v>232173.74</v>
      </c>
    </row>
    <row r="65" spans="1:14" x14ac:dyDescent="0.25">
      <c r="A65" s="221">
        <v>44893</v>
      </c>
      <c r="B65">
        <v>1129326.8999999999</v>
      </c>
      <c r="C65">
        <v>0</v>
      </c>
      <c r="D65">
        <v>854933.4</v>
      </c>
      <c r="E65">
        <v>1984260.3</v>
      </c>
      <c r="F65">
        <v>-55800</v>
      </c>
      <c r="G65">
        <v>18079.14</v>
      </c>
      <c r="H65">
        <v>0</v>
      </c>
      <c r="I65">
        <v>47200.58</v>
      </c>
      <c r="J65">
        <v>165828.76</v>
      </c>
      <c r="K65" s="146">
        <f t="shared" si="0"/>
        <v>0.43085748376863658</v>
      </c>
      <c r="L65" s="146">
        <f t="shared" si="1"/>
        <v>1</v>
      </c>
      <c r="M65">
        <f t="shared" si="2"/>
        <v>0</v>
      </c>
      <c r="N65" s="222">
        <f t="shared" si="3"/>
        <v>231108.48000000001</v>
      </c>
    </row>
    <row r="66" spans="1:14" x14ac:dyDescent="0.25">
      <c r="A66" s="221">
        <v>44890</v>
      </c>
      <c r="B66">
        <v>1128577.82</v>
      </c>
      <c r="C66">
        <v>0</v>
      </c>
      <c r="D66">
        <v>855818.83</v>
      </c>
      <c r="E66">
        <v>1984396.65</v>
      </c>
      <c r="F66">
        <v>-52450</v>
      </c>
      <c r="G66">
        <v>18079.14</v>
      </c>
      <c r="H66">
        <v>0</v>
      </c>
      <c r="I66">
        <v>46941.01</v>
      </c>
      <c r="J66">
        <v>165746.35</v>
      </c>
      <c r="K66" s="146">
        <f t="shared" ref="K66:K129" si="6">D66/E66</f>
        <v>0.43127407517040506</v>
      </c>
      <c r="L66" s="146">
        <f t="shared" ref="L66:L129" si="7">D66/(C66+D66)</f>
        <v>1</v>
      </c>
      <c r="M66">
        <f t="shared" ref="M66:M129" si="8">IF(OR(IF(K66&lt;0.2,1,0),IF(L66&lt;0.5,1,0)),1,0)</f>
        <v>0</v>
      </c>
      <c r="N66" s="222">
        <f t="shared" ref="N66:N129" si="9">G66+H66+I66+J66</f>
        <v>230766.5</v>
      </c>
    </row>
    <row r="67" spans="1:14" x14ac:dyDescent="0.25">
      <c r="A67" s="221">
        <v>44889</v>
      </c>
      <c r="B67">
        <v>1127829.24</v>
      </c>
      <c r="C67">
        <v>0</v>
      </c>
      <c r="D67">
        <v>858102.69</v>
      </c>
      <c r="E67">
        <v>1985931.93</v>
      </c>
      <c r="F67">
        <v>-49100</v>
      </c>
      <c r="G67">
        <v>18864.38</v>
      </c>
      <c r="H67">
        <v>0</v>
      </c>
      <c r="I67">
        <v>47290.080000000002</v>
      </c>
      <c r="J67">
        <v>165664.23000000001</v>
      </c>
      <c r="K67" s="146">
        <f t="shared" si="6"/>
        <v>0.43209068600855821</v>
      </c>
      <c r="L67" s="146">
        <f t="shared" si="7"/>
        <v>1</v>
      </c>
      <c r="M67">
        <f t="shared" si="8"/>
        <v>0</v>
      </c>
      <c r="N67" s="222">
        <f t="shared" si="9"/>
        <v>231818.69</v>
      </c>
    </row>
    <row r="68" spans="1:14" x14ac:dyDescent="0.25">
      <c r="A68" s="221">
        <v>44888</v>
      </c>
      <c r="B68">
        <v>1127081.1399999999</v>
      </c>
      <c r="C68">
        <v>0</v>
      </c>
      <c r="D68">
        <v>858790.40000000002</v>
      </c>
      <c r="E68">
        <v>1985871.54</v>
      </c>
      <c r="F68">
        <v>-45750</v>
      </c>
      <c r="G68">
        <v>16266.59</v>
      </c>
      <c r="H68">
        <v>0</v>
      </c>
      <c r="I68">
        <v>46736.28</v>
      </c>
      <c r="J68">
        <v>230549.75</v>
      </c>
      <c r="K68" s="146">
        <f t="shared" si="6"/>
        <v>0.4324501271618002</v>
      </c>
      <c r="L68" s="146">
        <f t="shared" si="7"/>
        <v>1</v>
      </c>
      <c r="M68">
        <f t="shared" si="8"/>
        <v>0</v>
      </c>
      <c r="N68" s="222">
        <f t="shared" si="9"/>
        <v>293552.62</v>
      </c>
    </row>
    <row r="69" spans="1:14" x14ac:dyDescent="0.25">
      <c r="A69" s="221">
        <v>44887</v>
      </c>
      <c r="B69">
        <v>1126333.56</v>
      </c>
      <c r="C69">
        <v>0</v>
      </c>
      <c r="D69">
        <v>860317.43</v>
      </c>
      <c r="E69">
        <v>1986650.99</v>
      </c>
      <c r="F69">
        <v>-42400</v>
      </c>
      <c r="G69">
        <v>16266.59</v>
      </c>
      <c r="H69">
        <v>0</v>
      </c>
      <c r="I69">
        <v>47017.52</v>
      </c>
      <c r="J69">
        <v>230435.53</v>
      </c>
      <c r="K69" s="146">
        <f t="shared" si="6"/>
        <v>0.43304910340592839</v>
      </c>
      <c r="L69" s="146">
        <f t="shared" si="7"/>
        <v>1</v>
      </c>
      <c r="M69">
        <f t="shared" si="8"/>
        <v>0</v>
      </c>
      <c r="N69" s="222">
        <f t="shared" si="9"/>
        <v>293719.64</v>
      </c>
    </row>
    <row r="70" spans="1:14" x14ac:dyDescent="0.25">
      <c r="A70" s="221">
        <v>44886</v>
      </c>
      <c r="B70">
        <v>1125586.45</v>
      </c>
      <c r="C70">
        <v>0</v>
      </c>
      <c r="D70">
        <v>861873.76</v>
      </c>
      <c r="E70">
        <v>1987460.21</v>
      </c>
      <c r="F70">
        <v>-39050</v>
      </c>
      <c r="G70">
        <v>16266.59</v>
      </c>
      <c r="H70">
        <v>0</v>
      </c>
      <c r="I70">
        <v>47324.75</v>
      </c>
      <c r="J70">
        <v>230320.58</v>
      </c>
      <c r="K70" s="146">
        <f t="shared" si="6"/>
        <v>0.43365585668756612</v>
      </c>
      <c r="L70" s="146">
        <f t="shared" si="7"/>
        <v>1</v>
      </c>
      <c r="M70">
        <f t="shared" si="8"/>
        <v>0</v>
      </c>
      <c r="N70" s="222">
        <f t="shared" si="9"/>
        <v>293911.92</v>
      </c>
    </row>
    <row r="71" spans="1:14" x14ac:dyDescent="0.25">
      <c r="A71" s="221">
        <v>44883</v>
      </c>
      <c r="B71">
        <v>1124839.8400000001</v>
      </c>
      <c r="C71">
        <v>0</v>
      </c>
      <c r="D71">
        <v>863037.31</v>
      </c>
      <c r="E71">
        <v>1987877.15</v>
      </c>
      <c r="F71">
        <v>-35700</v>
      </c>
      <c r="G71">
        <v>16266.59</v>
      </c>
      <c r="H71">
        <v>0</v>
      </c>
      <c r="I71">
        <v>47235.21</v>
      </c>
      <c r="J71">
        <v>230205.58</v>
      </c>
      <c r="K71" s="146">
        <f t="shared" si="6"/>
        <v>0.43415022402164044</v>
      </c>
      <c r="L71" s="146">
        <f t="shared" si="7"/>
        <v>1</v>
      </c>
      <c r="M71">
        <f t="shared" si="8"/>
        <v>0</v>
      </c>
      <c r="N71" s="222">
        <f t="shared" si="9"/>
        <v>293707.38</v>
      </c>
    </row>
    <row r="72" spans="1:14" x14ac:dyDescent="0.25">
      <c r="A72" s="221">
        <v>44882</v>
      </c>
      <c r="B72">
        <v>1124093.73</v>
      </c>
      <c r="C72">
        <v>0</v>
      </c>
      <c r="D72">
        <v>864728.06</v>
      </c>
      <c r="E72">
        <v>1988821.79</v>
      </c>
      <c r="F72">
        <v>-32350</v>
      </c>
      <c r="G72">
        <v>16266.59</v>
      </c>
      <c r="H72">
        <v>0</v>
      </c>
      <c r="I72">
        <v>47669.69</v>
      </c>
      <c r="J72">
        <v>230089.73</v>
      </c>
      <c r="K72" s="146">
        <f t="shared" si="6"/>
        <v>0.43479414010241713</v>
      </c>
      <c r="L72" s="146">
        <f t="shared" si="7"/>
        <v>1</v>
      </c>
      <c r="M72">
        <f t="shared" si="8"/>
        <v>0</v>
      </c>
      <c r="N72" s="222">
        <f t="shared" si="9"/>
        <v>294026.01</v>
      </c>
    </row>
    <row r="73" spans="1:14" x14ac:dyDescent="0.25">
      <c r="A73" s="221">
        <v>44881</v>
      </c>
      <c r="B73">
        <v>1123348.1200000001</v>
      </c>
      <c r="C73">
        <v>0</v>
      </c>
      <c r="D73">
        <v>865923.38</v>
      </c>
      <c r="E73">
        <v>1989271.5</v>
      </c>
      <c r="F73">
        <v>-29000</v>
      </c>
      <c r="G73">
        <v>16266.59</v>
      </c>
      <c r="H73">
        <v>0</v>
      </c>
      <c r="I73">
        <v>47603.63</v>
      </c>
      <c r="J73">
        <v>229975.02</v>
      </c>
      <c r="K73" s="146">
        <f t="shared" si="6"/>
        <v>0.4352967304865123</v>
      </c>
      <c r="L73" s="146">
        <f t="shared" si="7"/>
        <v>1</v>
      </c>
      <c r="M73">
        <f t="shared" si="8"/>
        <v>0</v>
      </c>
      <c r="N73" s="222">
        <f t="shared" si="9"/>
        <v>293845.24</v>
      </c>
    </row>
    <row r="74" spans="1:14" x14ac:dyDescent="0.25">
      <c r="A74" s="221">
        <v>44879</v>
      </c>
      <c r="B74">
        <v>1122512.83</v>
      </c>
      <c r="C74">
        <v>0</v>
      </c>
      <c r="D74">
        <v>867904.2</v>
      </c>
      <c r="E74">
        <v>1990417.03</v>
      </c>
      <c r="F74">
        <v>-25650</v>
      </c>
      <c r="G74">
        <v>16266.59</v>
      </c>
      <c r="H74">
        <v>0</v>
      </c>
      <c r="I74">
        <v>48226.23</v>
      </c>
      <c r="J74">
        <v>229862.94</v>
      </c>
      <c r="K74" s="146">
        <f t="shared" si="6"/>
        <v>0.43604138575924462</v>
      </c>
      <c r="L74" s="146">
        <f t="shared" si="7"/>
        <v>1</v>
      </c>
      <c r="M74">
        <f t="shared" si="8"/>
        <v>0</v>
      </c>
      <c r="N74" s="222">
        <f t="shared" si="9"/>
        <v>294355.76</v>
      </c>
    </row>
    <row r="75" spans="1:14" x14ac:dyDescent="0.25">
      <c r="A75" s="221">
        <v>44876</v>
      </c>
      <c r="B75">
        <v>1121678.1599999999</v>
      </c>
      <c r="C75">
        <v>0</v>
      </c>
      <c r="D75">
        <v>873090.5</v>
      </c>
      <c r="E75">
        <v>1994768.66</v>
      </c>
      <c r="F75">
        <v>-22800</v>
      </c>
      <c r="G75">
        <v>21215.47</v>
      </c>
      <c r="H75">
        <v>0</v>
      </c>
      <c r="I75">
        <v>47601.43</v>
      </c>
      <c r="J75">
        <v>229750.99</v>
      </c>
      <c r="K75" s="146">
        <f t="shared" si="6"/>
        <v>0.43769010287137761</v>
      </c>
      <c r="L75" s="146">
        <f t="shared" si="7"/>
        <v>1</v>
      </c>
      <c r="M75">
        <f t="shared" si="8"/>
        <v>0</v>
      </c>
      <c r="N75" s="222">
        <f t="shared" si="9"/>
        <v>298567.89</v>
      </c>
    </row>
    <row r="76" spans="1:14" x14ac:dyDescent="0.25">
      <c r="A76" s="221">
        <v>44875</v>
      </c>
      <c r="B76">
        <v>501305.13</v>
      </c>
      <c r="C76">
        <v>0</v>
      </c>
      <c r="D76">
        <v>874481.08</v>
      </c>
      <c r="E76">
        <v>1375786.21</v>
      </c>
      <c r="F76">
        <v>-19950</v>
      </c>
      <c r="G76">
        <v>9001.44</v>
      </c>
      <c r="H76">
        <v>0</v>
      </c>
      <c r="I76">
        <v>47490.13</v>
      </c>
      <c r="J76">
        <v>259624.55</v>
      </c>
      <c r="K76" s="146">
        <f t="shared" si="6"/>
        <v>0.63562279781827435</v>
      </c>
      <c r="L76" s="146">
        <f t="shared" si="7"/>
        <v>1</v>
      </c>
      <c r="M76">
        <f t="shared" si="8"/>
        <v>0</v>
      </c>
      <c r="N76" s="222">
        <f t="shared" si="9"/>
        <v>316116.12</v>
      </c>
    </row>
    <row r="77" spans="1:14" x14ac:dyDescent="0.25">
      <c r="A77" s="221">
        <v>44874</v>
      </c>
      <c r="B77">
        <v>250923.36</v>
      </c>
      <c r="C77">
        <v>0</v>
      </c>
      <c r="D77">
        <v>877536.42</v>
      </c>
      <c r="E77">
        <v>1128459.78</v>
      </c>
      <c r="F77">
        <v>-17100</v>
      </c>
      <c r="G77">
        <v>11801.19</v>
      </c>
      <c r="H77">
        <v>0</v>
      </c>
      <c r="I77">
        <v>48856.37</v>
      </c>
      <c r="J77">
        <v>109570.94</v>
      </c>
      <c r="K77" s="146">
        <f t="shared" si="6"/>
        <v>0.77764084777571785</v>
      </c>
      <c r="L77" s="146">
        <f t="shared" si="7"/>
        <v>1</v>
      </c>
      <c r="M77">
        <f t="shared" si="8"/>
        <v>0</v>
      </c>
      <c r="N77" s="222">
        <f t="shared" si="9"/>
        <v>170228.5</v>
      </c>
    </row>
    <row r="78" spans="1:14" x14ac:dyDescent="0.25">
      <c r="A78" s="221">
        <v>44873</v>
      </c>
      <c r="B78">
        <v>250769.23</v>
      </c>
      <c r="C78">
        <v>0</v>
      </c>
      <c r="D78">
        <v>879005.97</v>
      </c>
      <c r="E78">
        <v>1129775.2</v>
      </c>
      <c r="F78">
        <v>-14250</v>
      </c>
      <c r="G78">
        <v>11801.19</v>
      </c>
      <c r="H78">
        <v>0</v>
      </c>
      <c r="I78">
        <v>48861.94</v>
      </c>
      <c r="J78">
        <v>109517.48</v>
      </c>
      <c r="K78" s="146">
        <f t="shared" si="6"/>
        <v>0.77803617038150596</v>
      </c>
      <c r="L78" s="146">
        <f t="shared" si="7"/>
        <v>1</v>
      </c>
      <c r="M78">
        <f t="shared" si="8"/>
        <v>0</v>
      </c>
      <c r="N78" s="222">
        <f t="shared" si="9"/>
        <v>170180.61</v>
      </c>
    </row>
    <row r="79" spans="1:14" x14ac:dyDescent="0.25">
      <c r="A79" s="221">
        <v>44872</v>
      </c>
      <c r="B79">
        <v>250615.2</v>
      </c>
      <c r="C79">
        <v>0</v>
      </c>
      <c r="D79">
        <v>880362.2</v>
      </c>
      <c r="E79">
        <v>1130977.3999999999</v>
      </c>
      <c r="F79">
        <v>-63900</v>
      </c>
      <c r="G79">
        <v>19301.189999999999</v>
      </c>
      <c r="H79">
        <v>0</v>
      </c>
      <c r="I79">
        <v>48774.42</v>
      </c>
      <c r="J79">
        <v>154441.53</v>
      </c>
      <c r="K79" s="146">
        <f t="shared" si="6"/>
        <v>0.77840830418008355</v>
      </c>
      <c r="L79" s="146">
        <f t="shared" si="7"/>
        <v>1</v>
      </c>
      <c r="M79">
        <f t="shared" si="8"/>
        <v>0</v>
      </c>
      <c r="N79" s="222">
        <f t="shared" si="9"/>
        <v>222517.14</v>
      </c>
    </row>
    <row r="80" spans="1:14" x14ac:dyDescent="0.25">
      <c r="A80" s="221">
        <v>44869</v>
      </c>
      <c r="B80">
        <v>250461.25</v>
      </c>
      <c r="C80">
        <v>0</v>
      </c>
      <c r="D80">
        <v>882318.05</v>
      </c>
      <c r="E80">
        <v>1132779.3</v>
      </c>
      <c r="F80">
        <v>-61050</v>
      </c>
      <c r="G80">
        <v>19301.189999999999</v>
      </c>
      <c r="H80">
        <v>0</v>
      </c>
      <c r="I80">
        <v>49284.39</v>
      </c>
      <c r="J80">
        <v>154365.39000000001</v>
      </c>
      <c r="K80" s="146">
        <f t="shared" si="6"/>
        <v>0.77889669240954529</v>
      </c>
      <c r="L80" s="146">
        <f t="shared" si="7"/>
        <v>1</v>
      </c>
      <c r="M80">
        <f t="shared" si="8"/>
        <v>0</v>
      </c>
      <c r="N80" s="222">
        <f t="shared" si="9"/>
        <v>222950.97000000003</v>
      </c>
    </row>
    <row r="81" spans="1:14" x14ac:dyDescent="0.25">
      <c r="A81" s="221">
        <v>44868</v>
      </c>
      <c r="B81">
        <v>250307.41</v>
      </c>
      <c r="C81">
        <v>0</v>
      </c>
      <c r="D81">
        <v>884805.75</v>
      </c>
      <c r="E81">
        <v>1135113.1599999999</v>
      </c>
      <c r="F81">
        <v>-58200</v>
      </c>
      <c r="G81">
        <v>20222.060000000001</v>
      </c>
      <c r="H81">
        <v>0</v>
      </c>
      <c r="I81">
        <v>49403.3</v>
      </c>
      <c r="J81">
        <v>154289.07999999999</v>
      </c>
      <c r="K81" s="146">
        <f t="shared" si="6"/>
        <v>0.77948682226536781</v>
      </c>
      <c r="L81" s="146">
        <f t="shared" si="7"/>
        <v>1</v>
      </c>
      <c r="M81">
        <f t="shared" si="8"/>
        <v>0</v>
      </c>
      <c r="N81" s="222">
        <f t="shared" si="9"/>
        <v>223914.44</v>
      </c>
    </row>
    <row r="82" spans="1:14" x14ac:dyDescent="0.25">
      <c r="A82" s="221">
        <v>44866</v>
      </c>
      <c r="B82">
        <v>250153.65</v>
      </c>
      <c r="C82">
        <v>0</v>
      </c>
      <c r="D82">
        <v>886433.18</v>
      </c>
      <c r="E82">
        <v>1136586.83</v>
      </c>
      <c r="F82">
        <v>-55350</v>
      </c>
      <c r="G82">
        <v>20222.060000000001</v>
      </c>
      <c r="H82">
        <v>0</v>
      </c>
      <c r="I82">
        <v>49581.06</v>
      </c>
      <c r="J82">
        <v>154212.23000000001</v>
      </c>
      <c r="K82" s="146">
        <f t="shared" si="6"/>
        <v>0.77990801635454454</v>
      </c>
      <c r="L82" s="146">
        <f t="shared" si="7"/>
        <v>1</v>
      </c>
      <c r="M82">
        <f t="shared" si="8"/>
        <v>0</v>
      </c>
      <c r="N82" s="222">
        <f t="shared" si="9"/>
        <v>224015.35</v>
      </c>
    </row>
    <row r="83" spans="1:14" x14ac:dyDescent="0.25">
      <c r="A83" s="221">
        <v>44865</v>
      </c>
      <c r="B83">
        <v>250000</v>
      </c>
      <c r="C83">
        <v>0</v>
      </c>
      <c r="D83">
        <v>888634.61</v>
      </c>
      <c r="E83">
        <v>1138634.6100000001</v>
      </c>
      <c r="F83">
        <v>-141500</v>
      </c>
      <c r="G83">
        <v>109965.37</v>
      </c>
      <c r="H83">
        <v>0</v>
      </c>
      <c r="I83">
        <v>49587.26</v>
      </c>
      <c r="J83">
        <v>154135.39000000001</v>
      </c>
      <c r="K83" s="146">
        <f t="shared" si="6"/>
        <v>0.7804387836059189</v>
      </c>
      <c r="L83" s="146">
        <f t="shared" si="7"/>
        <v>1</v>
      </c>
      <c r="M83">
        <f t="shared" si="8"/>
        <v>0</v>
      </c>
      <c r="N83" s="222">
        <f t="shared" si="9"/>
        <v>313688.02</v>
      </c>
    </row>
    <row r="84" spans="1:14" x14ac:dyDescent="0.25">
      <c r="A84" s="221">
        <v>44862</v>
      </c>
      <c r="B84">
        <v>0</v>
      </c>
      <c r="C84">
        <v>0</v>
      </c>
      <c r="D84">
        <v>889748.05</v>
      </c>
      <c r="E84">
        <v>889748.05</v>
      </c>
      <c r="F84">
        <v>-49650</v>
      </c>
      <c r="G84">
        <v>17967.18</v>
      </c>
      <c r="H84">
        <v>0</v>
      </c>
      <c r="I84">
        <v>49034.77</v>
      </c>
      <c r="J84">
        <v>154058.98000000001</v>
      </c>
      <c r="K84" s="146">
        <f t="shared" si="6"/>
        <v>1</v>
      </c>
      <c r="L84" s="146">
        <f t="shared" si="7"/>
        <v>1</v>
      </c>
      <c r="M84">
        <f t="shared" si="8"/>
        <v>0</v>
      </c>
      <c r="N84" s="222">
        <f t="shared" si="9"/>
        <v>221060.93</v>
      </c>
    </row>
    <row r="85" spans="1:14" x14ac:dyDescent="0.25">
      <c r="A85" s="221">
        <v>44861</v>
      </c>
      <c r="B85">
        <v>0</v>
      </c>
      <c r="C85">
        <v>0</v>
      </c>
      <c r="D85">
        <v>891296.76</v>
      </c>
      <c r="E85">
        <v>891296.76</v>
      </c>
      <c r="F85">
        <v>-46800</v>
      </c>
      <c r="G85">
        <v>17967.18</v>
      </c>
      <c r="H85">
        <v>0</v>
      </c>
      <c r="I85">
        <v>48916.54</v>
      </c>
      <c r="J85">
        <v>153981.81</v>
      </c>
      <c r="K85" s="146">
        <f t="shared" si="6"/>
        <v>1</v>
      </c>
      <c r="L85" s="146">
        <f t="shared" si="7"/>
        <v>1</v>
      </c>
      <c r="M85">
        <f t="shared" si="8"/>
        <v>0</v>
      </c>
      <c r="N85" s="222">
        <f t="shared" si="9"/>
        <v>220865.53</v>
      </c>
    </row>
    <row r="86" spans="1:14" x14ac:dyDescent="0.25">
      <c r="A86" s="221">
        <v>44860</v>
      </c>
      <c r="B86">
        <v>0</v>
      </c>
      <c r="C86">
        <v>0</v>
      </c>
      <c r="D86">
        <v>892860.69</v>
      </c>
      <c r="E86">
        <v>892860.69</v>
      </c>
      <c r="F86">
        <v>-43950</v>
      </c>
      <c r="G86">
        <v>17967.18</v>
      </c>
      <c r="H86">
        <v>0</v>
      </c>
      <c r="I86">
        <v>48811.39</v>
      </c>
      <c r="J86">
        <v>153904.99</v>
      </c>
      <c r="K86" s="146">
        <f t="shared" si="6"/>
        <v>1</v>
      </c>
      <c r="L86" s="146">
        <f t="shared" si="7"/>
        <v>1</v>
      </c>
      <c r="M86">
        <f t="shared" si="8"/>
        <v>0</v>
      </c>
      <c r="N86" s="222">
        <f t="shared" si="9"/>
        <v>220683.56</v>
      </c>
    </row>
    <row r="87" spans="1:14" x14ac:dyDescent="0.25">
      <c r="A87" s="221">
        <v>44859</v>
      </c>
      <c r="B87">
        <v>0</v>
      </c>
      <c r="C87">
        <v>0</v>
      </c>
      <c r="D87">
        <v>894699.66</v>
      </c>
      <c r="E87">
        <v>894699.66</v>
      </c>
      <c r="F87">
        <v>-41100</v>
      </c>
      <c r="G87">
        <v>17967.18</v>
      </c>
      <c r="H87">
        <v>0</v>
      </c>
      <c r="I87">
        <v>48979.61</v>
      </c>
      <c r="J87">
        <v>153828.04</v>
      </c>
      <c r="K87" s="146">
        <f t="shared" si="6"/>
        <v>1</v>
      </c>
      <c r="L87" s="146">
        <f t="shared" si="7"/>
        <v>1</v>
      </c>
      <c r="M87">
        <f t="shared" si="8"/>
        <v>0</v>
      </c>
      <c r="N87" s="222">
        <f t="shared" si="9"/>
        <v>220774.83000000002</v>
      </c>
    </row>
    <row r="88" spans="1:14" x14ac:dyDescent="0.25">
      <c r="A88" s="221">
        <v>44858</v>
      </c>
      <c r="B88">
        <v>0</v>
      </c>
      <c r="C88">
        <v>0</v>
      </c>
      <c r="D88">
        <v>896692.7</v>
      </c>
      <c r="E88">
        <v>896692.7</v>
      </c>
      <c r="F88">
        <v>-38250</v>
      </c>
      <c r="G88">
        <v>17291.900000000001</v>
      </c>
      <c r="H88">
        <v>0</v>
      </c>
      <c r="I88">
        <v>0</v>
      </c>
      <c r="J88">
        <v>203726.51</v>
      </c>
      <c r="K88" s="146">
        <f t="shared" si="6"/>
        <v>1</v>
      </c>
      <c r="L88" s="146">
        <f t="shared" si="7"/>
        <v>1</v>
      </c>
      <c r="M88">
        <f t="shared" si="8"/>
        <v>0</v>
      </c>
      <c r="N88" s="222">
        <f t="shared" si="9"/>
        <v>221018.41</v>
      </c>
    </row>
    <row r="89" spans="1:14" x14ac:dyDescent="0.25">
      <c r="A89" s="221">
        <v>44855</v>
      </c>
      <c r="B89">
        <v>0</v>
      </c>
      <c r="C89">
        <v>0</v>
      </c>
      <c r="D89">
        <v>898342.36</v>
      </c>
      <c r="E89">
        <v>898342.36</v>
      </c>
      <c r="F89">
        <v>-35400</v>
      </c>
      <c r="G89">
        <v>17291.900000000001</v>
      </c>
      <c r="H89">
        <v>0</v>
      </c>
      <c r="I89">
        <v>0</v>
      </c>
      <c r="J89">
        <v>203624.92</v>
      </c>
      <c r="K89" s="146">
        <f t="shared" si="6"/>
        <v>1</v>
      </c>
      <c r="L89" s="146">
        <f t="shared" si="7"/>
        <v>1</v>
      </c>
      <c r="M89">
        <f t="shared" si="8"/>
        <v>0</v>
      </c>
      <c r="N89" s="222">
        <f t="shared" si="9"/>
        <v>220916.82</v>
      </c>
    </row>
    <row r="90" spans="1:14" x14ac:dyDescent="0.25">
      <c r="A90" s="221">
        <v>44854</v>
      </c>
      <c r="B90">
        <v>0</v>
      </c>
      <c r="C90">
        <v>0</v>
      </c>
      <c r="D90">
        <v>900798.84</v>
      </c>
      <c r="E90">
        <v>900798.84</v>
      </c>
      <c r="F90">
        <v>-32550</v>
      </c>
      <c r="G90">
        <v>18098.400000000001</v>
      </c>
      <c r="H90">
        <v>0</v>
      </c>
      <c r="I90">
        <v>0</v>
      </c>
      <c r="J90">
        <v>203521.86</v>
      </c>
      <c r="K90" s="146">
        <f t="shared" si="6"/>
        <v>1</v>
      </c>
      <c r="L90" s="146">
        <f t="shared" si="7"/>
        <v>1</v>
      </c>
      <c r="M90">
        <f t="shared" si="8"/>
        <v>0</v>
      </c>
      <c r="N90" s="222">
        <f t="shared" si="9"/>
        <v>221620.25999999998</v>
      </c>
    </row>
    <row r="91" spans="1:14" x14ac:dyDescent="0.25">
      <c r="A91" s="221">
        <v>44853</v>
      </c>
      <c r="B91">
        <v>0</v>
      </c>
      <c r="C91">
        <v>0</v>
      </c>
      <c r="D91">
        <v>902450.75</v>
      </c>
      <c r="E91">
        <v>902450.75</v>
      </c>
      <c r="F91">
        <v>-29700</v>
      </c>
      <c r="G91">
        <v>18098.400000000001</v>
      </c>
      <c r="H91">
        <v>0</v>
      </c>
      <c r="I91">
        <v>0</v>
      </c>
      <c r="J91">
        <v>203418.98</v>
      </c>
      <c r="K91" s="146">
        <f t="shared" si="6"/>
        <v>1</v>
      </c>
      <c r="L91" s="146">
        <f t="shared" si="7"/>
        <v>1</v>
      </c>
      <c r="M91">
        <f t="shared" si="8"/>
        <v>0</v>
      </c>
      <c r="N91" s="222">
        <f t="shared" si="9"/>
        <v>221517.38</v>
      </c>
    </row>
    <row r="92" spans="1:14" x14ac:dyDescent="0.25">
      <c r="A92" s="221">
        <v>44852</v>
      </c>
      <c r="B92">
        <v>0</v>
      </c>
      <c r="C92">
        <v>0</v>
      </c>
      <c r="D92">
        <v>904650.77</v>
      </c>
      <c r="E92">
        <v>904650.77</v>
      </c>
      <c r="F92">
        <v>-26850</v>
      </c>
      <c r="G92">
        <v>18644.560000000001</v>
      </c>
      <c r="H92">
        <v>0</v>
      </c>
      <c r="I92">
        <v>0</v>
      </c>
      <c r="J92">
        <v>203316.27</v>
      </c>
      <c r="K92" s="146">
        <f t="shared" si="6"/>
        <v>1</v>
      </c>
      <c r="L92" s="146">
        <f t="shared" si="7"/>
        <v>1</v>
      </c>
      <c r="M92">
        <f t="shared" si="8"/>
        <v>0</v>
      </c>
      <c r="N92" s="222">
        <f t="shared" si="9"/>
        <v>221960.83</v>
      </c>
    </row>
    <row r="93" spans="1:14" x14ac:dyDescent="0.25">
      <c r="A93" s="221">
        <v>44851</v>
      </c>
      <c r="B93">
        <v>0</v>
      </c>
      <c r="C93">
        <v>0</v>
      </c>
      <c r="D93">
        <v>906305.78</v>
      </c>
      <c r="E93">
        <v>906305.78</v>
      </c>
      <c r="F93">
        <v>-24000</v>
      </c>
      <c r="G93">
        <v>18644.560000000001</v>
      </c>
      <c r="H93">
        <v>0</v>
      </c>
      <c r="I93">
        <v>0</v>
      </c>
      <c r="J93">
        <v>203212.96</v>
      </c>
      <c r="K93" s="146">
        <f t="shared" si="6"/>
        <v>1</v>
      </c>
      <c r="L93" s="146">
        <f t="shared" si="7"/>
        <v>1</v>
      </c>
      <c r="M93">
        <f t="shared" si="8"/>
        <v>0</v>
      </c>
      <c r="N93" s="222">
        <f t="shared" si="9"/>
        <v>221857.52</v>
      </c>
    </row>
    <row r="94" spans="1:14" x14ac:dyDescent="0.25">
      <c r="A94" s="221">
        <v>44848</v>
      </c>
      <c r="B94">
        <v>0</v>
      </c>
      <c r="C94">
        <v>0</v>
      </c>
      <c r="D94">
        <v>907963.12</v>
      </c>
      <c r="E94">
        <v>907963.12</v>
      </c>
      <c r="F94">
        <v>-21150</v>
      </c>
      <c r="G94">
        <v>18644.560000000001</v>
      </c>
      <c r="H94">
        <v>0</v>
      </c>
      <c r="I94">
        <v>0</v>
      </c>
      <c r="J94">
        <v>203110.21</v>
      </c>
      <c r="K94" s="146">
        <f t="shared" si="6"/>
        <v>1</v>
      </c>
      <c r="L94" s="146">
        <f t="shared" si="7"/>
        <v>1</v>
      </c>
      <c r="M94">
        <f t="shared" si="8"/>
        <v>0</v>
      </c>
      <c r="N94" s="222">
        <f t="shared" si="9"/>
        <v>221754.77</v>
      </c>
    </row>
    <row r="95" spans="1:14" x14ac:dyDescent="0.25">
      <c r="A95" s="221">
        <v>44847</v>
      </c>
      <c r="B95">
        <v>0</v>
      </c>
      <c r="C95">
        <v>0</v>
      </c>
      <c r="D95">
        <v>909123.15</v>
      </c>
      <c r="E95">
        <v>909123.15</v>
      </c>
      <c r="F95">
        <v>-18800</v>
      </c>
      <c r="G95">
        <v>18644.560000000001</v>
      </c>
      <c r="H95">
        <v>0</v>
      </c>
      <c r="I95">
        <v>0</v>
      </c>
      <c r="J95">
        <v>203008.37</v>
      </c>
      <c r="K95" s="146">
        <f t="shared" si="6"/>
        <v>1</v>
      </c>
      <c r="L95" s="146">
        <f t="shared" si="7"/>
        <v>1</v>
      </c>
      <c r="M95">
        <f t="shared" si="8"/>
        <v>0</v>
      </c>
      <c r="N95" s="222">
        <f t="shared" si="9"/>
        <v>221652.93</v>
      </c>
    </row>
    <row r="96" spans="1:14" x14ac:dyDescent="0.25">
      <c r="A96" s="221">
        <v>44845</v>
      </c>
      <c r="B96">
        <v>0</v>
      </c>
      <c r="C96">
        <v>0</v>
      </c>
      <c r="D96">
        <v>910284.46</v>
      </c>
      <c r="E96">
        <v>910284.46</v>
      </c>
      <c r="F96">
        <v>-16450</v>
      </c>
      <c r="G96">
        <v>18644.560000000001</v>
      </c>
      <c r="H96">
        <v>0</v>
      </c>
      <c r="I96">
        <v>0</v>
      </c>
      <c r="J96">
        <v>202906.08</v>
      </c>
      <c r="K96" s="146">
        <f t="shared" si="6"/>
        <v>1</v>
      </c>
      <c r="L96" s="146">
        <f t="shared" si="7"/>
        <v>1</v>
      </c>
      <c r="M96">
        <f t="shared" si="8"/>
        <v>0</v>
      </c>
      <c r="N96" s="222">
        <f t="shared" si="9"/>
        <v>221550.63999999998</v>
      </c>
    </row>
    <row r="97" spans="1:14" x14ac:dyDescent="0.25">
      <c r="A97" s="221">
        <v>44844</v>
      </c>
      <c r="B97">
        <v>0</v>
      </c>
      <c r="C97">
        <v>0</v>
      </c>
      <c r="D97">
        <v>911447.55</v>
      </c>
      <c r="E97">
        <v>911447.55</v>
      </c>
      <c r="F97">
        <v>-14100</v>
      </c>
      <c r="G97">
        <v>18644.560000000001</v>
      </c>
      <c r="H97">
        <v>0</v>
      </c>
      <c r="I97">
        <v>0</v>
      </c>
      <c r="J97">
        <v>202803.8</v>
      </c>
      <c r="K97" s="146">
        <f t="shared" si="6"/>
        <v>1</v>
      </c>
      <c r="L97" s="146">
        <f t="shared" si="7"/>
        <v>1</v>
      </c>
      <c r="M97">
        <f t="shared" si="8"/>
        <v>0</v>
      </c>
      <c r="N97" s="222">
        <f t="shared" si="9"/>
        <v>221448.36</v>
      </c>
    </row>
    <row r="98" spans="1:14" x14ac:dyDescent="0.25">
      <c r="A98" s="221">
        <v>44841</v>
      </c>
      <c r="B98">
        <v>0</v>
      </c>
      <c r="C98">
        <v>0</v>
      </c>
      <c r="D98">
        <v>913734.23</v>
      </c>
      <c r="E98">
        <v>913734.23</v>
      </c>
      <c r="F98">
        <v>-11750</v>
      </c>
      <c r="G98">
        <v>19766.37</v>
      </c>
      <c r="H98">
        <v>0</v>
      </c>
      <c r="I98">
        <v>0</v>
      </c>
      <c r="J98">
        <v>202701.57</v>
      </c>
      <c r="K98" s="146">
        <f t="shared" si="6"/>
        <v>1</v>
      </c>
      <c r="L98" s="146">
        <f t="shared" si="7"/>
        <v>1</v>
      </c>
      <c r="M98">
        <f t="shared" si="8"/>
        <v>0</v>
      </c>
      <c r="N98" s="222">
        <f t="shared" si="9"/>
        <v>222467.94</v>
      </c>
    </row>
    <row r="99" spans="1:14" x14ac:dyDescent="0.25">
      <c r="A99" s="221">
        <v>44840</v>
      </c>
      <c r="B99">
        <v>0</v>
      </c>
      <c r="C99">
        <v>0</v>
      </c>
      <c r="D99">
        <v>914892.97</v>
      </c>
      <c r="E99">
        <v>914892.97</v>
      </c>
      <c r="F99">
        <v>-43019.05</v>
      </c>
      <c r="G99">
        <v>33385.42</v>
      </c>
      <c r="H99">
        <v>0</v>
      </c>
      <c r="I99">
        <v>0</v>
      </c>
      <c r="J99">
        <v>222591.43</v>
      </c>
      <c r="K99" s="146">
        <f t="shared" si="6"/>
        <v>1</v>
      </c>
      <c r="L99" s="146">
        <f t="shared" si="7"/>
        <v>1</v>
      </c>
      <c r="M99">
        <f t="shared" si="8"/>
        <v>0</v>
      </c>
      <c r="N99" s="222">
        <f t="shared" si="9"/>
        <v>255976.84999999998</v>
      </c>
    </row>
    <row r="100" spans="1:14" x14ac:dyDescent="0.25">
      <c r="A100" s="221">
        <v>44839</v>
      </c>
      <c r="B100">
        <v>0</v>
      </c>
      <c r="C100">
        <v>0</v>
      </c>
      <c r="D100">
        <v>916164.72</v>
      </c>
      <c r="E100">
        <v>916164.72</v>
      </c>
      <c r="F100">
        <v>-40669.050000000003</v>
      </c>
      <c r="G100">
        <v>63668.93</v>
      </c>
      <c r="H100">
        <v>0</v>
      </c>
      <c r="I100">
        <v>0</v>
      </c>
      <c r="J100">
        <v>322431.27</v>
      </c>
      <c r="K100" s="146">
        <f t="shared" si="6"/>
        <v>1</v>
      </c>
      <c r="L100" s="146">
        <f t="shared" si="7"/>
        <v>1</v>
      </c>
      <c r="M100">
        <f t="shared" si="8"/>
        <v>0</v>
      </c>
      <c r="N100" s="222">
        <f t="shared" si="9"/>
        <v>386100.2</v>
      </c>
    </row>
    <row r="101" spans="1:14" x14ac:dyDescent="0.25">
      <c r="A101" s="221">
        <v>44838</v>
      </c>
      <c r="B101">
        <v>0</v>
      </c>
      <c r="C101">
        <v>0</v>
      </c>
      <c r="D101">
        <v>917437.36</v>
      </c>
      <c r="E101">
        <v>917437.36</v>
      </c>
      <c r="F101">
        <v>-38319.050000000003</v>
      </c>
      <c r="G101">
        <v>63668.93</v>
      </c>
      <c r="H101">
        <v>0</v>
      </c>
      <c r="I101">
        <v>0</v>
      </c>
      <c r="J101">
        <v>322270.48</v>
      </c>
      <c r="K101" s="146">
        <f t="shared" si="6"/>
        <v>1</v>
      </c>
      <c r="L101" s="146">
        <f t="shared" si="7"/>
        <v>1</v>
      </c>
      <c r="M101">
        <f t="shared" si="8"/>
        <v>0</v>
      </c>
      <c r="N101" s="222">
        <f t="shared" si="9"/>
        <v>385939.41</v>
      </c>
    </row>
    <row r="102" spans="1:14" x14ac:dyDescent="0.25">
      <c r="A102" s="221">
        <v>44837</v>
      </c>
      <c r="B102">
        <v>0</v>
      </c>
      <c r="C102">
        <v>0</v>
      </c>
      <c r="D102">
        <v>918712.03</v>
      </c>
      <c r="E102">
        <v>918712.03</v>
      </c>
      <c r="F102">
        <v>-35969.050000000003</v>
      </c>
      <c r="G102">
        <v>63668.93</v>
      </c>
      <c r="H102">
        <v>0</v>
      </c>
      <c r="I102">
        <v>0</v>
      </c>
      <c r="J102">
        <v>322110.18</v>
      </c>
      <c r="K102" s="146">
        <f t="shared" si="6"/>
        <v>1</v>
      </c>
      <c r="L102" s="146">
        <f t="shared" si="7"/>
        <v>1</v>
      </c>
      <c r="M102">
        <f t="shared" si="8"/>
        <v>0</v>
      </c>
      <c r="N102" s="222">
        <f t="shared" si="9"/>
        <v>385779.11</v>
      </c>
    </row>
    <row r="103" spans="1:14" x14ac:dyDescent="0.25">
      <c r="A103" s="221">
        <v>44834</v>
      </c>
      <c r="B103">
        <v>0</v>
      </c>
      <c r="C103">
        <v>0</v>
      </c>
      <c r="D103">
        <v>919987.24</v>
      </c>
      <c r="E103">
        <v>919987.24</v>
      </c>
      <c r="F103">
        <v>-33619.050000000003</v>
      </c>
      <c r="G103">
        <v>63668.93</v>
      </c>
      <c r="H103">
        <v>0</v>
      </c>
      <c r="I103">
        <v>0</v>
      </c>
      <c r="J103">
        <v>321948.88</v>
      </c>
      <c r="K103" s="146">
        <f t="shared" si="6"/>
        <v>1</v>
      </c>
      <c r="L103" s="146">
        <f t="shared" si="7"/>
        <v>1</v>
      </c>
      <c r="M103">
        <f t="shared" si="8"/>
        <v>0</v>
      </c>
      <c r="N103" s="222">
        <f t="shared" si="9"/>
        <v>385617.81</v>
      </c>
    </row>
    <row r="104" spans="1:14" x14ac:dyDescent="0.25">
      <c r="A104" s="221">
        <v>44833</v>
      </c>
      <c r="B104">
        <v>0</v>
      </c>
      <c r="C104">
        <v>0</v>
      </c>
      <c r="D104">
        <v>932355.25</v>
      </c>
      <c r="E104">
        <v>932355.25</v>
      </c>
      <c r="F104">
        <v>-21666.65</v>
      </c>
      <c r="G104">
        <v>65156.89</v>
      </c>
      <c r="H104">
        <v>0</v>
      </c>
      <c r="I104">
        <v>0</v>
      </c>
      <c r="J104">
        <v>321788.48</v>
      </c>
      <c r="K104" s="146">
        <f t="shared" si="6"/>
        <v>1</v>
      </c>
      <c r="L104" s="146">
        <f t="shared" si="7"/>
        <v>1</v>
      </c>
      <c r="M104">
        <f t="shared" si="8"/>
        <v>0</v>
      </c>
      <c r="N104" s="222">
        <f t="shared" si="9"/>
        <v>386945.37</v>
      </c>
    </row>
    <row r="105" spans="1:14" x14ac:dyDescent="0.25">
      <c r="A105" s="221">
        <v>44832</v>
      </c>
      <c r="B105">
        <v>0</v>
      </c>
      <c r="C105">
        <v>0</v>
      </c>
      <c r="D105">
        <v>932195.32</v>
      </c>
      <c r="E105">
        <v>932195.32</v>
      </c>
      <c r="F105">
        <v>-19999.990000000002</v>
      </c>
      <c r="G105">
        <v>24182.79</v>
      </c>
      <c r="H105">
        <v>0</v>
      </c>
      <c r="I105">
        <v>0</v>
      </c>
      <c r="J105">
        <v>621478.65</v>
      </c>
      <c r="K105" s="146">
        <f t="shared" si="6"/>
        <v>1</v>
      </c>
      <c r="L105" s="146">
        <f t="shared" si="7"/>
        <v>1</v>
      </c>
      <c r="M105">
        <f t="shared" si="8"/>
        <v>0</v>
      </c>
      <c r="N105" s="222">
        <f t="shared" si="9"/>
        <v>645661.44000000006</v>
      </c>
    </row>
    <row r="106" spans="1:14" x14ac:dyDescent="0.25">
      <c r="A106" s="221">
        <v>44831</v>
      </c>
      <c r="B106">
        <v>0</v>
      </c>
      <c r="C106">
        <v>0</v>
      </c>
      <c r="D106">
        <v>933271</v>
      </c>
      <c r="E106">
        <v>933271</v>
      </c>
      <c r="F106">
        <v>-18333.32</v>
      </c>
      <c r="G106">
        <v>24182.79</v>
      </c>
      <c r="H106">
        <v>0</v>
      </c>
      <c r="I106">
        <v>0</v>
      </c>
      <c r="J106">
        <v>621167.43000000005</v>
      </c>
      <c r="K106" s="146">
        <f t="shared" si="6"/>
        <v>1</v>
      </c>
      <c r="L106" s="146">
        <f t="shared" si="7"/>
        <v>1</v>
      </c>
      <c r="M106">
        <f t="shared" si="8"/>
        <v>0</v>
      </c>
      <c r="N106" s="222">
        <f t="shared" si="9"/>
        <v>645350.22000000009</v>
      </c>
    </row>
    <row r="107" spans="1:14" x14ac:dyDescent="0.25">
      <c r="A107" s="221">
        <v>44830</v>
      </c>
      <c r="B107">
        <v>0</v>
      </c>
      <c r="C107">
        <v>0</v>
      </c>
      <c r="D107">
        <v>936437.93</v>
      </c>
      <c r="E107">
        <v>936437.93</v>
      </c>
      <c r="F107">
        <v>-16666.66</v>
      </c>
      <c r="G107">
        <v>101237</v>
      </c>
      <c r="H107">
        <v>0</v>
      </c>
      <c r="I107">
        <v>0</v>
      </c>
      <c r="J107">
        <v>545892.91</v>
      </c>
      <c r="K107" s="146">
        <f t="shared" si="6"/>
        <v>1</v>
      </c>
      <c r="L107" s="146">
        <f t="shared" si="7"/>
        <v>1</v>
      </c>
      <c r="M107">
        <f t="shared" si="8"/>
        <v>0</v>
      </c>
      <c r="N107" s="222">
        <f t="shared" si="9"/>
        <v>647129.91</v>
      </c>
    </row>
    <row r="108" spans="1:14" x14ac:dyDescent="0.25">
      <c r="A108" s="221">
        <v>44827</v>
      </c>
      <c r="B108">
        <v>0</v>
      </c>
      <c r="C108">
        <v>0</v>
      </c>
      <c r="D108">
        <v>937550.09</v>
      </c>
      <c r="E108">
        <v>937550.09</v>
      </c>
      <c r="F108">
        <v>-14999.99</v>
      </c>
      <c r="G108">
        <v>101237</v>
      </c>
      <c r="H108">
        <v>0</v>
      </c>
      <c r="I108">
        <v>0</v>
      </c>
      <c r="J108">
        <v>545617.49</v>
      </c>
      <c r="K108" s="146">
        <f t="shared" si="6"/>
        <v>1</v>
      </c>
      <c r="L108" s="146">
        <f t="shared" si="7"/>
        <v>1</v>
      </c>
      <c r="M108">
        <f t="shared" si="8"/>
        <v>0</v>
      </c>
      <c r="N108" s="222">
        <f t="shared" si="9"/>
        <v>646854.49</v>
      </c>
    </row>
    <row r="109" spans="1:14" x14ac:dyDescent="0.25">
      <c r="A109" s="221">
        <v>44826</v>
      </c>
      <c r="B109">
        <v>0</v>
      </c>
      <c r="C109">
        <v>0</v>
      </c>
      <c r="D109">
        <v>938803.74</v>
      </c>
      <c r="E109">
        <v>938803.74</v>
      </c>
      <c r="F109">
        <v>-13333.33</v>
      </c>
      <c r="G109">
        <v>331237</v>
      </c>
      <c r="H109">
        <v>0</v>
      </c>
      <c r="I109">
        <v>0</v>
      </c>
      <c r="J109">
        <v>545344.11</v>
      </c>
      <c r="K109" s="146">
        <f t="shared" si="6"/>
        <v>1</v>
      </c>
      <c r="L109" s="146">
        <f t="shared" si="7"/>
        <v>1</v>
      </c>
      <c r="M109">
        <f t="shared" si="8"/>
        <v>0</v>
      </c>
      <c r="N109" s="222">
        <f t="shared" si="9"/>
        <v>876581.11</v>
      </c>
    </row>
    <row r="110" spans="1:14" x14ac:dyDescent="0.25">
      <c r="A110" s="221">
        <v>44825</v>
      </c>
      <c r="B110">
        <v>0</v>
      </c>
      <c r="C110">
        <v>0</v>
      </c>
      <c r="D110">
        <v>939911.35</v>
      </c>
      <c r="E110">
        <v>939911.35</v>
      </c>
      <c r="F110">
        <v>-11666.66</v>
      </c>
      <c r="G110">
        <v>31237</v>
      </c>
      <c r="H110">
        <v>0</v>
      </c>
      <c r="I110">
        <v>0</v>
      </c>
      <c r="J110">
        <v>844924.42</v>
      </c>
      <c r="K110" s="146">
        <f t="shared" si="6"/>
        <v>1</v>
      </c>
      <c r="L110" s="146">
        <f t="shared" si="7"/>
        <v>1</v>
      </c>
      <c r="M110">
        <f t="shared" si="8"/>
        <v>0</v>
      </c>
      <c r="N110" s="222">
        <f t="shared" si="9"/>
        <v>876161.42</v>
      </c>
    </row>
    <row r="111" spans="1:14" x14ac:dyDescent="0.25">
      <c r="A111" s="221">
        <v>44824</v>
      </c>
      <c r="B111">
        <v>0</v>
      </c>
      <c r="C111">
        <v>0</v>
      </c>
      <c r="D111">
        <v>941017.24</v>
      </c>
      <c r="E111">
        <v>941017.24</v>
      </c>
      <c r="F111">
        <v>-10000</v>
      </c>
      <c r="G111">
        <v>31237</v>
      </c>
      <c r="H111">
        <v>0</v>
      </c>
      <c r="I111">
        <v>0</v>
      </c>
      <c r="J111">
        <v>844502.77</v>
      </c>
      <c r="K111" s="146">
        <f t="shared" si="6"/>
        <v>1</v>
      </c>
      <c r="L111" s="146">
        <f t="shared" si="7"/>
        <v>1</v>
      </c>
      <c r="M111">
        <f t="shared" si="8"/>
        <v>0</v>
      </c>
      <c r="N111" s="222">
        <f t="shared" si="9"/>
        <v>875739.77</v>
      </c>
    </row>
    <row r="112" spans="1:14" x14ac:dyDescent="0.25">
      <c r="A112" s="221">
        <v>44823</v>
      </c>
      <c r="B112">
        <v>0</v>
      </c>
      <c r="C112">
        <v>0</v>
      </c>
      <c r="D112">
        <v>942124.79</v>
      </c>
      <c r="E112">
        <v>942124.79</v>
      </c>
      <c r="F112">
        <v>-8333.33</v>
      </c>
      <c r="G112">
        <v>31237</v>
      </c>
      <c r="H112">
        <v>0</v>
      </c>
      <c r="I112">
        <v>0</v>
      </c>
      <c r="J112">
        <v>844082.51</v>
      </c>
      <c r="K112" s="146">
        <f t="shared" si="6"/>
        <v>1</v>
      </c>
      <c r="L112" s="146">
        <f t="shared" si="7"/>
        <v>1</v>
      </c>
      <c r="M112">
        <f t="shared" si="8"/>
        <v>0</v>
      </c>
      <c r="N112" s="222">
        <f t="shared" si="9"/>
        <v>875319.51</v>
      </c>
    </row>
    <row r="113" spans="1:14" x14ac:dyDescent="0.25">
      <c r="A113" s="221">
        <v>44820</v>
      </c>
      <c r="B113">
        <v>0</v>
      </c>
      <c r="C113">
        <v>0</v>
      </c>
      <c r="D113">
        <v>943232.84</v>
      </c>
      <c r="E113">
        <v>943232.84</v>
      </c>
      <c r="F113">
        <v>-6666.66</v>
      </c>
      <c r="G113">
        <v>31237</v>
      </c>
      <c r="H113">
        <v>0</v>
      </c>
      <c r="I113">
        <v>0</v>
      </c>
      <c r="J113">
        <v>843662.5</v>
      </c>
      <c r="K113" s="146">
        <f t="shared" si="6"/>
        <v>1</v>
      </c>
      <c r="L113" s="146">
        <f t="shared" si="7"/>
        <v>1</v>
      </c>
      <c r="M113">
        <f t="shared" si="8"/>
        <v>0</v>
      </c>
      <c r="N113" s="222">
        <f t="shared" si="9"/>
        <v>874899.5</v>
      </c>
    </row>
    <row r="114" spans="1:14" x14ac:dyDescent="0.25">
      <c r="A114" s="221">
        <v>44819</v>
      </c>
      <c r="B114">
        <v>0</v>
      </c>
      <c r="C114">
        <v>0</v>
      </c>
      <c r="D114">
        <v>919333.51</v>
      </c>
      <c r="E114">
        <v>919333.51</v>
      </c>
      <c r="F114">
        <v>-30100</v>
      </c>
      <c r="G114">
        <v>6237</v>
      </c>
      <c r="H114">
        <v>0</v>
      </c>
      <c r="I114">
        <v>0</v>
      </c>
      <c r="J114">
        <v>943196.51</v>
      </c>
      <c r="K114" s="146">
        <f t="shared" si="6"/>
        <v>1</v>
      </c>
      <c r="L114" s="146">
        <f t="shared" si="7"/>
        <v>1</v>
      </c>
      <c r="M114">
        <f t="shared" si="8"/>
        <v>0</v>
      </c>
      <c r="N114" s="222">
        <f t="shared" si="9"/>
        <v>949433.51</v>
      </c>
    </row>
    <row r="115" spans="1:14" x14ac:dyDescent="0.25">
      <c r="A115" s="221">
        <v>44818</v>
      </c>
      <c r="B115">
        <v>0</v>
      </c>
      <c r="C115">
        <v>0</v>
      </c>
      <c r="D115">
        <v>923163.99</v>
      </c>
      <c r="E115">
        <v>923163.99</v>
      </c>
      <c r="F115">
        <v>-25800</v>
      </c>
      <c r="G115">
        <v>6237</v>
      </c>
      <c r="H115">
        <v>0</v>
      </c>
      <c r="I115">
        <v>0</v>
      </c>
      <c r="J115">
        <v>942726.99</v>
      </c>
      <c r="K115" s="146">
        <f t="shared" si="6"/>
        <v>1</v>
      </c>
      <c r="L115" s="146">
        <f t="shared" si="7"/>
        <v>1</v>
      </c>
      <c r="M115">
        <f t="shared" si="8"/>
        <v>0</v>
      </c>
      <c r="N115" s="222">
        <f t="shared" si="9"/>
        <v>948963.99</v>
      </c>
    </row>
    <row r="116" spans="1:14" x14ac:dyDescent="0.25">
      <c r="A116" s="221">
        <v>44817</v>
      </c>
      <c r="B116">
        <v>0</v>
      </c>
      <c r="C116">
        <v>0</v>
      </c>
      <c r="D116">
        <v>926996.39</v>
      </c>
      <c r="E116">
        <v>926996.39</v>
      </c>
      <c r="F116">
        <v>-21500</v>
      </c>
      <c r="G116">
        <v>6237</v>
      </c>
      <c r="H116">
        <v>0</v>
      </c>
      <c r="I116">
        <v>0</v>
      </c>
      <c r="J116">
        <v>942259.39</v>
      </c>
      <c r="K116" s="146">
        <f t="shared" si="6"/>
        <v>1</v>
      </c>
      <c r="L116" s="146">
        <f t="shared" si="7"/>
        <v>1</v>
      </c>
      <c r="M116">
        <f t="shared" si="8"/>
        <v>0</v>
      </c>
      <c r="N116" s="222">
        <f t="shared" si="9"/>
        <v>948496.39</v>
      </c>
    </row>
    <row r="117" spans="1:14" x14ac:dyDescent="0.25">
      <c r="A117" s="221">
        <v>44816</v>
      </c>
      <c r="B117">
        <v>0</v>
      </c>
      <c r="C117">
        <v>0</v>
      </c>
      <c r="D117">
        <v>934586.13</v>
      </c>
      <c r="E117">
        <v>934586.13</v>
      </c>
      <c r="F117">
        <v>-17200</v>
      </c>
      <c r="G117">
        <v>10000</v>
      </c>
      <c r="H117">
        <v>0</v>
      </c>
      <c r="I117">
        <v>0</v>
      </c>
      <c r="J117">
        <v>941786.13</v>
      </c>
      <c r="K117" s="146">
        <f t="shared" si="6"/>
        <v>1</v>
      </c>
      <c r="L117" s="146">
        <f t="shared" si="7"/>
        <v>1</v>
      </c>
      <c r="M117">
        <f t="shared" si="8"/>
        <v>0</v>
      </c>
      <c r="N117" s="222">
        <f t="shared" si="9"/>
        <v>951786.13</v>
      </c>
    </row>
    <row r="118" spans="1:14" x14ac:dyDescent="0.25">
      <c r="A118" s="221">
        <v>44813</v>
      </c>
      <c r="B118">
        <v>0</v>
      </c>
      <c r="C118">
        <v>0</v>
      </c>
      <c r="D118">
        <v>938458.73</v>
      </c>
      <c r="E118">
        <v>938458.73</v>
      </c>
      <c r="F118">
        <v>-12900</v>
      </c>
      <c r="G118">
        <v>10000</v>
      </c>
      <c r="H118">
        <v>0</v>
      </c>
      <c r="I118">
        <v>0</v>
      </c>
      <c r="J118">
        <v>941358.73</v>
      </c>
      <c r="K118" s="146">
        <f t="shared" si="6"/>
        <v>1</v>
      </c>
      <c r="L118" s="146">
        <f t="shared" si="7"/>
        <v>1</v>
      </c>
      <c r="M118">
        <f t="shared" si="8"/>
        <v>0</v>
      </c>
      <c r="N118" s="222">
        <f t="shared" si="9"/>
        <v>951358.73</v>
      </c>
    </row>
    <row r="119" spans="1:14" x14ac:dyDescent="0.25">
      <c r="A119" s="221">
        <v>44812</v>
      </c>
      <c r="B119">
        <v>0</v>
      </c>
      <c r="C119">
        <v>0</v>
      </c>
      <c r="D119">
        <v>942293.92</v>
      </c>
      <c r="E119">
        <v>942293.92</v>
      </c>
      <c r="F119">
        <v>-8599.99</v>
      </c>
      <c r="G119">
        <v>10000</v>
      </c>
      <c r="H119">
        <v>0</v>
      </c>
      <c r="I119">
        <v>0</v>
      </c>
      <c r="J119">
        <v>940893.91</v>
      </c>
      <c r="K119" s="146">
        <f t="shared" si="6"/>
        <v>1</v>
      </c>
      <c r="L119" s="146">
        <f t="shared" si="7"/>
        <v>1</v>
      </c>
      <c r="M119">
        <f t="shared" si="8"/>
        <v>0</v>
      </c>
      <c r="N119" s="222">
        <f t="shared" si="9"/>
        <v>950893.91</v>
      </c>
    </row>
    <row r="120" spans="1:14" x14ac:dyDescent="0.25">
      <c r="A120" s="221">
        <v>44810</v>
      </c>
      <c r="B120">
        <v>0</v>
      </c>
      <c r="C120">
        <v>0</v>
      </c>
      <c r="D120">
        <v>946132.92</v>
      </c>
      <c r="E120">
        <v>946132.92</v>
      </c>
      <c r="F120">
        <v>-4300</v>
      </c>
      <c r="G120">
        <v>10000</v>
      </c>
      <c r="H120">
        <v>0</v>
      </c>
      <c r="I120">
        <v>0</v>
      </c>
      <c r="J120">
        <v>940432.92</v>
      </c>
      <c r="K120" s="146">
        <f t="shared" si="6"/>
        <v>1</v>
      </c>
      <c r="L120" s="146">
        <f t="shared" si="7"/>
        <v>1</v>
      </c>
      <c r="M120">
        <f t="shared" si="8"/>
        <v>0</v>
      </c>
      <c r="N120" s="222">
        <f t="shared" si="9"/>
        <v>950432.92</v>
      </c>
    </row>
    <row r="121" spans="1:14" x14ac:dyDescent="0.25">
      <c r="A121" s="221">
        <v>44809</v>
      </c>
      <c r="B121">
        <v>0</v>
      </c>
      <c r="C121">
        <v>0</v>
      </c>
      <c r="D121">
        <v>950000</v>
      </c>
      <c r="E121">
        <v>950000</v>
      </c>
      <c r="F121">
        <v>0</v>
      </c>
      <c r="G121">
        <v>100000</v>
      </c>
      <c r="H121">
        <v>0</v>
      </c>
      <c r="I121">
        <v>0</v>
      </c>
      <c r="J121">
        <v>850000</v>
      </c>
      <c r="K121" s="146">
        <f t="shared" si="6"/>
        <v>1</v>
      </c>
      <c r="L121" s="146">
        <f t="shared" si="7"/>
        <v>1</v>
      </c>
      <c r="M121">
        <f t="shared" si="8"/>
        <v>0</v>
      </c>
      <c r="N121" s="222">
        <f t="shared" si="9"/>
        <v>950000</v>
      </c>
    </row>
    <row r="122" spans="1:14" x14ac:dyDescent="0.25">
      <c r="K122" s="146" t="e">
        <f t="shared" si="6"/>
        <v>#DIV/0!</v>
      </c>
      <c r="L122" s="146" t="e">
        <f t="shared" si="7"/>
        <v>#DIV/0!</v>
      </c>
      <c r="M122" t="e">
        <f t="shared" si="8"/>
        <v>#DIV/0!</v>
      </c>
      <c r="N122" s="222">
        <f t="shared" si="9"/>
        <v>0</v>
      </c>
    </row>
    <row r="123" spans="1:14" x14ac:dyDescent="0.25">
      <c r="K123" s="146" t="e">
        <f t="shared" si="6"/>
        <v>#DIV/0!</v>
      </c>
      <c r="L123" s="146" t="e">
        <f t="shared" si="7"/>
        <v>#DIV/0!</v>
      </c>
      <c r="M123" t="e">
        <f t="shared" si="8"/>
        <v>#DIV/0!</v>
      </c>
      <c r="N123" s="222">
        <f t="shared" si="9"/>
        <v>0</v>
      </c>
    </row>
    <row r="124" spans="1:14" x14ac:dyDescent="0.25">
      <c r="K124" s="146" t="e">
        <f t="shared" si="6"/>
        <v>#DIV/0!</v>
      </c>
      <c r="L124" s="146" t="e">
        <f t="shared" si="7"/>
        <v>#DIV/0!</v>
      </c>
      <c r="M124" t="e">
        <f t="shared" si="8"/>
        <v>#DIV/0!</v>
      </c>
      <c r="N124" s="222">
        <f t="shared" si="9"/>
        <v>0</v>
      </c>
    </row>
    <row r="125" spans="1:14" x14ac:dyDescent="0.25">
      <c r="K125" s="146" t="e">
        <f t="shared" si="6"/>
        <v>#DIV/0!</v>
      </c>
      <c r="L125" s="146" t="e">
        <f t="shared" si="7"/>
        <v>#DIV/0!</v>
      </c>
      <c r="M125" t="e">
        <f t="shared" si="8"/>
        <v>#DIV/0!</v>
      </c>
      <c r="N125" s="222">
        <f t="shared" si="9"/>
        <v>0</v>
      </c>
    </row>
    <row r="126" spans="1:14" x14ac:dyDescent="0.25">
      <c r="K126" s="146" t="e">
        <f t="shared" si="6"/>
        <v>#DIV/0!</v>
      </c>
      <c r="L126" s="146" t="e">
        <f t="shared" si="7"/>
        <v>#DIV/0!</v>
      </c>
      <c r="M126" t="e">
        <f t="shared" si="8"/>
        <v>#DIV/0!</v>
      </c>
      <c r="N126" s="222">
        <f t="shared" si="9"/>
        <v>0</v>
      </c>
    </row>
    <row r="127" spans="1:14" x14ac:dyDescent="0.25">
      <c r="K127" s="146" t="e">
        <f t="shared" si="6"/>
        <v>#DIV/0!</v>
      </c>
      <c r="L127" s="146" t="e">
        <f t="shared" si="7"/>
        <v>#DIV/0!</v>
      </c>
      <c r="M127" t="e">
        <f t="shared" si="8"/>
        <v>#DIV/0!</v>
      </c>
      <c r="N127" s="222">
        <f t="shared" si="9"/>
        <v>0</v>
      </c>
    </row>
    <row r="128" spans="1:14" x14ac:dyDescent="0.25">
      <c r="K128" s="146" t="e">
        <f t="shared" si="6"/>
        <v>#DIV/0!</v>
      </c>
      <c r="L128" s="146" t="e">
        <f t="shared" si="7"/>
        <v>#DIV/0!</v>
      </c>
      <c r="M128" t="e">
        <f t="shared" si="8"/>
        <v>#DIV/0!</v>
      </c>
      <c r="N128" s="222">
        <f t="shared" si="9"/>
        <v>0</v>
      </c>
    </row>
    <row r="129" spans="11:14" x14ac:dyDescent="0.25">
      <c r="K129" s="146" t="e">
        <f t="shared" si="6"/>
        <v>#DIV/0!</v>
      </c>
      <c r="L129" s="146" t="e">
        <f t="shared" si="7"/>
        <v>#DIV/0!</v>
      </c>
      <c r="M129" t="e">
        <f t="shared" si="8"/>
        <v>#DIV/0!</v>
      </c>
      <c r="N129" s="222">
        <f t="shared" si="9"/>
        <v>0</v>
      </c>
    </row>
    <row r="130" spans="11:14" x14ac:dyDescent="0.25">
      <c r="K130" s="146" t="e">
        <f t="shared" ref="K130:K193" si="10">D130/E130</f>
        <v>#DIV/0!</v>
      </c>
      <c r="L130" s="146" t="e">
        <f t="shared" ref="L130:L193" si="11">D130/(C130+D130)</f>
        <v>#DIV/0!</v>
      </c>
      <c r="M130" t="e">
        <f t="shared" ref="M130:M193" si="12">IF(OR(IF(K130&lt;0.2,1,0),IF(L130&lt;0.5,1,0)),1,0)</f>
        <v>#DIV/0!</v>
      </c>
      <c r="N130" s="222">
        <f t="shared" ref="N130:N193" si="13">G130+H130+I130+J130</f>
        <v>0</v>
      </c>
    </row>
    <row r="131" spans="11:14" x14ac:dyDescent="0.25">
      <c r="K131" s="146" t="e">
        <f t="shared" si="10"/>
        <v>#DIV/0!</v>
      </c>
      <c r="L131" s="146" t="e">
        <f t="shared" si="11"/>
        <v>#DIV/0!</v>
      </c>
      <c r="M131" t="e">
        <f t="shared" si="12"/>
        <v>#DIV/0!</v>
      </c>
      <c r="N131" s="222">
        <f t="shared" si="13"/>
        <v>0</v>
      </c>
    </row>
    <row r="132" spans="11:14" x14ac:dyDescent="0.25">
      <c r="K132" s="146" t="e">
        <f t="shared" si="10"/>
        <v>#DIV/0!</v>
      </c>
      <c r="L132" s="146" t="e">
        <f t="shared" si="11"/>
        <v>#DIV/0!</v>
      </c>
      <c r="M132" t="e">
        <f t="shared" si="12"/>
        <v>#DIV/0!</v>
      </c>
      <c r="N132" s="222">
        <f t="shared" si="13"/>
        <v>0</v>
      </c>
    </row>
    <row r="133" spans="11:14" x14ac:dyDescent="0.25">
      <c r="K133" s="146" t="e">
        <f t="shared" si="10"/>
        <v>#DIV/0!</v>
      </c>
      <c r="L133" s="146" t="e">
        <f t="shared" si="11"/>
        <v>#DIV/0!</v>
      </c>
      <c r="M133" t="e">
        <f t="shared" si="12"/>
        <v>#DIV/0!</v>
      </c>
      <c r="N133" s="222">
        <f t="shared" si="13"/>
        <v>0</v>
      </c>
    </row>
    <row r="134" spans="11:14" x14ac:dyDescent="0.25">
      <c r="K134" s="146" t="e">
        <f t="shared" si="10"/>
        <v>#DIV/0!</v>
      </c>
      <c r="L134" s="146" t="e">
        <f t="shared" si="11"/>
        <v>#DIV/0!</v>
      </c>
      <c r="M134" t="e">
        <f t="shared" si="12"/>
        <v>#DIV/0!</v>
      </c>
      <c r="N134" s="222">
        <f t="shared" si="13"/>
        <v>0</v>
      </c>
    </row>
    <row r="135" spans="11:14" x14ac:dyDescent="0.25">
      <c r="K135" s="146" t="e">
        <f t="shared" si="10"/>
        <v>#DIV/0!</v>
      </c>
      <c r="L135" s="146" t="e">
        <f t="shared" si="11"/>
        <v>#DIV/0!</v>
      </c>
      <c r="M135" t="e">
        <f t="shared" si="12"/>
        <v>#DIV/0!</v>
      </c>
      <c r="N135" s="222">
        <f t="shared" si="13"/>
        <v>0</v>
      </c>
    </row>
    <row r="136" spans="11:14" x14ac:dyDescent="0.25">
      <c r="K136" s="146" t="e">
        <f t="shared" si="10"/>
        <v>#DIV/0!</v>
      </c>
      <c r="L136" s="146" t="e">
        <f t="shared" si="11"/>
        <v>#DIV/0!</v>
      </c>
      <c r="M136" t="e">
        <f t="shared" si="12"/>
        <v>#DIV/0!</v>
      </c>
      <c r="N136" s="222">
        <f t="shared" si="13"/>
        <v>0</v>
      </c>
    </row>
    <row r="137" spans="11:14" x14ac:dyDescent="0.25">
      <c r="K137" s="146" t="e">
        <f t="shared" si="10"/>
        <v>#DIV/0!</v>
      </c>
      <c r="L137" s="146" t="e">
        <f t="shared" si="11"/>
        <v>#DIV/0!</v>
      </c>
      <c r="M137" t="e">
        <f t="shared" si="12"/>
        <v>#DIV/0!</v>
      </c>
      <c r="N137" s="222">
        <f t="shared" si="13"/>
        <v>0</v>
      </c>
    </row>
    <row r="138" spans="11:14" x14ac:dyDescent="0.25">
      <c r="K138" s="146" t="e">
        <f t="shared" si="10"/>
        <v>#DIV/0!</v>
      </c>
      <c r="L138" s="146" t="e">
        <f t="shared" si="11"/>
        <v>#DIV/0!</v>
      </c>
      <c r="M138" t="e">
        <f t="shared" si="12"/>
        <v>#DIV/0!</v>
      </c>
      <c r="N138" s="222">
        <f t="shared" si="13"/>
        <v>0</v>
      </c>
    </row>
    <row r="139" spans="11:14" x14ac:dyDescent="0.25">
      <c r="K139" s="146" t="e">
        <f t="shared" si="10"/>
        <v>#DIV/0!</v>
      </c>
      <c r="L139" s="146" t="e">
        <f t="shared" si="11"/>
        <v>#DIV/0!</v>
      </c>
      <c r="M139" t="e">
        <f t="shared" si="12"/>
        <v>#DIV/0!</v>
      </c>
      <c r="N139" s="222">
        <f t="shared" si="13"/>
        <v>0</v>
      </c>
    </row>
    <row r="140" spans="11:14" x14ac:dyDescent="0.25">
      <c r="K140" s="146" t="e">
        <f t="shared" si="10"/>
        <v>#DIV/0!</v>
      </c>
      <c r="L140" s="146" t="e">
        <f t="shared" si="11"/>
        <v>#DIV/0!</v>
      </c>
      <c r="M140" t="e">
        <f t="shared" si="12"/>
        <v>#DIV/0!</v>
      </c>
      <c r="N140" s="222">
        <f t="shared" si="13"/>
        <v>0</v>
      </c>
    </row>
    <row r="141" spans="11:14" x14ac:dyDescent="0.25">
      <c r="K141" s="146" t="e">
        <f t="shared" si="10"/>
        <v>#DIV/0!</v>
      </c>
      <c r="L141" s="146" t="e">
        <f t="shared" si="11"/>
        <v>#DIV/0!</v>
      </c>
      <c r="M141" t="e">
        <f t="shared" si="12"/>
        <v>#DIV/0!</v>
      </c>
      <c r="N141" s="222">
        <f t="shared" si="13"/>
        <v>0</v>
      </c>
    </row>
    <row r="142" spans="11:14" x14ac:dyDescent="0.25">
      <c r="K142" s="146" t="e">
        <f t="shared" si="10"/>
        <v>#DIV/0!</v>
      </c>
      <c r="L142" s="146" t="e">
        <f t="shared" si="11"/>
        <v>#DIV/0!</v>
      </c>
      <c r="M142" t="e">
        <f t="shared" si="12"/>
        <v>#DIV/0!</v>
      </c>
      <c r="N142" s="222">
        <f t="shared" si="13"/>
        <v>0</v>
      </c>
    </row>
    <row r="143" spans="11:14" x14ac:dyDescent="0.25">
      <c r="K143" s="146" t="e">
        <f t="shared" si="10"/>
        <v>#DIV/0!</v>
      </c>
      <c r="L143" s="146" t="e">
        <f t="shared" si="11"/>
        <v>#DIV/0!</v>
      </c>
      <c r="M143" t="e">
        <f t="shared" si="12"/>
        <v>#DIV/0!</v>
      </c>
      <c r="N143" s="222">
        <f t="shared" si="13"/>
        <v>0</v>
      </c>
    </row>
    <row r="144" spans="11:14" x14ac:dyDescent="0.25">
      <c r="K144" s="146" t="e">
        <f t="shared" si="10"/>
        <v>#DIV/0!</v>
      </c>
      <c r="L144" s="146" t="e">
        <f t="shared" si="11"/>
        <v>#DIV/0!</v>
      </c>
      <c r="M144" t="e">
        <f t="shared" si="12"/>
        <v>#DIV/0!</v>
      </c>
      <c r="N144" s="222">
        <f t="shared" si="13"/>
        <v>0</v>
      </c>
    </row>
    <row r="145" spans="11:14" x14ac:dyDescent="0.25">
      <c r="K145" s="146" t="e">
        <f t="shared" si="10"/>
        <v>#DIV/0!</v>
      </c>
      <c r="L145" s="146" t="e">
        <f t="shared" si="11"/>
        <v>#DIV/0!</v>
      </c>
      <c r="M145" t="e">
        <f t="shared" si="12"/>
        <v>#DIV/0!</v>
      </c>
      <c r="N145" s="222">
        <f t="shared" si="13"/>
        <v>0</v>
      </c>
    </row>
    <row r="146" spans="11:14" x14ac:dyDescent="0.25">
      <c r="K146" s="146" t="e">
        <f t="shared" si="10"/>
        <v>#DIV/0!</v>
      </c>
      <c r="L146" s="146" t="e">
        <f t="shared" si="11"/>
        <v>#DIV/0!</v>
      </c>
      <c r="M146" t="e">
        <f t="shared" si="12"/>
        <v>#DIV/0!</v>
      </c>
      <c r="N146" s="222">
        <f t="shared" si="13"/>
        <v>0</v>
      </c>
    </row>
    <row r="147" spans="11:14" x14ac:dyDescent="0.25">
      <c r="K147" s="146" t="e">
        <f t="shared" si="10"/>
        <v>#DIV/0!</v>
      </c>
      <c r="L147" s="146" t="e">
        <f t="shared" si="11"/>
        <v>#DIV/0!</v>
      </c>
      <c r="M147" t="e">
        <f t="shared" si="12"/>
        <v>#DIV/0!</v>
      </c>
      <c r="N147" s="222">
        <f t="shared" si="13"/>
        <v>0</v>
      </c>
    </row>
    <row r="148" spans="11:14" x14ac:dyDescent="0.25">
      <c r="K148" s="146" t="e">
        <f t="shared" si="10"/>
        <v>#DIV/0!</v>
      </c>
      <c r="L148" s="146" t="e">
        <f t="shared" si="11"/>
        <v>#DIV/0!</v>
      </c>
      <c r="M148" t="e">
        <f t="shared" si="12"/>
        <v>#DIV/0!</v>
      </c>
      <c r="N148" s="222">
        <f t="shared" si="13"/>
        <v>0</v>
      </c>
    </row>
    <row r="149" spans="11:14" x14ac:dyDescent="0.25">
      <c r="K149" s="146" t="e">
        <f t="shared" si="10"/>
        <v>#DIV/0!</v>
      </c>
      <c r="L149" s="146" t="e">
        <f t="shared" si="11"/>
        <v>#DIV/0!</v>
      </c>
      <c r="M149" t="e">
        <f t="shared" si="12"/>
        <v>#DIV/0!</v>
      </c>
      <c r="N149" s="222">
        <f t="shared" si="13"/>
        <v>0</v>
      </c>
    </row>
    <row r="150" spans="11:14" x14ac:dyDescent="0.25">
      <c r="K150" s="146" t="e">
        <f t="shared" si="10"/>
        <v>#DIV/0!</v>
      </c>
      <c r="L150" s="146" t="e">
        <f t="shared" si="11"/>
        <v>#DIV/0!</v>
      </c>
      <c r="M150" t="e">
        <f t="shared" si="12"/>
        <v>#DIV/0!</v>
      </c>
      <c r="N150" s="222">
        <f t="shared" si="13"/>
        <v>0</v>
      </c>
    </row>
    <row r="151" spans="11:14" x14ac:dyDescent="0.25">
      <c r="K151" s="146" t="e">
        <f t="shared" si="10"/>
        <v>#DIV/0!</v>
      </c>
      <c r="L151" s="146" t="e">
        <f t="shared" si="11"/>
        <v>#DIV/0!</v>
      </c>
      <c r="M151" t="e">
        <f t="shared" si="12"/>
        <v>#DIV/0!</v>
      </c>
      <c r="N151" s="222">
        <f t="shared" si="13"/>
        <v>0</v>
      </c>
    </row>
    <row r="152" spans="11:14" x14ac:dyDescent="0.25">
      <c r="K152" s="146" t="e">
        <f t="shared" si="10"/>
        <v>#DIV/0!</v>
      </c>
      <c r="L152" s="146" t="e">
        <f t="shared" si="11"/>
        <v>#DIV/0!</v>
      </c>
      <c r="M152" t="e">
        <f t="shared" si="12"/>
        <v>#DIV/0!</v>
      </c>
      <c r="N152" s="222">
        <f t="shared" si="13"/>
        <v>0</v>
      </c>
    </row>
    <row r="153" spans="11:14" x14ac:dyDescent="0.25">
      <c r="K153" s="146" t="e">
        <f t="shared" si="10"/>
        <v>#DIV/0!</v>
      </c>
      <c r="L153" s="146" t="e">
        <f t="shared" si="11"/>
        <v>#DIV/0!</v>
      </c>
      <c r="M153" t="e">
        <f t="shared" si="12"/>
        <v>#DIV/0!</v>
      </c>
      <c r="N153" s="222">
        <f t="shared" si="13"/>
        <v>0</v>
      </c>
    </row>
    <row r="154" spans="11:14" x14ac:dyDescent="0.25">
      <c r="K154" s="146" t="e">
        <f t="shared" si="10"/>
        <v>#DIV/0!</v>
      </c>
      <c r="L154" s="146" t="e">
        <f t="shared" si="11"/>
        <v>#DIV/0!</v>
      </c>
      <c r="M154" t="e">
        <f t="shared" si="12"/>
        <v>#DIV/0!</v>
      </c>
      <c r="N154" s="222">
        <f t="shared" si="13"/>
        <v>0</v>
      </c>
    </row>
    <row r="155" spans="11:14" x14ac:dyDescent="0.25">
      <c r="K155" s="146" t="e">
        <f t="shared" si="10"/>
        <v>#DIV/0!</v>
      </c>
      <c r="L155" s="146" t="e">
        <f t="shared" si="11"/>
        <v>#DIV/0!</v>
      </c>
      <c r="M155" t="e">
        <f t="shared" si="12"/>
        <v>#DIV/0!</v>
      </c>
      <c r="N155" s="222">
        <f t="shared" si="13"/>
        <v>0</v>
      </c>
    </row>
    <row r="156" spans="11:14" x14ac:dyDescent="0.25">
      <c r="K156" s="146" t="e">
        <f t="shared" si="10"/>
        <v>#DIV/0!</v>
      </c>
      <c r="L156" s="146" t="e">
        <f t="shared" si="11"/>
        <v>#DIV/0!</v>
      </c>
      <c r="M156" t="e">
        <f t="shared" si="12"/>
        <v>#DIV/0!</v>
      </c>
      <c r="N156" s="222">
        <f t="shared" si="13"/>
        <v>0</v>
      </c>
    </row>
    <row r="157" spans="11:14" x14ac:dyDescent="0.25">
      <c r="K157" s="146" t="e">
        <f t="shared" si="10"/>
        <v>#DIV/0!</v>
      </c>
      <c r="L157" s="146" t="e">
        <f t="shared" si="11"/>
        <v>#DIV/0!</v>
      </c>
      <c r="M157" t="e">
        <f t="shared" si="12"/>
        <v>#DIV/0!</v>
      </c>
      <c r="N157" s="222">
        <f t="shared" si="13"/>
        <v>0</v>
      </c>
    </row>
    <row r="158" spans="11:14" x14ac:dyDescent="0.25">
      <c r="K158" s="146" t="e">
        <f t="shared" si="10"/>
        <v>#DIV/0!</v>
      </c>
      <c r="L158" s="146" t="e">
        <f t="shared" si="11"/>
        <v>#DIV/0!</v>
      </c>
      <c r="M158" t="e">
        <f t="shared" si="12"/>
        <v>#DIV/0!</v>
      </c>
      <c r="N158" s="222">
        <f t="shared" si="13"/>
        <v>0</v>
      </c>
    </row>
    <row r="159" spans="11:14" x14ac:dyDescent="0.25">
      <c r="K159" s="146" t="e">
        <f t="shared" si="10"/>
        <v>#DIV/0!</v>
      </c>
      <c r="L159" s="146" t="e">
        <f t="shared" si="11"/>
        <v>#DIV/0!</v>
      </c>
      <c r="M159" t="e">
        <f t="shared" si="12"/>
        <v>#DIV/0!</v>
      </c>
      <c r="N159" s="222">
        <f t="shared" si="13"/>
        <v>0</v>
      </c>
    </row>
    <row r="160" spans="11:14" x14ac:dyDescent="0.25">
      <c r="K160" s="146" t="e">
        <f t="shared" si="10"/>
        <v>#DIV/0!</v>
      </c>
      <c r="L160" s="146" t="e">
        <f t="shared" si="11"/>
        <v>#DIV/0!</v>
      </c>
      <c r="M160" t="e">
        <f t="shared" si="12"/>
        <v>#DIV/0!</v>
      </c>
      <c r="N160" s="222">
        <f t="shared" si="13"/>
        <v>0</v>
      </c>
    </row>
    <row r="161" spans="11:14" x14ac:dyDescent="0.25">
      <c r="K161" s="146" t="e">
        <f t="shared" si="10"/>
        <v>#DIV/0!</v>
      </c>
      <c r="L161" s="146" t="e">
        <f t="shared" si="11"/>
        <v>#DIV/0!</v>
      </c>
      <c r="M161" t="e">
        <f t="shared" si="12"/>
        <v>#DIV/0!</v>
      </c>
      <c r="N161" s="222">
        <f t="shared" si="13"/>
        <v>0</v>
      </c>
    </row>
    <row r="162" spans="11:14" x14ac:dyDescent="0.25">
      <c r="K162" s="146" t="e">
        <f t="shared" si="10"/>
        <v>#DIV/0!</v>
      </c>
      <c r="L162" s="146" t="e">
        <f t="shared" si="11"/>
        <v>#DIV/0!</v>
      </c>
      <c r="M162" t="e">
        <f t="shared" si="12"/>
        <v>#DIV/0!</v>
      </c>
      <c r="N162" s="222">
        <f t="shared" si="13"/>
        <v>0</v>
      </c>
    </row>
    <row r="163" spans="11:14" x14ac:dyDescent="0.25">
      <c r="K163" s="146" t="e">
        <f t="shared" si="10"/>
        <v>#DIV/0!</v>
      </c>
      <c r="L163" s="146" t="e">
        <f t="shared" si="11"/>
        <v>#DIV/0!</v>
      </c>
      <c r="M163" t="e">
        <f t="shared" si="12"/>
        <v>#DIV/0!</v>
      </c>
      <c r="N163" s="222">
        <f t="shared" si="13"/>
        <v>0</v>
      </c>
    </row>
    <row r="164" spans="11:14" x14ac:dyDescent="0.25">
      <c r="K164" s="146" t="e">
        <f t="shared" si="10"/>
        <v>#DIV/0!</v>
      </c>
      <c r="L164" s="146" t="e">
        <f t="shared" si="11"/>
        <v>#DIV/0!</v>
      </c>
      <c r="M164" t="e">
        <f t="shared" si="12"/>
        <v>#DIV/0!</v>
      </c>
      <c r="N164" s="222">
        <f t="shared" si="13"/>
        <v>0</v>
      </c>
    </row>
    <row r="165" spans="11:14" x14ac:dyDescent="0.25">
      <c r="K165" s="146" t="e">
        <f t="shared" si="10"/>
        <v>#DIV/0!</v>
      </c>
      <c r="L165" s="146" t="e">
        <f t="shared" si="11"/>
        <v>#DIV/0!</v>
      </c>
      <c r="M165" t="e">
        <f t="shared" si="12"/>
        <v>#DIV/0!</v>
      </c>
      <c r="N165" s="222">
        <f t="shared" si="13"/>
        <v>0</v>
      </c>
    </row>
    <row r="166" spans="11:14" x14ac:dyDescent="0.25">
      <c r="K166" s="146" t="e">
        <f t="shared" si="10"/>
        <v>#DIV/0!</v>
      </c>
      <c r="L166" s="146" t="e">
        <f t="shared" si="11"/>
        <v>#DIV/0!</v>
      </c>
      <c r="M166" t="e">
        <f t="shared" si="12"/>
        <v>#DIV/0!</v>
      </c>
      <c r="N166" s="222">
        <f t="shared" si="13"/>
        <v>0</v>
      </c>
    </row>
    <row r="167" spans="11:14" x14ac:dyDescent="0.25">
      <c r="K167" s="146" t="e">
        <f t="shared" si="10"/>
        <v>#DIV/0!</v>
      </c>
      <c r="L167" s="146" t="e">
        <f t="shared" si="11"/>
        <v>#DIV/0!</v>
      </c>
      <c r="M167" t="e">
        <f t="shared" si="12"/>
        <v>#DIV/0!</v>
      </c>
      <c r="N167" s="222">
        <f t="shared" si="13"/>
        <v>0</v>
      </c>
    </row>
    <row r="168" spans="11:14" x14ac:dyDescent="0.25">
      <c r="K168" s="146" t="e">
        <f t="shared" si="10"/>
        <v>#DIV/0!</v>
      </c>
      <c r="L168" s="146" t="e">
        <f t="shared" si="11"/>
        <v>#DIV/0!</v>
      </c>
      <c r="M168" t="e">
        <f t="shared" si="12"/>
        <v>#DIV/0!</v>
      </c>
      <c r="N168" s="222">
        <f t="shared" si="13"/>
        <v>0</v>
      </c>
    </row>
    <row r="169" spans="11:14" x14ac:dyDescent="0.25">
      <c r="K169" s="146" t="e">
        <f t="shared" si="10"/>
        <v>#DIV/0!</v>
      </c>
      <c r="L169" s="146" t="e">
        <f t="shared" si="11"/>
        <v>#DIV/0!</v>
      </c>
      <c r="M169" t="e">
        <f t="shared" si="12"/>
        <v>#DIV/0!</v>
      </c>
      <c r="N169" s="222">
        <f t="shared" si="13"/>
        <v>0</v>
      </c>
    </row>
    <row r="170" spans="11:14" x14ac:dyDescent="0.25">
      <c r="K170" s="146" t="e">
        <f t="shared" si="10"/>
        <v>#DIV/0!</v>
      </c>
      <c r="L170" s="146" t="e">
        <f t="shared" si="11"/>
        <v>#DIV/0!</v>
      </c>
      <c r="M170" t="e">
        <f t="shared" si="12"/>
        <v>#DIV/0!</v>
      </c>
      <c r="N170" s="222">
        <f t="shared" si="13"/>
        <v>0</v>
      </c>
    </row>
    <row r="171" spans="11:14" x14ac:dyDescent="0.25">
      <c r="K171" s="146" t="e">
        <f t="shared" si="10"/>
        <v>#DIV/0!</v>
      </c>
      <c r="L171" s="146" t="e">
        <f t="shared" si="11"/>
        <v>#DIV/0!</v>
      </c>
      <c r="M171" t="e">
        <f t="shared" si="12"/>
        <v>#DIV/0!</v>
      </c>
      <c r="N171" s="222">
        <f t="shared" si="13"/>
        <v>0</v>
      </c>
    </row>
    <row r="172" spans="11:14" x14ac:dyDescent="0.25">
      <c r="K172" s="146" t="e">
        <f t="shared" si="10"/>
        <v>#DIV/0!</v>
      </c>
      <c r="L172" s="146" t="e">
        <f t="shared" si="11"/>
        <v>#DIV/0!</v>
      </c>
      <c r="M172" t="e">
        <f t="shared" si="12"/>
        <v>#DIV/0!</v>
      </c>
      <c r="N172" s="222">
        <f t="shared" si="13"/>
        <v>0</v>
      </c>
    </row>
    <row r="173" spans="11:14" x14ac:dyDescent="0.25">
      <c r="K173" s="146" t="e">
        <f t="shared" si="10"/>
        <v>#DIV/0!</v>
      </c>
      <c r="L173" s="146" t="e">
        <f t="shared" si="11"/>
        <v>#DIV/0!</v>
      </c>
      <c r="M173" t="e">
        <f t="shared" si="12"/>
        <v>#DIV/0!</v>
      </c>
      <c r="N173" s="222">
        <f t="shared" si="13"/>
        <v>0</v>
      </c>
    </row>
    <row r="174" spans="11:14" x14ac:dyDescent="0.25">
      <c r="K174" s="146" t="e">
        <f t="shared" si="10"/>
        <v>#DIV/0!</v>
      </c>
      <c r="L174" s="146" t="e">
        <f t="shared" si="11"/>
        <v>#DIV/0!</v>
      </c>
      <c r="M174" t="e">
        <f t="shared" si="12"/>
        <v>#DIV/0!</v>
      </c>
      <c r="N174" s="222">
        <f t="shared" si="13"/>
        <v>0</v>
      </c>
    </row>
    <row r="175" spans="11:14" x14ac:dyDescent="0.25">
      <c r="K175" s="146" t="e">
        <f t="shared" si="10"/>
        <v>#DIV/0!</v>
      </c>
      <c r="L175" s="146" t="e">
        <f t="shared" si="11"/>
        <v>#DIV/0!</v>
      </c>
      <c r="M175" t="e">
        <f t="shared" si="12"/>
        <v>#DIV/0!</v>
      </c>
      <c r="N175" s="222">
        <f t="shared" si="13"/>
        <v>0</v>
      </c>
    </row>
    <row r="176" spans="11:14" x14ac:dyDescent="0.25">
      <c r="K176" s="146" t="e">
        <f t="shared" si="10"/>
        <v>#DIV/0!</v>
      </c>
      <c r="L176" s="146" t="e">
        <f t="shared" si="11"/>
        <v>#DIV/0!</v>
      </c>
      <c r="M176" t="e">
        <f t="shared" si="12"/>
        <v>#DIV/0!</v>
      </c>
      <c r="N176" s="222">
        <f t="shared" si="13"/>
        <v>0</v>
      </c>
    </row>
    <row r="177" spans="11:14" x14ac:dyDescent="0.25">
      <c r="K177" s="146" t="e">
        <f t="shared" si="10"/>
        <v>#DIV/0!</v>
      </c>
      <c r="L177" s="146" t="e">
        <f t="shared" si="11"/>
        <v>#DIV/0!</v>
      </c>
      <c r="M177" t="e">
        <f t="shared" si="12"/>
        <v>#DIV/0!</v>
      </c>
      <c r="N177" s="222">
        <f t="shared" si="13"/>
        <v>0</v>
      </c>
    </row>
    <row r="178" spans="11:14" x14ac:dyDescent="0.25">
      <c r="K178" s="146" t="e">
        <f t="shared" si="10"/>
        <v>#DIV/0!</v>
      </c>
      <c r="L178" s="146" t="e">
        <f t="shared" si="11"/>
        <v>#DIV/0!</v>
      </c>
      <c r="M178" t="e">
        <f t="shared" si="12"/>
        <v>#DIV/0!</v>
      </c>
      <c r="N178" s="222">
        <f t="shared" si="13"/>
        <v>0</v>
      </c>
    </row>
    <row r="179" spans="11:14" x14ac:dyDescent="0.25">
      <c r="K179" s="146" t="e">
        <f t="shared" si="10"/>
        <v>#DIV/0!</v>
      </c>
      <c r="L179" s="146" t="e">
        <f t="shared" si="11"/>
        <v>#DIV/0!</v>
      </c>
      <c r="M179" t="e">
        <f t="shared" si="12"/>
        <v>#DIV/0!</v>
      </c>
      <c r="N179" s="222">
        <f t="shared" si="13"/>
        <v>0</v>
      </c>
    </row>
    <row r="180" spans="11:14" x14ac:dyDescent="0.25">
      <c r="K180" s="146" t="e">
        <f t="shared" si="10"/>
        <v>#DIV/0!</v>
      </c>
      <c r="L180" s="146" t="e">
        <f t="shared" si="11"/>
        <v>#DIV/0!</v>
      </c>
      <c r="M180" t="e">
        <f t="shared" si="12"/>
        <v>#DIV/0!</v>
      </c>
      <c r="N180" s="222">
        <f t="shared" si="13"/>
        <v>0</v>
      </c>
    </row>
    <row r="181" spans="11:14" x14ac:dyDescent="0.25">
      <c r="K181" s="146" t="e">
        <f t="shared" si="10"/>
        <v>#DIV/0!</v>
      </c>
      <c r="L181" s="146" t="e">
        <f t="shared" si="11"/>
        <v>#DIV/0!</v>
      </c>
      <c r="M181" t="e">
        <f t="shared" si="12"/>
        <v>#DIV/0!</v>
      </c>
      <c r="N181" s="222">
        <f t="shared" si="13"/>
        <v>0</v>
      </c>
    </row>
    <row r="182" spans="11:14" x14ac:dyDescent="0.25">
      <c r="K182" s="146" t="e">
        <f t="shared" si="10"/>
        <v>#DIV/0!</v>
      </c>
      <c r="L182" s="146" t="e">
        <f t="shared" si="11"/>
        <v>#DIV/0!</v>
      </c>
      <c r="M182" t="e">
        <f t="shared" si="12"/>
        <v>#DIV/0!</v>
      </c>
      <c r="N182" s="222">
        <f t="shared" si="13"/>
        <v>0</v>
      </c>
    </row>
    <row r="183" spans="11:14" x14ac:dyDescent="0.25">
      <c r="K183" s="146" t="e">
        <f t="shared" si="10"/>
        <v>#DIV/0!</v>
      </c>
      <c r="L183" s="146" t="e">
        <f t="shared" si="11"/>
        <v>#DIV/0!</v>
      </c>
      <c r="M183" t="e">
        <f t="shared" si="12"/>
        <v>#DIV/0!</v>
      </c>
      <c r="N183" s="222">
        <f t="shared" si="13"/>
        <v>0</v>
      </c>
    </row>
    <row r="184" spans="11:14" x14ac:dyDescent="0.25">
      <c r="K184" s="146" t="e">
        <f t="shared" si="10"/>
        <v>#DIV/0!</v>
      </c>
      <c r="L184" s="146" t="e">
        <f t="shared" si="11"/>
        <v>#DIV/0!</v>
      </c>
      <c r="M184" t="e">
        <f t="shared" si="12"/>
        <v>#DIV/0!</v>
      </c>
      <c r="N184" s="222">
        <f t="shared" si="13"/>
        <v>0</v>
      </c>
    </row>
    <row r="185" spans="11:14" x14ac:dyDescent="0.25">
      <c r="K185" s="146" t="e">
        <f t="shared" si="10"/>
        <v>#DIV/0!</v>
      </c>
      <c r="L185" s="146" t="e">
        <f t="shared" si="11"/>
        <v>#DIV/0!</v>
      </c>
      <c r="M185" t="e">
        <f t="shared" si="12"/>
        <v>#DIV/0!</v>
      </c>
      <c r="N185" s="222">
        <f t="shared" si="13"/>
        <v>0</v>
      </c>
    </row>
    <row r="186" spans="11:14" x14ac:dyDescent="0.25">
      <c r="K186" s="146" t="e">
        <f t="shared" si="10"/>
        <v>#DIV/0!</v>
      </c>
      <c r="L186" s="146" t="e">
        <f t="shared" si="11"/>
        <v>#DIV/0!</v>
      </c>
      <c r="M186" t="e">
        <f t="shared" si="12"/>
        <v>#DIV/0!</v>
      </c>
      <c r="N186" s="222">
        <f t="shared" si="13"/>
        <v>0</v>
      </c>
    </row>
    <row r="187" spans="11:14" x14ac:dyDescent="0.25">
      <c r="K187" s="146" t="e">
        <f t="shared" si="10"/>
        <v>#DIV/0!</v>
      </c>
      <c r="L187" s="146" t="e">
        <f t="shared" si="11"/>
        <v>#DIV/0!</v>
      </c>
      <c r="M187" t="e">
        <f t="shared" si="12"/>
        <v>#DIV/0!</v>
      </c>
      <c r="N187" s="222">
        <f t="shared" si="13"/>
        <v>0</v>
      </c>
    </row>
    <row r="188" spans="11:14" x14ac:dyDescent="0.25">
      <c r="K188" s="146" t="e">
        <f t="shared" si="10"/>
        <v>#DIV/0!</v>
      </c>
      <c r="L188" s="146" t="e">
        <f t="shared" si="11"/>
        <v>#DIV/0!</v>
      </c>
      <c r="M188" t="e">
        <f t="shared" si="12"/>
        <v>#DIV/0!</v>
      </c>
      <c r="N188" s="222">
        <f t="shared" si="13"/>
        <v>0</v>
      </c>
    </row>
    <row r="189" spans="11:14" x14ac:dyDescent="0.25">
      <c r="K189" s="146" t="e">
        <f t="shared" si="10"/>
        <v>#DIV/0!</v>
      </c>
      <c r="L189" s="146" t="e">
        <f t="shared" si="11"/>
        <v>#DIV/0!</v>
      </c>
      <c r="M189" t="e">
        <f t="shared" si="12"/>
        <v>#DIV/0!</v>
      </c>
      <c r="N189" s="222">
        <f t="shared" si="13"/>
        <v>0</v>
      </c>
    </row>
    <row r="190" spans="11:14" x14ac:dyDescent="0.25">
      <c r="K190" s="146" t="e">
        <f t="shared" si="10"/>
        <v>#DIV/0!</v>
      </c>
      <c r="L190" s="146" t="e">
        <f t="shared" si="11"/>
        <v>#DIV/0!</v>
      </c>
      <c r="M190" t="e">
        <f t="shared" si="12"/>
        <v>#DIV/0!</v>
      </c>
      <c r="N190" s="222">
        <f t="shared" si="13"/>
        <v>0</v>
      </c>
    </row>
    <row r="191" spans="11:14" x14ac:dyDescent="0.25">
      <c r="K191" s="146" t="e">
        <f t="shared" si="10"/>
        <v>#DIV/0!</v>
      </c>
      <c r="L191" s="146" t="e">
        <f t="shared" si="11"/>
        <v>#DIV/0!</v>
      </c>
      <c r="M191" t="e">
        <f t="shared" si="12"/>
        <v>#DIV/0!</v>
      </c>
      <c r="N191" s="222">
        <f t="shared" si="13"/>
        <v>0</v>
      </c>
    </row>
    <row r="192" spans="11:14" x14ac:dyDescent="0.25">
      <c r="K192" s="146" t="e">
        <f t="shared" si="10"/>
        <v>#DIV/0!</v>
      </c>
      <c r="L192" s="146" t="e">
        <f t="shared" si="11"/>
        <v>#DIV/0!</v>
      </c>
      <c r="M192" t="e">
        <f t="shared" si="12"/>
        <v>#DIV/0!</v>
      </c>
      <c r="N192" s="222">
        <f t="shared" si="13"/>
        <v>0</v>
      </c>
    </row>
    <row r="193" spans="11:14" x14ac:dyDescent="0.25">
      <c r="K193" s="146" t="e">
        <f t="shared" si="10"/>
        <v>#DIV/0!</v>
      </c>
      <c r="L193" s="146" t="e">
        <f t="shared" si="11"/>
        <v>#DIV/0!</v>
      </c>
      <c r="M193" t="e">
        <f t="shared" si="12"/>
        <v>#DIV/0!</v>
      </c>
      <c r="N193" s="222">
        <f t="shared" si="13"/>
        <v>0</v>
      </c>
    </row>
    <row r="194" spans="11:14" x14ac:dyDescent="0.25">
      <c r="K194" s="146" t="e">
        <f t="shared" ref="K194:K257" si="14">D194/E194</f>
        <v>#DIV/0!</v>
      </c>
      <c r="L194" s="146" t="e">
        <f t="shared" ref="L194:L257" si="15">D194/(C194+D194)</f>
        <v>#DIV/0!</v>
      </c>
      <c r="M194" t="e">
        <f t="shared" ref="M194:M257" si="16">IF(OR(IF(K194&lt;0.2,1,0),IF(L194&lt;0.5,1,0)),1,0)</f>
        <v>#DIV/0!</v>
      </c>
      <c r="N194" s="222">
        <f t="shared" ref="N194:N257" si="17">G194+H194+I194+J194</f>
        <v>0</v>
      </c>
    </row>
    <row r="195" spans="11:14" x14ac:dyDescent="0.25">
      <c r="K195" s="146" t="e">
        <f t="shared" si="14"/>
        <v>#DIV/0!</v>
      </c>
      <c r="L195" s="146" t="e">
        <f t="shared" si="15"/>
        <v>#DIV/0!</v>
      </c>
      <c r="M195" t="e">
        <f t="shared" si="16"/>
        <v>#DIV/0!</v>
      </c>
      <c r="N195" s="222">
        <f t="shared" si="17"/>
        <v>0</v>
      </c>
    </row>
    <row r="196" spans="11:14" x14ac:dyDescent="0.25">
      <c r="K196" s="146" t="e">
        <f t="shared" si="14"/>
        <v>#DIV/0!</v>
      </c>
      <c r="L196" s="146" t="e">
        <f t="shared" si="15"/>
        <v>#DIV/0!</v>
      </c>
      <c r="M196" t="e">
        <f t="shared" si="16"/>
        <v>#DIV/0!</v>
      </c>
      <c r="N196" s="222">
        <f t="shared" si="17"/>
        <v>0</v>
      </c>
    </row>
    <row r="197" spans="11:14" x14ac:dyDescent="0.25">
      <c r="K197" s="146" t="e">
        <f t="shared" si="14"/>
        <v>#DIV/0!</v>
      </c>
      <c r="L197" s="146" t="e">
        <f t="shared" si="15"/>
        <v>#DIV/0!</v>
      </c>
      <c r="M197" t="e">
        <f t="shared" si="16"/>
        <v>#DIV/0!</v>
      </c>
      <c r="N197" s="222">
        <f t="shared" si="17"/>
        <v>0</v>
      </c>
    </row>
    <row r="198" spans="11:14" x14ac:dyDescent="0.25">
      <c r="K198" s="146" t="e">
        <f t="shared" si="14"/>
        <v>#DIV/0!</v>
      </c>
      <c r="L198" s="146" t="e">
        <f t="shared" si="15"/>
        <v>#DIV/0!</v>
      </c>
      <c r="M198" t="e">
        <f t="shared" si="16"/>
        <v>#DIV/0!</v>
      </c>
      <c r="N198" s="222">
        <f t="shared" si="17"/>
        <v>0</v>
      </c>
    </row>
    <row r="199" spans="11:14" x14ac:dyDescent="0.25">
      <c r="K199" s="146" t="e">
        <f t="shared" si="14"/>
        <v>#DIV/0!</v>
      </c>
      <c r="L199" s="146" t="e">
        <f t="shared" si="15"/>
        <v>#DIV/0!</v>
      </c>
      <c r="M199" t="e">
        <f t="shared" si="16"/>
        <v>#DIV/0!</v>
      </c>
      <c r="N199" s="222">
        <f t="shared" si="17"/>
        <v>0</v>
      </c>
    </row>
    <row r="200" spans="11:14" x14ac:dyDescent="0.25">
      <c r="K200" s="146" t="e">
        <f t="shared" si="14"/>
        <v>#DIV/0!</v>
      </c>
      <c r="L200" s="146" t="e">
        <f t="shared" si="15"/>
        <v>#DIV/0!</v>
      </c>
      <c r="M200" t="e">
        <f t="shared" si="16"/>
        <v>#DIV/0!</v>
      </c>
      <c r="N200" s="222">
        <f t="shared" si="17"/>
        <v>0</v>
      </c>
    </row>
    <row r="201" spans="11:14" x14ac:dyDescent="0.25">
      <c r="K201" s="146" t="e">
        <f t="shared" si="14"/>
        <v>#DIV/0!</v>
      </c>
      <c r="L201" s="146" t="e">
        <f t="shared" si="15"/>
        <v>#DIV/0!</v>
      </c>
      <c r="M201" t="e">
        <f t="shared" si="16"/>
        <v>#DIV/0!</v>
      </c>
      <c r="N201" s="222">
        <f t="shared" si="17"/>
        <v>0</v>
      </c>
    </row>
    <row r="202" spans="11:14" x14ac:dyDescent="0.25">
      <c r="K202" s="146" t="e">
        <f t="shared" si="14"/>
        <v>#DIV/0!</v>
      </c>
      <c r="L202" s="146" t="e">
        <f t="shared" si="15"/>
        <v>#DIV/0!</v>
      </c>
      <c r="M202" t="e">
        <f t="shared" si="16"/>
        <v>#DIV/0!</v>
      </c>
      <c r="N202" s="222">
        <f t="shared" si="17"/>
        <v>0</v>
      </c>
    </row>
    <row r="203" spans="11:14" x14ac:dyDescent="0.25">
      <c r="K203" s="146" t="e">
        <f t="shared" si="14"/>
        <v>#DIV/0!</v>
      </c>
      <c r="L203" s="146" t="e">
        <f t="shared" si="15"/>
        <v>#DIV/0!</v>
      </c>
      <c r="M203" t="e">
        <f t="shared" si="16"/>
        <v>#DIV/0!</v>
      </c>
      <c r="N203" s="222">
        <f t="shared" si="17"/>
        <v>0</v>
      </c>
    </row>
    <row r="204" spans="11:14" x14ac:dyDescent="0.25">
      <c r="K204" s="146" t="e">
        <f t="shared" si="14"/>
        <v>#DIV/0!</v>
      </c>
      <c r="L204" s="146" t="e">
        <f t="shared" si="15"/>
        <v>#DIV/0!</v>
      </c>
      <c r="M204" t="e">
        <f t="shared" si="16"/>
        <v>#DIV/0!</v>
      </c>
      <c r="N204" s="222">
        <f t="shared" si="17"/>
        <v>0</v>
      </c>
    </row>
    <row r="205" spans="11:14" x14ac:dyDescent="0.25">
      <c r="K205" s="146" t="e">
        <f t="shared" si="14"/>
        <v>#DIV/0!</v>
      </c>
      <c r="L205" s="146" t="e">
        <f t="shared" si="15"/>
        <v>#DIV/0!</v>
      </c>
      <c r="M205" t="e">
        <f t="shared" si="16"/>
        <v>#DIV/0!</v>
      </c>
      <c r="N205" s="222">
        <f t="shared" si="17"/>
        <v>0</v>
      </c>
    </row>
    <row r="206" spans="11:14" x14ac:dyDescent="0.25">
      <c r="K206" s="146" t="e">
        <f t="shared" si="14"/>
        <v>#DIV/0!</v>
      </c>
      <c r="L206" s="146" t="e">
        <f t="shared" si="15"/>
        <v>#DIV/0!</v>
      </c>
      <c r="M206" t="e">
        <f t="shared" si="16"/>
        <v>#DIV/0!</v>
      </c>
      <c r="N206" s="222">
        <f t="shared" si="17"/>
        <v>0</v>
      </c>
    </row>
    <row r="207" spans="11:14" x14ac:dyDescent="0.25">
      <c r="K207" s="146" t="e">
        <f t="shared" si="14"/>
        <v>#DIV/0!</v>
      </c>
      <c r="L207" s="146" t="e">
        <f t="shared" si="15"/>
        <v>#DIV/0!</v>
      </c>
      <c r="M207" t="e">
        <f t="shared" si="16"/>
        <v>#DIV/0!</v>
      </c>
      <c r="N207" s="222">
        <f t="shared" si="17"/>
        <v>0</v>
      </c>
    </row>
    <row r="208" spans="11:14" x14ac:dyDescent="0.25">
      <c r="K208" s="146" t="e">
        <f t="shared" si="14"/>
        <v>#DIV/0!</v>
      </c>
      <c r="L208" s="146" t="e">
        <f t="shared" si="15"/>
        <v>#DIV/0!</v>
      </c>
      <c r="M208" t="e">
        <f t="shared" si="16"/>
        <v>#DIV/0!</v>
      </c>
      <c r="N208" s="222">
        <f t="shared" si="17"/>
        <v>0</v>
      </c>
    </row>
    <row r="209" spans="11:14" x14ac:dyDescent="0.25">
      <c r="K209" s="146" t="e">
        <f t="shared" si="14"/>
        <v>#DIV/0!</v>
      </c>
      <c r="L209" s="146" t="e">
        <f t="shared" si="15"/>
        <v>#DIV/0!</v>
      </c>
      <c r="M209" t="e">
        <f t="shared" si="16"/>
        <v>#DIV/0!</v>
      </c>
      <c r="N209" s="222">
        <f t="shared" si="17"/>
        <v>0</v>
      </c>
    </row>
    <row r="210" spans="11:14" x14ac:dyDescent="0.25">
      <c r="K210" s="146" t="e">
        <f t="shared" si="14"/>
        <v>#DIV/0!</v>
      </c>
      <c r="L210" s="146" t="e">
        <f t="shared" si="15"/>
        <v>#DIV/0!</v>
      </c>
      <c r="M210" t="e">
        <f t="shared" si="16"/>
        <v>#DIV/0!</v>
      </c>
      <c r="N210" s="222">
        <f t="shared" si="17"/>
        <v>0</v>
      </c>
    </row>
    <row r="211" spans="11:14" x14ac:dyDescent="0.25">
      <c r="K211" s="146" t="e">
        <f t="shared" si="14"/>
        <v>#DIV/0!</v>
      </c>
      <c r="L211" s="146" t="e">
        <f t="shared" si="15"/>
        <v>#DIV/0!</v>
      </c>
      <c r="M211" t="e">
        <f t="shared" si="16"/>
        <v>#DIV/0!</v>
      </c>
      <c r="N211" s="222">
        <f t="shared" si="17"/>
        <v>0</v>
      </c>
    </row>
    <row r="212" spans="11:14" x14ac:dyDescent="0.25">
      <c r="K212" s="146" t="e">
        <f t="shared" si="14"/>
        <v>#DIV/0!</v>
      </c>
      <c r="L212" s="146" t="e">
        <f t="shared" si="15"/>
        <v>#DIV/0!</v>
      </c>
      <c r="M212" t="e">
        <f t="shared" si="16"/>
        <v>#DIV/0!</v>
      </c>
      <c r="N212" s="222">
        <f t="shared" si="17"/>
        <v>0</v>
      </c>
    </row>
    <row r="213" spans="11:14" x14ac:dyDescent="0.25">
      <c r="K213" s="146" t="e">
        <f t="shared" si="14"/>
        <v>#DIV/0!</v>
      </c>
      <c r="L213" s="146" t="e">
        <f t="shared" si="15"/>
        <v>#DIV/0!</v>
      </c>
      <c r="M213" t="e">
        <f t="shared" si="16"/>
        <v>#DIV/0!</v>
      </c>
      <c r="N213" s="222">
        <f t="shared" si="17"/>
        <v>0</v>
      </c>
    </row>
    <row r="214" spans="11:14" x14ac:dyDescent="0.25">
      <c r="K214" s="146" t="e">
        <f t="shared" si="14"/>
        <v>#DIV/0!</v>
      </c>
      <c r="L214" s="146" t="e">
        <f t="shared" si="15"/>
        <v>#DIV/0!</v>
      </c>
      <c r="M214" t="e">
        <f t="shared" si="16"/>
        <v>#DIV/0!</v>
      </c>
      <c r="N214" s="222">
        <f t="shared" si="17"/>
        <v>0</v>
      </c>
    </row>
    <row r="215" spans="11:14" x14ac:dyDescent="0.25">
      <c r="K215" s="146" t="e">
        <f t="shared" si="14"/>
        <v>#DIV/0!</v>
      </c>
      <c r="L215" s="146" t="e">
        <f t="shared" si="15"/>
        <v>#DIV/0!</v>
      </c>
      <c r="M215" t="e">
        <f t="shared" si="16"/>
        <v>#DIV/0!</v>
      </c>
      <c r="N215" s="222">
        <f t="shared" si="17"/>
        <v>0</v>
      </c>
    </row>
    <row r="216" spans="11:14" x14ac:dyDescent="0.25">
      <c r="K216" s="146" t="e">
        <f t="shared" si="14"/>
        <v>#DIV/0!</v>
      </c>
      <c r="L216" s="146" t="e">
        <f t="shared" si="15"/>
        <v>#DIV/0!</v>
      </c>
      <c r="M216" t="e">
        <f t="shared" si="16"/>
        <v>#DIV/0!</v>
      </c>
      <c r="N216" s="222">
        <f t="shared" si="17"/>
        <v>0</v>
      </c>
    </row>
    <row r="217" spans="11:14" x14ac:dyDescent="0.25">
      <c r="K217" s="146" t="e">
        <f t="shared" si="14"/>
        <v>#DIV/0!</v>
      </c>
      <c r="L217" s="146" t="e">
        <f t="shared" si="15"/>
        <v>#DIV/0!</v>
      </c>
      <c r="M217" t="e">
        <f t="shared" si="16"/>
        <v>#DIV/0!</v>
      </c>
      <c r="N217" s="222">
        <f t="shared" si="17"/>
        <v>0</v>
      </c>
    </row>
    <row r="218" spans="11:14" x14ac:dyDescent="0.25">
      <c r="K218" s="146" t="e">
        <f t="shared" si="14"/>
        <v>#DIV/0!</v>
      </c>
      <c r="L218" s="146" t="e">
        <f t="shared" si="15"/>
        <v>#DIV/0!</v>
      </c>
      <c r="M218" t="e">
        <f t="shared" si="16"/>
        <v>#DIV/0!</v>
      </c>
      <c r="N218" s="222">
        <f t="shared" si="17"/>
        <v>0</v>
      </c>
    </row>
    <row r="219" spans="11:14" x14ac:dyDescent="0.25">
      <c r="K219" s="146" t="e">
        <f t="shared" si="14"/>
        <v>#DIV/0!</v>
      </c>
      <c r="L219" s="146" t="e">
        <f t="shared" si="15"/>
        <v>#DIV/0!</v>
      </c>
      <c r="M219" t="e">
        <f t="shared" si="16"/>
        <v>#DIV/0!</v>
      </c>
      <c r="N219" s="222">
        <f t="shared" si="17"/>
        <v>0</v>
      </c>
    </row>
    <row r="220" spans="11:14" x14ac:dyDescent="0.25">
      <c r="K220" s="146" t="e">
        <f t="shared" si="14"/>
        <v>#DIV/0!</v>
      </c>
      <c r="L220" s="146" t="e">
        <f t="shared" si="15"/>
        <v>#DIV/0!</v>
      </c>
      <c r="M220" t="e">
        <f t="shared" si="16"/>
        <v>#DIV/0!</v>
      </c>
      <c r="N220" s="222">
        <f t="shared" si="17"/>
        <v>0</v>
      </c>
    </row>
    <row r="221" spans="11:14" x14ac:dyDescent="0.25">
      <c r="K221" s="146" t="e">
        <f t="shared" si="14"/>
        <v>#DIV/0!</v>
      </c>
      <c r="L221" s="146" t="e">
        <f t="shared" si="15"/>
        <v>#DIV/0!</v>
      </c>
      <c r="M221" t="e">
        <f t="shared" si="16"/>
        <v>#DIV/0!</v>
      </c>
      <c r="N221" s="222">
        <f t="shared" si="17"/>
        <v>0</v>
      </c>
    </row>
    <row r="222" spans="11:14" x14ac:dyDescent="0.25">
      <c r="K222" s="146" t="e">
        <f t="shared" si="14"/>
        <v>#DIV/0!</v>
      </c>
      <c r="L222" s="146" t="e">
        <f t="shared" si="15"/>
        <v>#DIV/0!</v>
      </c>
      <c r="M222" t="e">
        <f t="shared" si="16"/>
        <v>#DIV/0!</v>
      </c>
      <c r="N222" s="222">
        <f t="shared" si="17"/>
        <v>0</v>
      </c>
    </row>
    <row r="223" spans="11:14" x14ac:dyDescent="0.25">
      <c r="K223" s="146" t="e">
        <f t="shared" si="14"/>
        <v>#DIV/0!</v>
      </c>
      <c r="L223" s="146" t="e">
        <f t="shared" si="15"/>
        <v>#DIV/0!</v>
      </c>
      <c r="M223" t="e">
        <f t="shared" si="16"/>
        <v>#DIV/0!</v>
      </c>
      <c r="N223" s="222">
        <f t="shared" si="17"/>
        <v>0</v>
      </c>
    </row>
    <row r="224" spans="11:14" x14ac:dyDescent="0.25">
      <c r="K224" s="146" t="e">
        <f t="shared" si="14"/>
        <v>#DIV/0!</v>
      </c>
      <c r="L224" s="146" t="e">
        <f t="shared" si="15"/>
        <v>#DIV/0!</v>
      </c>
      <c r="M224" t="e">
        <f t="shared" si="16"/>
        <v>#DIV/0!</v>
      </c>
      <c r="N224" s="222">
        <f t="shared" si="17"/>
        <v>0</v>
      </c>
    </row>
    <row r="225" spans="11:14" x14ac:dyDescent="0.25">
      <c r="K225" s="146" t="e">
        <f t="shared" si="14"/>
        <v>#DIV/0!</v>
      </c>
      <c r="L225" s="146" t="e">
        <f t="shared" si="15"/>
        <v>#DIV/0!</v>
      </c>
      <c r="M225" t="e">
        <f t="shared" si="16"/>
        <v>#DIV/0!</v>
      </c>
      <c r="N225" s="222">
        <f t="shared" si="17"/>
        <v>0</v>
      </c>
    </row>
    <row r="226" spans="11:14" x14ac:dyDescent="0.25">
      <c r="K226" s="146" t="e">
        <f t="shared" si="14"/>
        <v>#DIV/0!</v>
      </c>
      <c r="L226" s="146" t="e">
        <f t="shared" si="15"/>
        <v>#DIV/0!</v>
      </c>
      <c r="M226" t="e">
        <f t="shared" si="16"/>
        <v>#DIV/0!</v>
      </c>
      <c r="N226" s="222">
        <f t="shared" si="17"/>
        <v>0</v>
      </c>
    </row>
    <row r="227" spans="11:14" x14ac:dyDescent="0.25">
      <c r="K227" s="146" t="e">
        <f t="shared" si="14"/>
        <v>#DIV/0!</v>
      </c>
      <c r="L227" s="146" t="e">
        <f t="shared" si="15"/>
        <v>#DIV/0!</v>
      </c>
      <c r="M227" t="e">
        <f t="shared" si="16"/>
        <v>#DIV/0!</v>
      </c>
      <c r="N227" s="222">
        <f t="shared" si="17"/>
        <v>0</v>
      </c>
    </row>
    <row r="228" spans="11:14" x14ac:dyDescent="0.25">
      <c r="K228" s="146" t="e">
        <f t="shared" si="14"/>
        <v>#DIV/0!</v>
      </c>
      <c r="L228" s="146" t="e">
        <f t="shared" si="15"/>
        <v>#DIV/0!</v>
      </c>
      <c r="M228" t="e">
        <f t="shared" si="16"/>
        <v>#DIV/0!</v>
      </c>
      <c r="N228" s="222">
        <f t="shared" si="17"/>
        <v>0</v>
      </c>
    </row>
    <row r="229" spans="11:14" x14ac:dyDescent="0.25">
      <c r="K229" s="146" t="e">
        <f t="shared" si="14"/>
        <v>#DIV/0!</v>
      </c>
      <c r="L229" s="146" t="e">
        <f t="shared" si="15"/>
        <v>#DIV/0!</v>
      </c>
      <c r="M229" t="e">
        <f t="shared" si="16"/>
        <v>#DIV/0!</v>
      </c>
      <c r="N229" s="222">
        <f t="shared" si="17"/>
        <v>0</v>
      </c>
    </row>
    <row r="230" spans="11:14" x14ac:dyDescent="0.25">
      <c r="K230" s="146" t="e">
        <f t="shared" si="14"/>
        <v>#DIV/0!</v>
      </c>
      <c r="L230" s="146" t="e">
        <f t="shared" si="15"/>
        <v>#DIV/0!</v>
      </c>
      <c r="M230" t="e">
        <f t="shared" si="16"/>
        <v>#DIV/0!</v>
      </c>
      <c r="N230" s="222">
        <f t="shared" si="17"/>
        <v>0</v>
      </c>
    </row>
    <row r="231" spans="11:14" x14ac:dyDescent="0.25">
      <c r="K231" s="146" t="e">
        <f t="shared" si="14"/>
        <v>#DIV/0!</v>
      </c>
      <c r="L231" s="146" t="e">
        <f t="shared" si="15"/>
        <v>#DIV/0!</v>
      </c>
      <c r="M231" t="e">
        <f t="shared" si="16"/>
        <v>#DIV/0!</v>
      </c>
      <c r="N231" s="222">
        <f t="shared" si="17"/>
        <v>0</v>
      </c>
    </row>
    <row r="232" spans="11:14" x14ac:dyDescent="0.25">
      <c r="K232" s="146" t="e">
        <f t="shared" si="14"/>
        <v>#DIV/0!</v>
      </c>
      <c r="L232" s="146" t="e">
        <f t="shared" si="15"/>
        <v>#DIV/0!</v>
      </c>
      <c r="M232" t="e">
        <f t="shared" si="16"/>
        <v>#DIV/0!</v>
      </c>
      <c r="N232" s="222">
        <f t="shared" si="17"/>
        <v>0</v>
      </c>
    </row>
    <row r="233" spans="11:14" x14ac:dyDescent="0.25">
      <c r="K233" s="146" t="e">
        <f t="shared" si="14"/>
        <v>#DIV/0!</v>
      </c>
      <c r="L233" s="146" t="e">
        <f t="shared" si="15"/>
        <v>#DIV/0!</v>
      </c>
      <c r="M233" t="e">
        <f t="shared" si="16"/>
        <v>#DIV/0!</v>
      </c>
      <c r="N233" s="222">
        <f t="shared" si="17"/>
        <v>0</v>
      </c>
    </row>
    <row r="234" spans="11:14" x14ac:dyDescent="0.25">
      <c r="K234" s="146" t="e">
        <f t="shared" si="14"/>
        <v>#DIV/0!</v>
      </c>
      <c r="L234" s="146" t="e">
        <f t="shared" si="15"/>
        <v>#DIV/0!</v>
      </c>
      <c r="M234" t="e">
        <f t="shared" si="16"/>
        <v>#DIV/0!</v>
      </c>
      <c r="N234" s="222">
        <f t="shared" si="17"/>
        <v>0</v>
      </c>
    </row>
    <row r="235" spans="11:14" x14ac:dyDescent="0.25">
      <c r="K235" s="146" t="e">
        <f t="shared" si="14"/>
        <v>#DIV/0!</v>
      </c>
      <c r="L235" s="146" t="e">
        <f t="shared" si="15"/>
        <v>#DIV/0!</v>
      </c>
      <c r="M235" t="e">
        <f t="shared" si="16"/>
        <v>#DIV/0!</v>
      </c>
      <c r="N235" s="222">
        <f t="shared" si="17"/>
        <v>0</v>
      </c>
    </row>
    <row r="236" spans="11:14" x14ac:dyDescent="0.25">
      <c r="K236" s="146" t="e">
        <f t="shared" si="14"/>
        <v>#DIV/0!</v>
      </c>
      <c r="L236" s="146" t="e">
        <f t="shared" si="15"/>
        <v>#DIV/0!</v>
      </c>
      <c r="M236" t="e">
        <f t="shared" si="16"/>
        <v>#DIV/0!</v>
      </c>
      <c r="N236" s="222">
        <f t="shared" si="17"/>
        <v>0</v>
      </c>
    </row>
    <row r="237" spans="11:14" x14ac:dyDescent="0.25">
      <c r="K237" s="146" t="e">
        <f t="shared" si="14"/>
        <v>#DIV/0!</v>
      </c>
      <c r="L237" s="146" t="e">
        <f t="shared" si="15"/>
        <v>#DIV/0!</v>
      </c>
      <c r="M237" t="e">
        <f t="shared" si="16"/>
        <v>#DIV/0!</v>
      </c>
      <c r="N237" s="222">
        <f t="shared" si="17"/>
        <v>0</v>
      </c>
    </row>
    <row r="238" spans="11:14" x14ac:dyDescent="0.25">
      <c r="K238" s="146" t="e">
        <f t="shared" si="14"/>
        <v>#DIV/0!</v>
      </c>
      <c r="L238" s="146" t="e">
        <f t="shared" si="15"/>
        <v>#DIV/0!</v>
      </c>
      <c r="M238" t="e">
        <f t="shared" si="16"/>
        <v>#DIV/0!</v>
      </c>
      <c r="N238" s="222">
        <f t="shared" si="17"/>
        <v>0</v>
      </c>
    </row>
    <row r="239" spans="11:14" x14ac:dyDescent="0.25">
      <c r="K239" s="146" t="e">
        <f t="shared" si="14"/>
        <v>#DIV/0!</v>
      </c>
      <c r="L239" s="146" t="e">
        <f t="shared" si="15"/>
        <v>#DIV/0!</v>
      </c>
      <c r="M239" t="e">
        <f t="shared" si="16"/>
        <v>#DIV/0!</v>
      </c>
      <c r="N239" s="222">
        <f t="shared" si="17"/>
        <v>0</v>
      </c>
    </row>
    <row r="240" spans="11:14" x14ac:dyDescent="0.25">
      <c r="K240" s="146" t="e">
        <f t="shared" si="14"/>
        <v>#DIV/0!</v>
      </c>
      <c r="L240" s="146" t="e">
        <f t="shared" si="15"/>
        <v>#DIV/0!</v>
      </c>
      <c r="M240" t="e">
        <f t="shared" si="16"/>
        <v>#DIV/0!</v>
      </c>
      <c r="N240" s="222">
        <f t="shared" si="17"/>
        <v>0</v>
      </c>
    </row>
    <row r="241" spans="11:14" x14ac:dyDescent="0.25">
      <c r="K241" s="146" t="e">
        <f t="shared" si="14"/>
        <v>#DIV/0!</v>
      </c>
      <c r="L241" s="146" t="e">
        <f t="shared" si="15"/>
        <v>#DIV/0!</v>
      </c>
      <c r="M241" t="e">
        <f t="shared" si="16"/>
        <v>#DIV/0!</v>
      </c>
      <c r="N241" s="222">
        <f t="shared" si="17"/>
        <v>0</v>
      </c>
    </row>
    <row r="242" spans="11:14" x14ac:dyDescent="0.25">
      <c r="K242" s="146" t="e">
        <f t="shared" si="14"/>
        <v>#DIV/0!</v>
      </c>
      <c r="L242" s="146" t="e">
        <f t="shared" si="15"/>
        <v>#DIV/0!</v>
      </c>
      <c r="M242" t="e">
        <f t="shared" si="16"/>
        <v>#DIV/0!</v>
      </c>
      <c r="N242" s="222">
        <f t="shared" si="17"/>
        <v>0</v>
      </c>
    </row>
    <row r="243" spans="11:14" x14ac:dyDescent="0.25">
      <c r="K243" s="146" t="e">
        <f t="shared" si="14"/>
        <v>#DIV/0!</v>
      </c>
      <c r="L243" s="146" t="e">
        <f t="shared" si="15"/>
        <v>#DIV/0!</v>
      </c>
      <c r="M243" t="e">
        <f t="shared" si="16"/>
        <v>#DIV/0!</v>
      </c>
      <c r="N243" s="222">
        <f t="shared" si="17"/>
        <v>0</v>
      </c>
    </row>
    <row r="244" spans="11:14" x14ac:dyDescent="0.25">
      <c r="K244" s="146" t="e">
        <f t="shared" si="14"/>
        <v>#DIV/0!</v>
      </c>
      <c r="L244" s="146" t="e">
        <f t="shared" si="15"/>
        <v>#DIV/0!</v>
      </c>
      <c r="M244" t="e">
        <f t="shared" si="16"/>
        <v>#DIV/0!</v>
      </c>
      <c r="N244" s="222">
        <f t="shared" si="17"/>
        <v>0</v>
      </c>
    </row>
    <row r="245" spans="11:14" x14ac:dyDescent="0.25">
      <c r="K245" s="146" t="e">
        <f t="shared" si="14"/>
        <v>#DIV/0!</v>
      </c>
      <c r="L245" s="146" t="e">
        <f t="shared" si="15"/>
        <v>#DIV/0!</v>
      </c>
      <c r="M245" t="e">
        <f t="shared" si="16"/>
        <v>#DIV/0!</v>
      </c>
      <c r="N245" s="222">
        <f t="shared" si="17"/>
        <v>0</v>
      </c>
    </row>
    <row r="246" spans="11:14" x14ac:dyDescent="0.25">
      <c r="K246" s="146" t="e">
        <f t="shared" si="14"/>
        <v>#DIV/0!</v>
      </c>
      <c r="L246" s="146" t="e">
        <f t="shared" si="15"/>
        <v>#DIV/0!</v>
      </c>
      <c r="M246" t="e">
        <f t="shared" si="16"/>
        <v>#DIV/0!</v>
      </c>
      <c r="N246" s="222">
        <f t="shared" si="17"/>
        <v>0</v>
      </c>
    </row>
    <row r="247" spans="11:14" x14ac:dyDescent="0.25">
      <c r="K247" s="146" t="e">
        <f t="shared" si="14"/>
        <v>#DIV/0!</v>
      </c>
      <c r="L247" s="146" t="e">
        <f t="shared" si="15"/>
        <v>#DIV/0!</v>
      </c>
      <c r="M247" t="e">
        <f t="shared" si="16"/>
        <v>#DIV/0!</v>
      </c>
      <c r="N247" s="222">
        <f t="shared" si="17"/>
        <v>0</v>
      </c>
    </row>
    <row r="248" spans="11:14" x14ac:dyDescent="0.25">
      <c r="K248" s="146" t="e">
        <f t="shared" si="14"/>
        <v>#DIV/0!</v>
      </c>
      <c r="L248" s="146" t="e">
        <f t="shared" si="15"/>
        <v>#DIV/0!</v>
      </c>
      <c r="M248" t="e">
        <f t="shared" si="16"/>
        <v>#DIV/0!</v>
      </c>
      <c r="N248" s="222">
        <f t="shared" si="17"/>
        <v>0</v>
      </c>
    </row>
    <row r="249" spans="11:14" x14ac:dyDescent="0.25">
      <c r="K249" s="146" t="e">
        <f t="shared" si="14"/>
        <v>#DIV/0!</v>
      </c>
      <c r="L249" s="146" t="e">
        <f t="shared" si="15"/>
        <v>#DIV/0!</v>
      </c>
      <c r="M249" t="e">
        <f t="shared" si="16"/>
        <v>#DIV/0!</v>
      </c>
      <c r="N249" s="222">
        <f t="shared" si="17"/>
        <v>0</v>
      </c>
    </row>
    <row r="250" spans="11:14" x14ac:dyDescent="0.25">
      <c r="K250" s="146" t="e">
        <f t="shared" si="14"/>
        <v>#DIV/0!</v>
      </c>
      <c r="L250" s="146" t="e">
        <f t="shared" si="15"/>
        <v>#DIV/0!</v>
      </c>
      <c r="M250" t="e">
        <f t="shared" si="16"/>
        <v>#DIV/0!</v>
      </c>
      <c r="N250" s="222">
        <f t="shared" si="17"/>
        <v>0</v>
      </c>
    </row>
    <row r="251" spans="11:14" x14ac:dyDescent="0.25">
      <c r="K251" s="146" t="e">
        <f t="shared" si="14"/>
        <v>#DIV/0!</v>
      </c>
      <c r="L251" s="146" t="e">
        <f t="shared" si="15"/>
        <v>#DIV/0!</v>
      </c>
      <c r="M251" t="e">
        <f t="shared" si="16"/>
        <v>#DIV/0!</v>
      </c>
      <c r="N251" s="222">
        <f t="shared" si="17"/>
        <v>0</v>
      </c>
    </row>
    <row r="252" spans="11:14" x14ac:dyDescent="0.25">
      <c r="K252" s="146" t="e">
        <f t="shared" si="14"/>
        <v>#DIV/0!</v>
      </c>
      <c r="L252" s="146" t="e">
        <f t="shared" si="15"/>
        <v>#DIV/0!</v>
      </c>
      <c r="M252" t="e">
        <f t="shared" si="16"/>
        <v>#DIV/0!</v>
      </c>
      <c r="N252" s="222">
        <f t="shared" si="17"/>
        <v>0</v>
      </c>
    </row>
    <row r="253" spans="11:14" x14ac:dyDescent="0.25">
      <c r="K253" s="146" t="e">
        <f t="shared" si="14"/>
        <v>#DIV/0!</v>
      </c>
      <c r="L253" s="146" t="e">
        <f t="shared" si="15"/>
        <v>#DIV/0!</v>
      </c>
      <c r="M253" t="e">
        <f t="shared" si="16"/>
        <v>#DIV/0!</v>
      </c>
      <c r="N253" s="222">
        <f t="shared" si="17"/>
        <v>0</v>
      </c>
    </row>
    <row r="254" spans="11:14" x14ac:dyDescent="0.25">
      <c r="K254" s="146" t="e">
        <f t="shared" si="14"/>
        <v>#DIV/0!</v>
      </c>
      <c r="L254" s="146" t="e">
        <f t="shared" si="15"/>
        <v>#DIV/0!</v>
      </c>
      <c r="M254" t="e">
        <f t="shared" si="16"/>
        <v>#DIV/0!</v>
      </c>
      <c r="N254" s="222">
        <f t="shared" si="17"/>
        <v>0</v>
      </c>
    </row>
    <row r="255" spans="11:14" x14ac:dyDescent="0.25">
      <c r="K255" s="146" t="e">
        <f t="shared" si="14"/>
        <v>#DIV/0!</v>
      </c>
      <c r="L255" s="146" t="e">
        <f t="shared" si="15"/>
        <v>#DIV/0!</v>
      </c>
      <c r="M255" t="e">
        <f t="shared" si="16"/>
        <v>#DIV/0!</v>
      </c>
      <c r="N255" s="222">
        <f t="shared" si="17"/>
        <v>0</v>
      </c>
    </row>
    <row r="256" spans="11:14" x14ac:dyDescent="0.25">
      <c r="K256" s="146" t="e">
        <f t="shared" si="14"/>
        <v>#DIV/0!</v>
      </c>
      <c r="L256" s="146" t="e">
        <f t="shared" si="15"/>
        <v>#DIV/0!</v>
      </c>
      <c r="M256" t="e">
        <f t="shared" si="16"/>
        <v>#DIV/0!</v>
      </c>
      <c r="N256" s="222">
        <f t="shared" si="17"/>
        <v>0</v>
      </c>
    </row>
    <row r="257" spans="11:14" x14ac:dyDescent="0.25">
      <c r="K257" s="146" t="e">
        <f t="shared" si="14"/>
        <v>#DIV/0!</v>
      </c>
      <c r="L257" s="146" t="e">
        <f t="shared" si="15"/>
        <v>#DIV/0!</v>
      </c>
      <c r="M257" t="e">
        <f t="shared" si="16"/>
        <v>#DIV/0!</v>
      </c>
      <c r="N257" s="222">
        <f t="shared" si="17"/>
        <v>0</v>
      </c>
    </row>
    <row r="258" spans="11:14" x14ac:dyDescent="0.25">
      <c r="K258" s="146" t="e">
        <f t="shared" ref="K258:K321" si="18">D258/E258</f>
        <v>#DIV/0!</v>
      </c>
      <c r="L258" s="146" t="e">
        <f t="shared" ref="L258:L321" si="19">D258/(C258+D258)</f>
        <v>#DIV/0!</v>
      </c>
      <c r="M258" t="e">
        <f t="shared" ref="M258:M321" si="20">IF(OR(IF(K258&lt;0.2,1,0),IF(L258&lt;0.5,1,0)),1,0)</f>
        <v>#DIV/0!</v>
      </c>
      <c r="N258" s="222">
        <f t="shared" ref="N258:N321" si="21">G258+H258+I258+J258</f>
        <v>0</v>
      </c>
    </row>
    <row r="259" spans="11:14" x14ac:dyDescent="0.25">
      <c r="K259" s="146" t="e">
        <f t="shared" si="18"/>
        <v>#DIV/0!</v>
      </c>
      <c r="L259" s="146" t="e">
        <f t="shared" si="19"/>
        <v>#DIV/0!</v>
      </c>
      <c r="M259" t="e">
        <f t="shared" si="20"/>
        <v>#DIV/0!</v>
      </c>
      <c r="N259" s="222">
        <f t="shared" si="21"/>
        <v>0</v>
      </c>
    </row>
    <row r="260" spans="11:14" x14ac:dyDescent="0.25">
      <c r="K260" s="146" t="e">
        <f t="shared" si="18"/>
        <v>#DIV/0!</v>
      </c>
      <c r="L260" s="146" t="e">
        <f t="shared" si="19"/>
        <v>#DIV/0!</v>
      </c>
      <c r="M260" t="e">
        <f t="shared" si="20"/>
        <v>#DIV/0!</v>
      </c>
      <c r="N260" s="222">
        <f t="shared" si="21"/>
        <v>0</v>
      </c>
    </row>
    <row r="261" spans="11:14" x14ac:dyDescent="0.25">
      <c r="K261" s="146" t="e">
        <f t="shared" si="18"/>
        <v>#DIV/0!</v>
      </c>
      <c r="L261" s="146" t="e">
        <f t="shared" si="19"/>
        <v>#DIV/0!</v>
      </c>
      <c r="M261" t="e">
        <f t="shared" si="20"/>
        <v>#DIV/0!</v>
      </c>
      <c r="N261" s="222">
        <f t="shared" si="21"/>
        <v>0</v>
      </c>
    </row>
    <row r="262" spans="11:14" x14ac:dyDescent="0.25">
      <c r="K262" s="146" t="e">
        <f t="shared" si="18"/>
        <v>#DIV/0!</v>
      </c>
      <c r="L262" s="146" t="e">
        <f t="shared" si="19"/>
        <v>#DIV/0!</v>
      </c>
      <c r="M262" t="e">
        <f t="shared" si="20"/>
        <v>#DIV/0!</v>
      </c>
      <c r="N262" s="222">
        <f t="shared" si="21"/>
        <v>0</v>
      </c>
    </row>
    <row r="263" spans="11:14" x14ac:dyDescent="0.25">
      <c r="K263" s="146" t="e">
        <f t="shared" si="18"/>
        <v>#DIV/0!</v>
      </c>
      <c r="L263" s="146" t="e">
        <f t="shared" si="19"/>
        <v>#DIV/0!</v>
      </c>
      <c r="M263" t="e">
        <f t="shared" si="20"/>
        <v>#DIV/0!</v>
      </c>
      <c r="N263" s="222">
        <f t="shared" si="21"/>
        <v>0</v>
      </c>
    </row>
    <row r="264" spans="11:14" x14ac:dyDescent="0.25">
      <c r="K264" s="146" t="e">
        <f t="shared" si="18"/>
        <v>#DIV/0!</v>
      </c>
      <c r="L264" s="146" t="e">
        <f t="shared" si="19"/>
        <v>#DIV/0!</v>
      </c>
      <c r="M264" t="e">
        <f t="shared" si="20"/>
        <v>#DIV/0!</v>
      </c>
      <c r="N264" s="222">
        <f t="shared" si="21"/>
        <v>0</v>
      </c>
    </row>
    <row r="265" spans="11:14" x14ac:dyDescent="0.25">
      <c r="K265" s="146" t="e">
        <f t="shared" si="18"/>
        <v>#DIV/0!</v>
      </c>
      <c r="L265" s="146" t="e">
        <f t="shared" si="19"/>
        <v>#DIV/0!</v>
      </c>
      <c r="M265" t="e">
        <f t="shared" si="20"/>
        <v>#DIV/0!</v>
      </c>
      <c r="N265" s="222">
        <f t="shared" si="21"/>
        <v>0</v>
      </c>
    </row>
    <row r="266" spans="11:14" x14ac:dyDescent="0.25">
      <c r="K266" s="146" t="e">
        <f t="shared" si="18"/>
        <v>#DIV/0!</v>
      </c>
      <c r="L266" s="146" t="e">
        <f t="shared" si="19"/>
        <v>#DIV/0!</v>
      </c>
      <c r="M266" t="e">
        <f t="shared" si="20"/>
        <v>#DIV/0!</v>
      </c>
      <c r="N266" s="222">
        <f t="shared" si="21"/>
        <v>0</v>
      </c>
    </row>
    <row r="267" spans="11:14" x14ac:dyDescent="0.25">
      <c r="K267" s="146" t="e">
        <f t="shared" si="18"/>
        <v>#DIV/0!</v>
      </c>
      <c r="L267" s="146" t="e">
        <f t="shared" si="19"/>
        <v>#DIV/0!</v>
      </c>
      <c r="M267" t="e">
        <f t="shared" si="20"/>
        <v>#DIV/0!</v>
      </c>
      <c r="N267" s="222">
        <f t="shared" si="21"/>
        <v>0</v>
      </c>
    </row>
    <row r="268" spans="11:14" x14ac:dyDescent="0.25">
      <c r="K268" s="146" t="e">
        <f t="shared" si="18"/>
        <v>#DIV/0!</v>
      </c>
      <c r="L268" s="146" t="e">
        <f t="shared" si="19"/>
        <v>#DIV/0!</v>
      </c>
      <c r="M268" t="e">
        <f t="shared" si="20"/>
        <v>#DIV/0!</v>
      </c>
      <c r="N268" s="222">
        <f t="shared" si="21"/>
        <v>0</v>
      </c>
    </row>
    <row r="269" spans="11:14" x14ac:dyDescent="0.25">
      <c r="K269" s="146" t="e">
        <f t="shared" si="18"/>
        <v>#DIV/0!</v>
      </c>
      <c r="L269" s="146" t="e">
        <f t="shared" si="19"/>
        <v>#DIV/0!</v>
      </c>
      <c r="M269" t="e">
        <f t="shared" si="20"/>
        <v>#DIV/0!</v>
      </c>
      <c r="N269" s="222">
        <f t="shared" si="21"/>
        <v>0</v>
      </c>
    </row>
    <row r="270" spans="11:14" x14ac:dyDescent="0.25">
      <c r="K270" s="146" t="e">
        <f t="shared" si="18"/>
        <v>#DIV/0!</v>
      </c>
      <c r="L270" s="146" t="e">
        <f t="shared" si="19"/>
        <v>#DIV/0!</v>
      </c>
      <c r="M270" t="e">
        <f t="shared" si="20"/>
        <v>#DIV/0!</v>
      </c>
      <c r="N270" s="222">
        <f t="shared" si="21"/>
        <v>0</v>
      </c>
    </row>
    <row r="271" spans="11:14" x14ac:dyDescent="0.25">
      <c r="K271" s="146" t="e">
        <f t="shared" si="18"/>
        <v>#DIV/0!</v>
      </c>
      <c r="L271" s="146" t="e">
        <f t="shared" si="19"/>
        <v>#DIV/0!</v>
      </c>
      <c r="M271" t="e">
        <f t="shared" si="20"/>
        <v>#DIV/0!</v>
      </c>
      <c r="N271" s="222">
        <f t="shared" si="21"/>
        <v>0</v>
      </c>
    </row>
    <row r="272" spans="11:14" x14ac:dyDescent="0.25">
      <c r="K272" s="146" t="e">
        <f t="shared" si="18"/>
        <v>#DIV/0!</v>
      </c>
      <c r="L272" s="146" t="e">
        <f t="shared" si="19"/>
        <v>#DIV/0!</v>
      </c>
      <c r="M272" t="e">
        <f t="shared" si="20"/>
        <v>#DIV/0!</v>
      </c>
      <c r="N272" s="222">
        <f t="shared" si="21"/>
        <v>0</v>
      </c>
    </row>
    <row r="273" spans="11:14" x14ac:dyDescent="0.25">
      <c r="K273" s="146" t="e">
        <f t="shared" si="18"/>
        <v>#DIV/0!</v>
      </c>
      <c r="L273" s="146" t="e">
        <f t="shared" si="19"/>
        <v>#DIV/0!</v>
      </c>
      <c r="M273" t="e">
        <f t="shared" si="20"/>
        <v>#DIV/0!</v>
      </c>
      <c r="N273" s="222">
        <f t="shared" si="21"/>
        <v>0</v>
      </c>
    </row>
    <row r="274" spans="11:14" x14ac:dyDescent="0.25">
      <c r="K274" s="146" t="e">
        <f t="shared" si="18"/>
        <v>#DIV/0!</v>
      </c>
      <c r="L274" s="146" t="e">
        <f t="shared" si="19"/>
        <v>#DIV/0!</v>
      </c>
      <c r="M274" t="e">
        <f t="shared" si="20"/>
        <v>#DIV/0!</v>
      </c>
      <c r="N274" s="222">
        <f t="shared" si="21"/>
        <v>0</v>
      </c>
    </row>
    <row r="275" spans="11:14" x14ac:dyDescent="0.25">
      <c r="K275" s="146" t="e">
        <f t="shared" si="18"/>
        <v>#DIV/0!</v>
      </c>
      <c r="L275" s="146" t="e">
        <f t="shared" si="19"/>
        <v>#DIV/0!</v>
      </c>
      <c r="M275" t="e">
        <f t="shared" si="20"/>
        <v>#DIV/0!</v>
      </c>
      <c r="N275" s="222">
        <f t="shared" si="21"/>
        <v>0</v>
      </c>
    </row>
    <row r="276" spans="11:14" x14ac:dyDescent="0.25">
      <c r="K276" s="146" t="e">
        <f t="shared" si="18"/>
        <v>#DIV/0!</v>
      </c>
      <c r="L276" s="146" t="e">
        <f t="shared" si="19"/>
        <v>#DIV/0!</v>
      </c>
      <c r="M276" t="e">
        <f t="shared" si="20"/>
        <v>#DIV/0!</v>
      </c>
      <c r="N276" s="222">
        <f t="shared" si="21"/>
        <v>0</v>
      </c>
    </row>
    <row r="277" spans="11:14" x14ac:dyDescent="0.25">
      <c r="K277" s="146" t="e">
        <f t="shared" si="18"/>
        <v>#DIV/0!</v>
      </c>
      <c r="L277" s="146" t="e">
        <f t="shared" si="19"/>
        <v>#DIV/0!</v>
      </c>
      <c r="M277" t="e">
        <f t="shared" si="20"/>
        <v>#DIV/0!</v>
      </c>
      <c r="N277" s="222">
        <f t="shared" si="21"/>
        <v>0</v>
      </c>
    </row>
    <row r="278" spans="11:14" x14ac:dyDescent="0.25">
      <c r="K278" s="146" t="e">
        <f t="shared" si="18"/>
        <v>#DIV/0!</v>
      </c>
      <c r="L278" s="146" t="e">
        <f t="shared" si="19"/>
        <v>#DIV/0!</v>
      </c>
      <c r="M278" t="e">
        <f t="shared" si="20"/>
        <v>#DIV/0!</v>
      </c>
      <c r="N278" s="222">
        <f t="shared" si="21"/>
        <v>0</v>
      </c>
    </row>
    <row r="279" spans="11:14" x14ac:dyDescent="0.25">
      <c r="K279" s="146" t="e">
        <f t="shared" si="18"/>
        <v>#DIV/0!</v>
      </c>
      <c r="L279" s="146" t="e">
        <f t="shared" si="19"/>
        <v>#DIV/0!</v>
      </c>
      <c r="M279" t="e">
        <f t="shared" si="20"/>
        <v>#DIV/0!</v>
      </c>
      <c r="N279" s="222">
        <f t="shared" si="21"/>
        <v>0</v>
      </c>
    </row>
    <row r="280" spans="11:14" x14ac:dyDescent="0.25">
      <c r="K280" s="146" t="e">
        <f t="shared" si="18"/>
        <v>#DIV/0!</v>
      </c>
      <c r="L280" s="146" t="e">
        <f t="shared" si="19"/>
        <v>#DIV/0!</v>
      </c>
      <c r="M280" t="e">
        <f t="shared" si="20"/>
        <v>#DIV/0!</v>
      </c>
      <c r="N280" s="222">
        <f t="shared" si="21"/>
        <v>0</v>
      </c>
    </row>
    <row r="281" spans="11:14" x14ac:dyDescent="0.25">
      <c r="K281" s="146" t="e">
        <f t="shared" si="18"/>
        <v>#DIV/0!</v>
      </c>
      <c r="L281" s="146" t="e">
        <f t="shared" si="19"/>
        <v>#DIV/0!</v>
      </c>
      <c r="M281" t="e">
        <f t="shared" si="20"/>
        <v>#DIV/0!</v>
      </c>
      <c r="N281" s="222">
        <f t="shared" si="21"/>
        <v>0</v>
      </c>
    </row>
    <row r="282" spans="11:14" x14ac:dyDescent="0.25">
      <c r="K282" s="146" t="e">
        <f t="shared" si="18"/>
        <v>#DIV/0!</v>
      </c>
      <c r="L282" s="146" t="e">
        <f t="shared" si="19"/>
        <v>#DIV/0!</v>
      </c>
      <c r="M282" t="e">
        <f t="shared" si="20"/>
        <v>#DIV/0!</v>
      </c>
      <c r="N282" s="222">
        <f t="shared" si="21"/>
        <v>0</v>
      </c>
    </row>
    <row r="283" spans="11:14" x14ac:dyDescent="0.25">
      <c r="K283" s="146" t="e">
        <f t="shared" si="18"/>
        <v>#DIV/0!</v>
      </c>
      <c r="L283" s="146" t="e">
        <f t="shared" si="19"/>
        <v>#DIV/0!</v>
      </c>
      <c r="M283" t="e">
        <f t="shared" si="20"/>
        <v>#DIV/0!</v>
      </c>
      <c r="N283" s="222">
        <f t="shared" si="21"/>
        <v>0</v>
      </c>
    </row>
    <row r="284" spans="11:14" x14ac:dyDescent="0.25">
      <c r="K284" s="146" t="e">
        <f t="shared" si="18"/>
        <v>#DIV/0!</v>
      </c>
      <c r="L284" s="146" t="e">
        <f t="shared" si="19"/>
        <v>#DIV/0!</v>
      </c>
      <c r="M284" t="e">
        <f t="shared" si="20"/>
        <v>#DIV/0!</v>
      </c>
      <c r="N284" s="222">
        <f t="shared" si="21"/>
        <v>0</v>
      </c>
    </row>
    <row r="285" spans="11:14" x14ac:dyDescent="0.25">
      <c r="K285" s="146" t="e">
        <f t="shared" si="18"/>
        <v>#DIV/0!</v>
      </c>
      <c r="L285" s="146" t="e">
        <f t="shared" si="19"/>
        <v>#DIV/0!</v>
      </c>
      <c r="M285" t="e">
        <f t="shared" si="20"/>
        <v>#DIV/0!</v>
      </c>
      <c r="N285" s="222">
        <f t="shared" si="21"/>
        <v>0</v>
      </c>
    </row>
    <row r="286" spans="11:14" x14ac:dyDescent="0.25">
      <c r="K286" s="146" t="e">
        <f t="shared" si="18"/>
        <v>#DIV/0!</v>
      </c>
      <c r="L286" s="146" t="e">
        <f t="shared" si="19"/>
        <v>#DIV/0!</v>
      </c>
      <c r="M286" t="e">
        <f t="shared" si="20"/>
        <v>#DIV/0!</v>
      </c>
      <c r="N286" s="222">
        <f t="shared" si="21"/>
        <v>0</v>
      </c>
    </row>
    <row r="287" spans="11:14" x14ac:dyDescent="0.25">
      <c r="K287" s="146" t="e">
        <f t="shared" si="18"/>
        <v>#DIV/0!</v>
      </c>
      <c r="L287" s="146" t="e">
        <f t="shared" si="19"/>
        <v>#DIV/0!</v>
      </c>
      <c r="M287" t="e">
        <f t="shared" si="20"/>
        <v>#DIV/0!</v>
      </c>
      <c r="N287" s="222">
        <f t="shared" si="21"/>
        <v>0</v>
      </c>
    </row>
    <row r="288" spans="11:14" x14ac:dyDescent="0.25">
      <c r="K288" s="146" t="e">
        <f t="shared" si="18"/>
        <v>#DIV/0!</v>
      </c>
      <c r="L288" s="146" t="e">
        <f t="shared" si="19"/>
        <v>#DIV/0!</v>
      </c>
      <c r="M288" t="e">
        <f t="shared" si="20"/>
        <v>#DIV/0!</v>
      </c>
      <c r="N288" s="222">
        <f t="shared" si="21"/>
        <v>0</v>
      </c>
    </row>
    <row r="289" spans="11:14" x14ac:dyDescent="0.25">
      <c r="K289" s="146" t="e">
        <f t="shared" si="18"/>
        <v>#DIV/0!</v>
      </c>
      <c r="L289" s="146" t="e">
        <f t="shared" si="19"/>
        <v>#DIV/0!</v>
      </c>
      <c r="M289" t="e">
        <f t="shared" si="20"/>
        <v>#DIV/0!</v>
      </c>
      <c r="N289" s="222">
        <f t="shared" si="21"/>
        <v>0</v>
      </c>
    </row>
    <row r="290" spans="11:14" x14ac:dyDescent="0.25">
      <c r="K290" s="146" t="e">
        <f t="shared" si="18"/>
        <v>#DIV/0!</v>
      </c>
      <c r="L290" s="146" t="e">
        <f t="shared" si="19"/>
        <v>#DIV/0!</v>
      </c>
      <c r="M290" t="e">
        <f t="shared" si="20"/>
        <v>#DIV/0!</v>
      </c>
      <c r="N290" s="222">
        <f t="shared" si="21"/>
        <v>0</v>
      </c>
    </row>
    <row r="291" spans="11:14" x14ac:dyDescent="0.25">
      <c r="K291" s="146" t="e">
        <f t="shared" si="18"/>
        <v>#DIV/0!</v>
      </c>
      <c r="L291" s="146" t="e">
        <f t="shared" si="19"/>
        <v>#DIV/0!</v>
      </c>
      <c r="M291" t="e">
        <f t="shared" si="20"/>
        <v>#DIV/0!</v>
      </c>
      <c r="N291" s="222">
        <f t="shared" si="21"/>
        <v>0</v>
      </c>
    </row>
    <row r="292" spans="11:14" x14ac:dyDescent="0.25">
      <c r="K292" s="146" t="e">
        <f t="shared" si="18"/>
        <v>#DIV/0!</v>
      </c>
      <c r="L292" s="146" t="e">
        <f t="shared" si="19"/>
        <v>#DIV/0!</v>
      </c>
      <c r="M292" t="e">
        <f t="shared" si="20"/>
        <v>#DIV/0!</v>
      </c>
      <c r="N292" s="222">
        <f t="shared" si="21"/>
        <v>0</v>
      </c>
    </row>
    <row r="293" spans="11:14" x14ac:dyDescent="0.25">
      <c r="K293" s="146" t="e">
        <f t="shared" si="18"/>
        <v>#DIV/0!</v>
      </c>
      <c r="L293" s="146" t="e">
        <f t="shared" si="19"/>
        <v>#DIV/0!</v>
      </c>
      <c r="M293" t="e">
        <f t="shared" si="20"/>
        <v>#DIV/0!</v>
      </c>
      <c r="N293" s="222">
        <f t="shared" si="21"/>
        <v>0</v>
      </c>
    </row>
    <row r="294" spans="11:14" x14ac:dyDescent="0.25">
      <c r="K294" s="146" t="e">
        <f t="shared" si="18"/>
        <v>#DIV/0!</v>
      </c>
      <c r="L294" s="146" t="e">
        <f t="shared" si="19"/>
        <v>#DIV/0!</v>
      </c>
      <c r="M294" t="e">
        <f t="shared" si="20"/>
        <v>#DIV/0!</v>
      </c>
      <c r="N294" s="222">
        <f t="shared" si="21"/>
        <v>0</v>
      </c>
    </row>
    <row r="295" spans="11:14" x14ac:dyDescent="0.25">
      <c r="K295" s="146" t="e">
        <f t="shared" si="18"/>
        <v>#DIV/0!</v>
      </c>
      <c r="L295" s="146" t="e">
        <f t="shared" si="19"/>
        <v>#DIV/0!</v>
      </c>
      <c r="M295" t="e">
        <f t="shared" si="20"/>
        <v>#DIV/0!</v>
      </c>
      <c r="N295" s="222">
        <f t="shared" si="21"/>
        <v>0</v>
      </c>
    </row>
    <row r="296" spans="11:14" x14ac:dyDescent="0.25">
      <c r="K296" s="146" t="e">
        <f t="shared" si="18"/>
        <v>#DIV/0!</v>
      </c>
      <c r="L296" s="146" t="e">
        <f t="shared" si="19"/>
        <v>#DIV/0!</v>
      </c>
      <c r="M296" t="e">
        <f t="shared" si="20"/>
        <v>#DIV/0!</v>
      </c>
      <c r="N296" s="222">
        <f t="shared" si="21"/>
        <v>0</v>
      </c>
    </row>
    <row r="297" spans="11:14" x14ac:dyDescent="0.25">
      <c r="K297" s="146" t="e">
        <f t="shared" si="18"/>
        <v>#DIV/0!</v>
      </c>
      <c r="L297" s="146" t="e">
        <f t="shared" si="19"/>
        <v>#DIV/0!</v>
      </c>
      <c r="M297" t="e">
        <f t="shared" si="20"/>
        <v>#DIV/0!</v>
      </c>
      <c r="N297" s="222">
        <f t="shared" si="21"/>
        <v>0</v>
      </c>
    </row>
    <row r="298" spans="11:14" x14ac:dyDescent="0.25">
      <c r="K298" s="146" t="e">
        <f t="shared" si="18"/>
        <v>#DIV/0!</v>
      </c>
      <c r="L298" s="146" t="e">
        <f t="shared" si="19"/>
        <v>#DIV/0!</v>
      </c>
      <c r="M298" t="e">
        <f t="shared" si="20"/>
        <v>#DIV/0!</v>
      </c>
      <c r="N298" s="222">
        <f t="shared" si="21"/>
        <v>0</v>
      </c>
    </row>
    <row r="299" spans="11:14" x14ac:dyDescent="0.25">
      <c r="K299" s="146" t="e">
        <f t="shared" si="18"/>
        <v>#DIV/0!</v>
      </c>
      <c r="L299" s="146" t="e">
        <f t="shared" si="19"/>
        <v>#DIV/0!</v>
      </c>
      <c r="M299" t="e">
        <f t="shared" si="20"/>
        <v>#DIV/0!</v>
      </c>
      <c r="N299" s="222">
        <f t="shared" si="21"/>
        <v>0</v>
      </c>
    </row>
    <row r="300" spans="11:14" x14ac:dyDescent="0.25">
      <c r="K300" s="146" t="e">
        <f t="shared" si="18"/>
        <v>#DIV/0!</v>
      </c>
      <c r="L300" s="146" t="e">
        <f t="shared" si="19"/>
        <v>#DIV/0!</v>
      </c>
      <c r="M300" t="e">
        <f t="shared" si="20"/>
        <v>#DIV/0!</v>
      </c>
      <c r="N300" s="222">
        <f t="shared" si="21"/>
        <v>0</v>
      </c>
    </row>
    <row r="301" spans="11:14" x14ac:dyDescent="0.25">
      <c r="K301" s="146" t="e">
        <f t="shared" si="18"/>
        <v>#DIV/0!</v>
      </c>
      <c r="L301" s="146" t="e">
        <f t="shared" si="19"/>
        <v>#DIV/0!</v>
      </c>
      <c r="M301" t="e">
        <f t="shared" si="20"/>
        <v>#DIV/0!</v>
      </c>
      <c r="N301" s="222">
        <f t="shared" si="21"/>
        <v>0</v>
      </c>
    </row>
    <row r="302" spans="11:14" x14ac:dyDescent="0.25">
      <c r="K302" s="146" t="e">
        <f t="shared" si="18"/>
        <v>#DIV/0!</v>
      </c>
      <c r="L302" s="146" t="e">
        <f t="shared" si="19"/>
        <v>#DIV/0!</v>
      </c>
      <c r="M302" t="e">
        <f t="shared" si="20"/>
        <v>#DIV/0!</v>
      </c>
      <c r="N302" s="222">
        <f t="shared" si="21"/>
        <v>0</v>
      </c>
    </row>
    <row r="303" spans="11:14" x14ac:dyDescent="0.25">
      <c r="K303" s="146" t="e">
        <f t="shared" si="18"/>
        <v>#DIV/0!</v>
      </c>
      <c r="L303" s="146" t="e">
        <f t="shared" si="19"/>
        <v>#DIV/0!</v>
      </c>
      <c r="M303" t="e">
        <f t="shared" si="20"/>
        <v>#DIV/0!</v>
      </c>
      <c r="N303" s="222">
        <f t="shared" si="21"/>
        <v>0</v>
      </c>
    </row>
    <row r="304" spans="11:14" x14ac:dyDescent="0.25">
      <c r="K304" s="146" t="e">
        <f t="shared" si="18"/>
        <v>#DIV/0!</v>
      </c>
      <c r="L304" s="146" t="e">
        <f t="shared" si="19"/>
        <v>#DIV/0!</v>
      </c>
      <c r="M304" t="e">
        <f t="shared" si="20"/>
        <v>#DIV/0!</v>
      </c>
      <c r="N304" s="222">
        <f t="shared" si="21"/>
        <v>0</v>
      </c>
    </row>
    <row r="305" spans="11:14" x14ac:dyDescent="0.25">
      <c r="K305" s="146" t="e">
        <f t="shared" si="18"/>
        <v>#DIV/0!</v>
      </c>
      <c r="L305" s="146" t="e">
        <f t="shared" si="19"/>
        <v>#DIV/0!</v>
      </c>
      <c r="M305" t="e">
        <f t="shared" si="20"/>
        <v>#DIV/0!</v>
      </c>
      <c r="N305" s="222">
        <f t="shared" si="21"/>
        <v>0</v>
      </c>
    </row>
    <row r="306" spans="11:14" x14ac:dyDescent="0.25">
      <c r="K306" s="146" t="e">
        <f t="shared" si="18"/>
        <v>#DIV/0!</v>
      </c>
      <c r="L306" s="146" t="e">
        <f t="shared" si="19"/>
        <v>#DIV/0!</v>
      </c>
      <c r="M306" t="e">
        <f t="shared" si="20"/>
        <v>#DIV/0!</v>
      </c>
      <c r="N306" s="222">
        <f t="shared" si="21"/>
        <v>0</v>
      </c>
    </row>
    <row r="307" spans="11:14" x14ac:dyDescent="0.25">
      <c r="K307" s="146" t="e">
        <f t="shared" si="18"/>
        <v>#DIV/0!</v>
      </c>
      <c r="L307" s="146" t="e">
        <f t="shared" si="19"/>
        <v>#DIV/0!</v>
      </c>
      <c r="M307" t="e">
        <f t="shared" si="20"/>
        <v>#DIV/0!</v>
      </c>
      <c r="N307" s="222">
        <f t="shared" si="21"/>
        <v>0</v>
      </c>
    </row>
    <row r="308" spans="11:14" x14ac:dyDescent="0.25">
      <c r="K308" s="146" t="e">
        <f t="shared" si="18"/>
        <v>#DIV/0!</v>
      </c>
      <c r="L308" s="146" t="e">
        <f t="shared" si="19"/>
        <v>#DIV/0!</v>
      </c>
      <c r="M308" t="e">
        <f t="shared" si="20"/>
        <v>#DIV/0!</v>
      </c>
      <c r="N308" s="222">
        <f t="shared" si="21"/>
        <v>0</v>
      </c>
    </row>
    <row r="309" spans="11:14" x14ac:dyDescent="0.25">
      <c r="K309" s="146" t="e">
        <f t="shared" si="18"/>
        <v>#DIV/0!</v>
      </c>
      <c r="L309" s="146" t="e">
        <f t="shared" si="19"/>
        <v>#DIV/0!</v>
      </c>
      <c r="M309" t="e">
        <f t="shared" si="20"/>
        <v>#DIV/0!</v>
      </c>
      <c r="N309" s="222">
        <f t="shared" si="21"/>
        <v>0</v>
      </c>
    </row>
    <row r="310" spans="11:14" x14ac:dyDescent="0.25">
      <c r="K310" s="146" t="e">
        <f t="shared" si="18"/>
        <v>#DIV/0!</v>
      </c>
      <c r="L310" s="146" t="e">
        <f t="shared" si="19"/>
        <v>#DIV/0!</v>
      </c>
      <c r="M310" t="e">
        <f t="shared" si="20"/>
        <v>#DIV/0!</v>
      </c>
      <c r="N310" s="222">
        <f t="shared" si="21"/>
        <v>0</v>
      </c>
    </row>
    <row r="311" spans="11:14" x14ac:dyDescent="0.25">
      <c r="K311" s="146" t="e">
        <f t="shared" si="18"/>
        <v>#DIV/0!</v>
      </c>
      <c r="L311" s="146" t="e">
        <f t="shared" si="19"/>
        <v>#DIV/0!</v>
      </c>
      <c r="M311" t="e">
        <f t="shared" si="20"/>
        <v>#DIV/0!</v>
      </c>
      <c r="N311" s="222">
        <f t="shared" si="21"/>
        <v>0</v>
      </c>
    </row>
    <row r="312" spans="11:14" x14ac:dyDescent="0.25">
      <c r="K312" s="146" t="e">
        <f t="shared" si="18"/>
        <v>#DIV/0!</v>
      </c>
      <c r="L312" s="146" t="e">
        <f t="shared" si="19"/>
        <v>#DIV/0!</v>
      </c>
      <c r="M312" t="e">
        <f t="shared" si="20"/>
        <v>#DIV/0!</v>
      </c>
      <c r="N312" s="222">
        <f t="shared" si="21"/>
        <v>0</v>
      </c>
    </row>
    <row r="313" spans="11:14" x14ac:dyDescent="0.25">
      <c r="K313" s="146" t="e">
        <f t="shared" si="18"/>
        <v>#DIV/0!</v>
      </c>
      <c r="L313" s="146" t="e">
        <f t="shared" si="19"/>
        <v>#DIV/0!</v>
      </c>
      <c r="M313" t="e">
        <f t="shared" si="20"/>
        <v>#DIV/0!</v>
      </c>
      <c r="N313" s="222">
        <f t="shared" si="21"/>
        <v>0</v>
      </c>
    </row>
    <row r="314" spans="11:14" x14ac:dyDescent="0.25">
      <c r="K314" s="146" t="e">
        <f t="shared" si="18"/>
        <v>#DIV/0!</v>
      </c>
      <c r="L314" s="146" t="e">
        <f t="shared" si="19"/>
        <v>#DIV/0!</v>
      </c>
      <c r="M314" t="e">
        <f t="shared" si="20"/>
        <v>#DIV/0!</v>
      </c>
      <c r="N314" s="222">
        <f t="shared" si="21"/>
        <v>0</v>
      </c>
    </row>
    <row r="315" spans="11:14" x14ac:dyDescent="0.25">
      <c r="K315" s="146" t="e">
        <f t="shared" si="18"/>
        <v>#DIV/0!</v>
      </c>
      <c r="L315" s="146" t="e">
        <f t="shared" si="19"/>
        <v>#DIV/0!</v>
      </c>
      <c r="M315" t="e">
        <f t="shared" si="20"/>
        <v>#DIV/0!</v>
      </c>
      <c r="N315" s="222">
        <f t="shared" si="21"/>
        <v>0</v>
      </c>
    </row>
    <row r="316" spans="11:14" x14ac:dyDescent="0.25">
      <c r="K316" s="146" t="e">
        <f t="shared" si="18"/>
        <v>#DIV/0!</v>
      </c>
      <c r="L316" s="146" t="e">
        <f t="shared" si="19"/>
        <v>#DIV/0!</v>
      </c>
      <c r="M316" t="e">
        <f t="shared" si="20"/>
        <v>#DIV/0!</v>
      </c>
      <c r="N316" s="222">
        <f t="shared" si="21"/>
        <v>0</v>
      </c>
    </row>
    <row r="317" spans="11:14" x14ac:dyDescent="0.25">
      <c r="K317" s="146" t="e">
        <f t="shared" si="18"/>
        <v>#DIV/0!</v>
      </c>
      <c r="L317" s="146" t="e">
        <f t="shared" si="19"/>
        <v>#DIV/0!</v>
      </c>
      <c r="M317" t="e">
        <f t="shared" si="20"/>
        <v>#DIV/0!</v>
      </c>
      <c r="N317" s="222">
        <f t="shared" si="21"/>
        <v>0</v>
      </c>
    </row>
    <row r="318" spans="11:14" x14ac:dyDescent="0.25">
      <c r="K318" s="146" t="e">
        <f t="shared" si="18"/>
        <v>#DIV/0!</v>
      </c>
      <c r="L318" s="146" t="e">
        <f t="shared" si="19"/>
        <v>#DIV/0!</v>
      </c>
      <c r="M318" t="e">
        <f t="shared" si="20"/>
        <v>#DIV/0!</v>
      </c>
      <c r="N318" s="222">
        <f t="shared" si="21"/>
        <v>0</v>
      </c>
    </row>
    <row r="319" spans="11:14" x14ac:dyDescent="0.25">
      <c r="K319" s="146" t="e">
        <f t="shared" si="18"/>
        <v>#DIV/0!</v>
      </c>
      <c r="L319" s="146" t="e">
        <f t="shared" si="19"/>
        <v>#DIV/0!</v>
      </c>
      <c r="M319" t="e">
        <f t="shared" si="20"/>
        <v>#DIV/0!</v>
      </c>
      <c r="N319" s="222">
        <f t="shared" si="21"/>
        <v>0</v>
      </c>
    </row>
    <row r="320" spans="11:14" x14ac:dyDescent="0.25">
      <c r="K320" s="146" t="e">
        <f t="shared" si="18"/>
        <v>#DIV/0!</v>
      </c>
      <c r="L320" s="146" t="e">
        <f t="shared" si="19"/>
        <v>#DIV/0!</v>
      </c>
      <c r="M320" t="e">
        <f t="shared" si="20"/>
        <v>#DIV/0!</v>
      </c>
      <c r="N320" s="222">
        <f t="shared" si="21"/>
        <v>0</v>
      </c>
    </row>
    <row r="321" spans="11:14" x14ac:dyDescent="0.25">
      <c r="K321" s="146" t="e">
        <f t="shared" si="18"/>
        <v>#DIV/0!</v>
      </c>
      <c r="L321" s="146" t="e">
        <f t="shared" si="19"/>
        <v>#DIV/0!</v>
      </c>
      <c r="M321" t="e">
        <f t="shared" si="20"/>
        <v>#DIV/0!</v>
      </c>
      <c r="N321" s="222">
        <f t="shared" si="21"/>
        <v>0</v>
      </c>
    </row>
    <row r="322" spans="11:14" x14ac:dyDescent="0.25">
      <c r="K322" s="146" t="e">
        <f t="shared" ref="K322:K385" si="22">D322/E322</f>
        <v>#DIV/0!</v>
      </c>
      <c r="L322" s="146" t="e">
        <f t="shared" ref="L322:L385" si="23">D322/(C322+D322)</f>
        <v>#DIV/0!</v>
      </c>
      <c r="M322" t="e">
        <f t="shared" ref="M322:M385" si="24">IF(OR(IF(K322&lt;0.2,1,0),IF(L322&lt;0.5,1,0)),1,0)</f>
        <v>#DIV/0!</v>
      </c>
      <c r="N322" s="222">
        <f t="shared" ref="N322:N385" si="25">G322+H322+I322+J322</f>
        <v>0</v>
      </c>
    </row>
    <row r="323" spans="11:14" x14ac:dyDescent="0.25">
      <c r="K323" s="146" t="e">
        <f t="shared" si="22"/>
        <v>#DIV/0!</v>
      </c>
      <c r="L323" s="146" t="e">
        <f t="shared" si="23"/>
        <v>#DIV/0!</v>
      </c>
      <c r="M323" t="e">
        <f t="shared" si="24"/>
        <v>#DIV/0!</v>
      </c>
      <c r="N323" s="222">
        <f t="shared" si="25"/>
        <v>0</v>
      </c>
    </row>
    <row r="324" spans="11:14" x14ac:dyDescent="0.25">
      <c r="K324" s="146" t="e">
        <f t="shared" si="22"/>
        <v>#DIV/0!</v>
      </c>
      <c r="L324" s="146" t="e">
        <f t="shared" si="23"/>
        <v>#DIV/0!</v>
      </c>
      <c r="M324" t="e">
        <f t="shared" si="24"/>
        <v>#DIV/0!</v>
      </c>
      <c r="N324" s="222">
        <f t="shared" si="25"/>
        <v>0</v>
      </c>
    </row>
    <row r="325" spans="11:14" x14ac:dyDescent="0.25">
      <c r="K325" s="146" t="e">
        <f t="shared" si="22"/>
        <v>#DIV/0!</v>
      </c>
      <c r="L325" s="146" t="e">
        <f t="shared" si="23"/>
        <v>#DIV/0!</v>
      </c>
      <c r="M325" t="e">
        <f t="shared" si="24"/>
        <v>#DIV/0!</v>
      </c>
      <c r="N325" s="222">
        <f t="shared" si="25"/>
        <v>0</v>
      </c>
    </row>
    <row r="326" spans="11:14" x14ac:dyDescent="0.25">
      <c r="K326" s="146" t="e">
        <f t="shared" si="22"/>
        <v>#DIV/0!</v>
      </c>
      <c r="L326" s="146" t="e">
        <f t="shared" si="23"/>
        <v>#DIV/0!</v>
      </c>
      <c r="M326" t="e">
        <f t="shared" si="24"/>
        <v>#DIV/0!</v>
      </c>
      <c r="N326" s="222">
        <f t="shared" si="25"/>
        <v>0</v>
      </c>
    </row>
    <row r="327" spans="11:14" x14ac:dyDescent="0.25">
      <c r="K327" s="146" t="e">
        <f t="shared" si="22"/>
        <v>#DIV/0!</v>
      </c>
      <c r="L327" s="146" t="e">
        <f t="shared" si="23"/>
        <v>#DIV/0!</v>
      </c>
      <c r="M327" t="e">
        <f t="shared" si="24"/>
        <v>#DIV/0!</v>
      </c>
      <c r="N327" s="222">
        <f t="shared" si="25"/>
        <v>0</v>
      </c>
    </row>
    <row r="328" spans="11:14" x14ac:dyDescent="0.25">
      <c r="K328" s="146" t="e">
        <f t="shared" si="22"/>
        <v>#DIV/0!</v>
      </c>
      <c r="L328" s="146" t="e">
        <f t="shared" si="23"/>
        <v>#DIV/0!</v>
      </c>
      <c r="M328" t="e">
        <f t="shared" si="24"/>
        <v>#DIV/0!</v>
      </c>
      <c r="N328" s="222">
        <f t="shared" si="25"/>
        <v>0</v>
      </c>
    </row>
    <row r="329" spans="11:14" x14ac:dyDescent="0.25">
      <c r="K329" s="146" t="e">
        <f t="shared" si="22"/>
        <v>#DIV/0!</v>
      </c>
      <c r="L329" s="146" t="e">
        <f t="shared" si="23"/>
        <v>#DIV/0!</v>
      </c>
      <c r="M329" t="e">
        <f t="shared" si="24"/>
        <v>#DIV/0!</v>
      </c>
      <c r="N329" s="222">
        <f t="shared" si="25"/>
        <v>0</v>
      </c>
    </row>
    <row r="330" spans="11:14" x14ac:dyDescent="0.25">
      <c r="K330" s="146" t="e">
        <f t="shared" si="22"/>
        <v>#DIV/0!</v>
      </c>
      <c r="L330" s="146" t="e">
        <f t="shared" si="23"/>
        <v>#DIV/0!</v>
      </c>
      <c r="M330" t="e">
        <f t="shared" si="24"/>
        <v>#DIV/0!</v>
      </c>
      <c r="N330" s="222">
        <f t="shared" si="25"/>
        <v>0</v>
      </c>
    </row>
    <row r="331" spans="11:14" x14ac:dyDescent="0.25">
      <c r="K331" s="146" t="e">
        <f t="shared" si="22"/>
        <v>#DIV/0!</v>
      </c>
      <c r="L331" s="146" t="e">
        <f t="shared" si="23"/>
        <v>#DIV/0!</v>
      </c>
      <c r="M331" t="e">
        <f t="shared" si="24"/>
        <v>#DIV/0!</v>
      </c>
      <c r="N331" s="222">
        <f t="shared" si="25"/>
        <v>0</v>
      </c>
    </row>
    <row r="332" spans="11:14" x14ac:dyDescent="0.25">
      <c r="K332" s="146" t="e">
        <f t="shared" si="22"/>
        <v>#DIV/0!</v>
      </c>
      <c r="L332" s="146" t="e">
        <f t="shared" si="23"/>
        <v>#DIV/0!</v>
      </c>
      <c r="M332" t="e">
        <f t="shared" si="24"/>
        <v>#DIV/0!</v>
      </c>
      <c r="N332" s="222">
        <f t="shared" si="25"/>
        <v>0</v>
      </c>
    </row>
    <row r="333" spans="11:14" x14ac:dyDescent="0.25">
      <c r="K333" s="146" t="e">
        <f t="shared" si="22"/>
        <v>#DIV/0!</v>
      </c>
      <c r="L333" s="146" t="e">
        <f t="shared" si="23"/>
        <v>#DIV/0!</v>
      </c>
      <c r="M333" t="e">
        <f t="shared" si="24"/>
        <v>#DIV/0!</v>
      </c>
      <c r="N333" s="222">
        <f t="shared" si="25"/>
        <v>0</v>
      </c>
    </row>
    <row r="334" spans="11:14" x14ac:dyDescent="0.25">
      <c r="K334" s="146" t="e">
        <f t="shared" si="22"/>
        <v>#DIV/0!</v>
      </c>
      <c r="L334" s="146" t="e">
        <f t="shared" si="23"/>
        <v>#DIV/0!</v>
      </c>
      <c r="M334" t="e">
        <f t="shared" si="24"/>
        <v>#DIV/0!</v>
      </c>
      <c r="N334" s="222">
        <f t="shared" si="25"/>
        <v>0</v>
      </c>
    </row>
    <row r="335" spans="11:14" x14ac:dyDescent="0.25">
      <c r="K335" s="146" t="e">
        <f t="shared" si="22"/>
        <v>#DIV/0!</v>
      </c>
      <c r="L335" s="146" t="e">
        <f t="shared" si="23"/>
        <v>#DIV/0!</v>
      </c>
      <c r="M335" t="e">
        <f t="shared" si="24"/>
        <v>#DIV/0!</v>
      </c>
      <c r="N335" s="222">
        <f t="shared" si="25"/>
        <v>0</v>
      </c>
    </row>
    <row r="336" spans="11:14" x14ac:dyDescent="0.25">
      <c r="K336" s="146" t="e">
        <f t="shared" si="22"/>
        <v>#DIV/0!</v>
      </c>
      <c r="L336" s="146" t="e">
        <f t="shared" si="23"/>
        <v>#DIV/0!</v>
      </c>
      <c r="M336" t="e">
        <f t="shared" si="24"/>
        <v>#DIV/0!</v>
      </c>
      <c r="N336" s="222">
        <f t="shared" si="25"/>
        <v>0</v>
      </c>
    </row>
    <row r="337" spans="11:14" x14ac:dyDescent="0.25">
      <c r="K337" s="146" t="e">
        <f t="shared" si="22"/>
        <v>#DIV/0!</v>
      </c>
      <c r="L337" s="146" t="e">
        <f t="shared" si="23"/>
        <v>#DIV/0!</v>
      </c>
      <c r="M337" t="e">
        <f t="shared" si="24"/>
        <v>#DIV/0!</v>
      </c>
      <c r="N337" s="222">
        <f t="shared" si="25"/>
        <v>0</v>
      </c>
    </row>
    <row r="338" spans="11:14" x14ac:dyDescent="0.25">
      <c r="K338" s="146" t="e">
        <f t="shared" si="22"/>
        <v>#DIV/0!</v>
      </c>
      <c r="L338" s="146" t="e">
        <f t="shared" si="23"/>
        <v>#DIV/0!</v>
      </c>
      <c r="M338" t="e">
        <f t="shared" si="24"/>
        <v>#DIV/0!</v>
      </c>
      <c r="N338" s="222">
        <f t="shared" si="25"/>
        <v>0</v>
      </c>
    </row>
    <row r="339" spans="11:14" x14ac:dyDescent="0.25">
      <c r="K339" s="146" t="e">
        <f t="shared" si="22"/>
        <v>#DIV/0!</v>
      </c>
      <c r="L339" s="146" t="e">
        <f t="shared" si="23"/>
        <v>#DIV/0!</v>
      </c>
      <c r="M339" t="e">
        <f t="shared" si="24"/>
        <v>#DIV/0!</v>
      </c>
      <c r="N339" s="222">
        <f t="shared" si="25"/>
        <v>0</v>
      </c>
    </row>
    <row r="340" spans="11:14" x14ac:dyDescent="0.25">
      <c r="K340" s="146" t="e">
        <f t="shared" si="22"/>
        <v>#DIV/0!</v>
      </c>
      <c r="L340" s="146" t="e">
        <f t="shared" si="23"/>
        <v>#DIV/0!</v>
      </c>
      <c r="M340" t="e">
        <f t="shared" si="24"/>
        <v>#DIV/0!</v>
      </c>
      <c r="N340" s="222">
        <f t="shared" si="25"/>
        <v>0</v>
      </c>
    </row>
    <row r="341" spans="11:14" x14ac:dyDescent="0.25">
      <c r="K341" s="146" t="e">
        <f t="shared" si="22"/>
        <v>#DIV/0!</v>
      </c>
      <c r="L341" s="146" t="e">
        <f t="shared" si="23"/>
        <v>#DIV/0!</v>
      </c>
      <c r="M341" t="e">
        <f t="shared" si="24"/>
        <v>#DIV/0!</v>
      </c>
      <c r="N341" s="222">
        <f t="shared" si="25"/>
        <v>0</v>
      </c>
    </row>
    <row r="342" spans="11:14" x14ac:dyDescent="0.25">
      <c r="K342" s="146" t="e">
        <f t="shared" si="22"/>
        <v>#DIV/0!</v>
      </c>
      <c r="L342" s="146" t="e">
        <f t="shared" si="23"/>
        <v>#DIV/0!</v>
      </c>
      <c r="M342" t="e">
        <f t="shared" si="24"/>
        <v>#DIV/0!</v>
      </c>
      <c r="N342" s="222">
        <f t="shared" si="25"/>
        <v>0</v>
      </c>
    </row>
    <row r="343" spans="11:14" x14ac:dyDescent="0.25">
      <c r="K343" s="146" t="e">
        <f t="shared" si="22"/>
        <v>#DIV/0!</v>
      </c>
      <c r="L343" s="146" t="e">
        <f t="shared" si="23"/>
        <v>#DIV/0!</v>
      </c>
      <c r="M343" t="e">
        <f t="shared" si="24"/>
        <v>#DIV/0!</v>
      </c>
      <c r="N343" s="222">
        <f t="shared" si="25"/>
        <v>0</v>
      </c>
    </row>
    <row r="344" spans="11:14" x14ac:dyDescent="0.25">
      <c r="K344" s="146" t="e">
        <f t="shared" si="22"/>
        <v>#DIV/0!</v>
      </c>
      <c r="L344" s="146" t="e">
        <f t="shared" si="23"/>
        <v>#DIV/0!</v>
      </c>
      <c r="M344" t="e">
        <f t="shared" si="24"/>
        <v>#DIV/0!</v>
      </c>
      <c r="N344" s="222">
        <f t="shared" si="25"/>
        <v>0</v>
      </c>
    </row>
    <row r="345" spans="11:14" x14ac:dyDescent="0.25">
      <c r="K345" s="146" t="e">
        <f t="shared" si="22"/>
        <v>#DIV/0!</v>
      </c>
      <c r="L345" s="146" t="e">
        <f t="shared" si="23"/>
        <v>#DIV/0!</v>
      </c>
      <c r="M345" t="e">
        <f t="shared" si="24"/>
        <v>#DIV/0!</v>
      </c>
      <c r="N345" s="222">
        <f t="shared" si="25"/>
        <v>0</v>
      </c>
    </row>
    <row r="346" spans="11:14" x14ac:dyDescent="0.25">
      <c r="K346" s="146" t="e">
        <f t="shared" si="22"/>
        <v>#DIV/0!</v>
      </c>
      <c r="L346" s="146" t="e">
        <f t="shared" si="23"/>
        <v>#DIV/0!</v>
      </c>
      <c r="M346" t="e">
        <f t="shared" si="24"/>
        <v>#DIV/0!</v>
      </c>
      <c r="N346" s="222">
        <f t="shared" si="25"/>
        <v>0</v>
      </c>
    </row>
    <row r="347" spans="11:14" x14ac:dyDescent="0.25">
      <c r="K347" s="146" t="e">
        <f t="shared" si="22"/>
        <v>#DIV/0!</v>
      </c>
      <c r="L347" s="146" t="e">
        <f t="shared" si="23"/>
        <v>#DIV/0!</v>
      </c>
      <c r="M347" t="e">
        <f t="shared" si="24"/>
        <v>#DIV/0!</v>
      </c>
      <c r="N347" s="222">
        <f t="shared" si="25"/>
        <v>0</v>
      </c>
    </row>
    <row r="348" spans="11:14" x14ac:dyDescent="0.25">
      <c r="K348" s="146" t="e">
        <f t="shared" si="22"/>
        <v>#DIV/0!</v>
      </c>
      <c r="L348" s="146" t="e">
        <f t="shared" si="23"/>
        <v>#DIV/0!</v>
      </c>
      <c r="M348" t="e">
        <f t="shared" si="24"/>
        <v>#DIV/0!</v>
      </c>
      <c r="N348" s="222">
        <f t="shared" si="25"/>
        <v>0</v>
      </c>
    </row>
    <row r="349" spans="11:14" x14ac:dyDescent="0.25">
      <c r="K349" s="146" t="e">
        <f t="shared" si="22"/>
        <v>#DIV/0!</v>
      </c>
      <c r="L349" s="146" t="e">
        <f t="shared" si="23"/>
        <v>#DIV/0!</v>
      </c>
      <c r="M349" t="e">
        <f t="shared" si="24"/>
        <v>#DIV/0!</v>
      </c>
      <c r="N349" s="222">
        <f t="shared" si="25"/>
        <v>0</v>
      </c>
    </row>
    <row r="350" spans="11:14" x14ac:dyDescent="0.25">
      <c r="K350" s="146" t="e">
        <f t="shared" si="22"/>
        <v>#DIV/0!</v>
      </c>
      <c r="L350" s="146" t="e">
        <f t="shared" si="23"/>
        <v>#DIV/0!</v>
      </c>
      <c r="M350" t="e">
        <f t="shared" si="24"/>
        <v>#DIV/0!</v>
      </c>
      <c r="N350" s="222">
        <f t="shared" si="25"/>
        <v>0</v>
      </c>
    </row>
    <row r="351" spans="11:14" x14ac:dyDescent="0.25">
      <c r="K351" s="146" t="e">
        <f t="shared" si="22"/>
        <v>#DIV/0!</v>
      </c>
      <c r="L351" s="146" t="e">
        <f t="shared" si="23"/>
        <v>#DIV/0!</v>
      </c>
      <c r="M351" t="e">
        <f t="shared" si="24"/>
        <v>#DIV/0!</v>
      </c>
      <c r="N351" s="222">
        <f t="shared" si="25"/>
        <v>0</v>
      </c>
    </row>
    <row r="352" spans="11:14" x14ac:dyDescent="0.25">
      <c r="K352" s="146" t="e">
        <f t="shared" si="22"/>
        <v>#DIV/0!</v>
      </c>
      <c r="L352" s="146" t="e">
        <f t="shared" si="23"/>
        <v>#DIV/0!</v>
      </c>
      <c r="M352" t="e">
        <f t="shared" si="24"/>
        <v>#DIV/0!</v>
      </c>
      <c r="N352" s="222">
        <f t="shared" si="25"/>
        <v>0</v>
      </c>
    </row>
    <row r="353" spans="11:14" x14ac:dyDescent="0.25">
      <c r="K353" s="146" t="e">
        <f t="shared" si="22"/>
        <v>#DIV/0!</v>
      </c>
      <c r="L353" s="146" t="e">
        <f t="shared" si="23"/>
        <v>#DIV/0!</v>
      </c>
      <c r="M353" t="e">
        <f t="shared" si="24"/>
        <v>#DIV/0!</v>
      </c>
      <c r="N353" s="222">
        <f t="shared" si="25"/>
        <v>0</v>
      </c>
    </row>
    <row r="354" spans="11:14" x14ac:dyDescent="0.25">
      <c r="K354" s="146" t="e">
        <f t="shared" si="22"/>
        <v>#DIV/0!</v>
      </c>
      <c r="L354" s="146" t="e">
        <f t="shared" si="23"/>
        <v>#DIV/0!</v>
      </c>
      <c r="M354" t="e">
        <f t="shared" si="24"/>
        <v>#DIV/0!</v>
      </c>
      <c r="N354" s="222">
        <f t="shared" si="25"/>
        <v>0</v>
      </c>
    </row>
    <row r="355" spans="11:14" x14ac:dyDescent="0.25">
      <c r="K355" s="146" t="e">
        <f t="shared" si="22"/>
        <v>#DIV/0!</v>
      </c>
      <c r="L355" s="146" t="e">
        <f t="shared" si="23"/>
        <v>#DIV/0!</v>
      </c>
      <c r="M355" t="e">
        <f t="shared" si="24"/>
        <v>#DIV/0!</v>
      </c>
      <c r="N355" s="222">
        <f t="shared" si="25"/>
        <v>0</v>
      </c>
    </row>
    <row r="356" spans="11:14" x14ac:dyDescent="0.25">
      <c r="K356" s="146" t="e">
        <f t="shared" si="22"/>
        <v>#DIV/0!</v>
      </c>
      <c r="L356" s="146" t="e">
        <f t="shared" si="23"/>
        <v>#DIV/0!</v>
      </c>
      <c r="M356" t="e">
        <f t="shared" si="24"/>
        <v>#DIV/0!</v>
      </c>
      <c r="N356" s="222">
        <f t="shared" si="25"/>
        <v>0</v>
      </c>
    </row>
    <row r="357" spans="11:14" x14ac:dyDescent="0.25">
      <c r="K357" s="146" t="e">
        <f t="shared" si="22"/>
        <v>#DIV/0!</v>
      </c>
      <c r="L357" s="146" t="e">
        <f t="shared" si="23"/>
        <v>#DIV/0!</v>
      </c>
      <c r="M357" t="e">
        <f t="shared" si="24"/>
        <v>#DIV/0!</v>
      </c>
      <c r="N357" s="222">
        <f t="shared" si="25"/>
        <v>0</v>
      </c>
    </row>
    <row r="358" spans="11:14" x14ac:dyDescent="0.25">
      <c r="K358" s="146" t="e">
        <f t="shared" si="22"/>
        <v>#DIV/0!</v>
      </c>
      <c r="L358" s="146" t="e">
        <f t="shared" si="23"/>
        <v>#DIV/0!</v>
      </c>
      <c r="M358" t="e">
        <f t="shared" si="24"/>
        <v>#DIV/0!</v>
      </c>
      <c r="N358" s="222">
        <f t="shared" si="25"/>
        <v>0</v>
      </c>
    </row>
    <row r="359" spans="11:14" x14ac:dyDescent="0.25">
      <c r="K359" s="146" t="e">
        <f t="shared" si="22"/>
        <v>#DIV/0!</v>
      </c>
      <c r="L359" s="146" t="e">
        <f t="shared" si="23"/>
        <v>#DIV/0!</v>
      </c>
      <c r="M359" t="e">
        <f t="shared" si="24"/>
        <v>#DIV/0!</v>
      </c>
      <c r="N359" s="222">
        <f t="shared" si="25"/>
        <v>0</v>
      </c>
    </row>
    <row r="360" spans="11:14" x14ac:dyDescent="0.25">
      <c r="K360" s="146" t="e">
        <f t="shared" si="22"/>
        <v>#DIV/0!</v>
      </c>
      <c r="L360" s="146" t="e">
        <f t="shared" si="23"/>
        <v>#DIV/0!</v>
      </c>
      <c r="M360" t="e">
        <f t="shared" si="24"/>
        <v>#DIV/0!</v>
      </c>
      <c r="N360" s="222">
        <f t="shared" si="25"/>
        <v>0</v>
      </c>
    </row>
    <row r="361" spans="11:14" x14ac:dyDescent="0.25">
      <c r="K361" s="146" t="e">
        <f t="shared" si="22"/>
        <v>#DIV/0!</v>
      </c>
      <c r="L361" s="146" t="e">
        <f t="shared" si="23"/>
        <v>#DIV/0!</v>
      </c>
      <c r="M361" t="e">
        <f t="shared" si="24"/>
        <v>#DIV/0!</v>
      </c>
      <c r="N361" s="222">
        <f t="shared" si="25"/>
        <v>0</v>
      </c>
    </row>
    <row r="362" spans="11:14" x14ac:dyDescent="0.25">
      <c r="K362" s="146" t="e">
        <f t="shared" si="22"/>
        <v>#DIV/0!</v>
      </c>
      <c r="L362" s="146" t="e">
        <f t="shared" si="23"/>
        <v>#DIV/0!</v>
      </c>
      <c r="M362" t="e">
        <f t="shared" si="24"/>
        <v>#DIV/0!</v>
      </c>
      <c r="N362" s="222">
        <f t="shared" si="25"/>
        <v>0</v>
      </c>
    </row>
    <row r="363" spans="11:14" x14ac:dyDescent="0.25">
      <c r="K363" s="146" t="e">
        <f t="shared" si="22"/>
        <v>#DIV/0!</v>
      </c>
      <c r="L363" s="146" t="e">
        <f t="shared" si="23"/>
        <v>#DIV/0!</v>
      </c>
      <c r="M363" t="e">
        <f t="shared" si="24"/>
        <v>#DIV/0!</v>
      </c>
      <c r="N363" s="222">
        <f t="shared" si="25"/>
        <v>0</v>
      </c>
    </row>
    <row r="364" spans="11:14" x14ac:dyDescent="0.25">
      <c r="K364" s="146" t="e">
        <f t="shared" si="22"/>
        <v>#DIV/0!</v>
      </c>
      <c r="L364" s="146" t="e">
        <f t="shared" si="23"/>
        <v>#DIV/0!</v>
      </c>
      <c r="M364" t="e">
        <f t="shared" si="24"/>
        <v>#DIV/0!</v>
      </c>
      <c r="N364" s="222">
        <f t="shared" si="25"/>
        <v>0</v>
      </c>
    </row>
    <row r="365" spans="11:14" x14ac:dyDescent="0.25">
      <c r="K365" s="146" t="e">
        <f t="shared" si="22"/>
        <v>#DIV/0!</v>
      </c>
      <c r="L365" s="146" t="e">
        <f t="shared" si="23"/>
        <v>#DIV/0!</v>
      </c>
      <c r="M365" t="e">
        <f t="shared" si="24"/>
        <v>#DIV/0!</v>
      </c>
      <c r="N365" s="222">
        <f t="shared" si="25"/>
        <v>0</v>
      </c>
    </row>
    <row r="366" spans="11:14" x14ac:dyDescent="0.25">
      <c r="K366" s="146" t="e">
        <f t="shared" si="22"/>
        <v>#DIV/0!</v>
      </c>
      <c r="L366" s="146" t="e">
        <f t="shared" si="23"/>
        <v>#DIV/0!</v>
      </c>
      <c r="M366" t="e">
        <f t="shared" si="24"/>
        <v>#DIV/0!</v>
      </c>
      <c r="N366" s="222">
        <f t="shared" si="25"/>
        <v>0</v>
      </c>
    </row>
    <row r="367" spans="11:14" x14ac:dyDescent="0.25">
      <c r="K367" s="146" t="e">
        <f t="shared" si="22"/>
        <v>#DIV/0!</v>
      </c>
      <c r="L367" s="146" t="e">
        <f t="shared" si="23"/>
        <v>#DIV/0!</v>
      </c>
      <c r="M367" t="e">
        <f t="shared" si="24"/>
        <v>#DIV/0!</v>
      </c>
      <c r="N367" s="222">
        <f t="shared" si="25"/>
        <v>0</v>
      </c>
    </row>
    <row r="368" spans="11:14" x14ac:dyDescent="0.25">
      <c r="K368" s="146" t="e">
        <f t="shared" si="22"/>
        <v>#DIV/0!</v>
      </c>
      <c r="L368" s="146" t="e">
        <f t="shared" si="23"/>
        <v>#DIV/0!</v>
      </c>
      <c r="M368" t="e">
        <f t="shared" si="24"/>
        <v>#DIV/0!</v>
      </c>
      <c r="N368" s="222">
        <f t="shared" si="25"/>
        <v>0</v>
      </c>
    </row>
    <row r="369" spans="11:14" x14ac:dyDescent="0.25">
      <c r="K369" s="146" t="e">
        <f t="shared" si="22"/>
        <v>#DIV/0!</v>
      </c>
      <c r="L369" s="146" t="e">
        <f t="shared" si="23"/>
        <v>#DIV/0!</v>
      </c>
      <c r="M369" t="e">
        <f t="shared" si="24"/>
        <v>#DIV/0!</v>
      </c>
      <c r="N369" s="222">
        <f t="shared" si="25"/>
        <v>0</v>
      </c>
    </row>
    <row r="370" spans="11:14" x14ac:dyDescent="0.25">
      <c r="K370" s="146" t="e">
        <f t="shared" si="22"/>
        <v>#DIV/0!</v>
      </c>
      <c r="L370" s="146" t="e">
        <f t="shared" si="23"/>
        <v>#DIV/0!</v>
      </c>
      <c r="M370" t="e">
        <f t="shared" si="24"/>
        <v>#DIV/0!</v>
      </c>
      <c r="N370" s="222">
        <f t="shared" si="25"/>
        <v>0</v>
      </c>
    </row>
    <row r="371" spans="11:14" x14ac:dyDescent="0.25">
      <c r="K371" s="146" t="e">
        <f t="shared" si="22"/>
        <v>#DIV/0!</v>
      </c>
      <c r="L371" s="146" t="e">
        <f t="shared" si="23"/>
        <v>#DIV/0!</v>
      </c>
      <c r="M371" t="e">
        <f t="shared" si="24"/>
        <v>#DIV/0!</v>
      </c>
      <c r="N371" s="222">
        <f t="shared" si="25"/>
        <v>0</v>
      </c>
    </row>
    <row r="372" spans="11:14" x14ac:dyDescent="0.25">
      <c r="K372" s="146" t="e">
        <f t="shared" si="22"/>
        <v>#DIV/0!</v>
      </c>
      <c r="L372" s="146" t="e">
        <f t="shared" si="23"/>
        <v>#DIV/0!</v>
      </c>
      <c r="M372" t="e">
        <f t="shared" si="24"/>
        <v>#DIV/0!</v>
      </c>
      <c r="N372" s="222">
        <f t="shared" si="25"/>
        <v>0</v>
      </c>
    </row>
    <row r="373" spans="11:14" x14ac:dyDescent="0.25">
      <c r="K373" s="146" t="e">
        <f t="shared" si="22"/>
        <v>#DIV/0!</v>
      </c>
      <c r="L373" s="146" t="e">
        <f t="shared" si="23"/>
        <v>#DIV/0!</v>
      </c>
      <c r="M373" t="e">
        <f t="shared" si="24"/>
        <v>#DIV/0!</v>
      </c>
      <c r="N373" s="222">
        <f t="shared" si="25"/>
        <v>0</v>
      </c>
    </row>
    <row r="374" spans="11:14" x14ac:dyDescent="0.25">
      <c r="K374" s="146" t="e">
        <f t="shared" si="22"/>
        <v>#DIV/0!</v>
      </c>
      <c r="L374" s="146" t="e">
        <f t="shared" si="23"/>
        <v>#DIV/0!</v>
      </c>
      <c r="M374" t="e">
        <f t="shared" si="24"/>
        <v>#DIV/0!</v>
      </c>
      <c r="N374" s="222">
        <f t="shared" si="25"/>
        <v>0</v>
      </c>
    </row>
    <row r="375" spans="11:14" x14ac:dyDescent="0.25">
      <c r="K375" s="146" t="e">
        <f t="shared" si="22"/>
        <v>#DIV/0!</v>
      </c>
      <c r="L375" s="146" t="e">
        <f t="shared" si="23"/>
        <v>#DIV/0!</v>
      </c>
      <c r="M375" t="e">
        <f t="shared" si="24"/>
        <v>#DIV/0!</v>
      </c>
      <c r="N375" s="222">
        <f t="shared" si="25"/>
        <v>0</v>
      </c>
    </row>
    <row r="376" spans="11:14" x14ac:dyDescent="0.25">
      <c r="K376" s="146" t="e">
        <f t="shared" si="22"/>
        <v>#DIV/0!</v>
      </c>
      <c r="L376" s="146" t="e">
        <f t="shared" si="23"/>
        <v>#DIV/0!</v>
      </c>
      <c r="M376" t="e">
        <f t="shared" si="24"/>
        <v>#DIV/0!</v>
      </c>
      <c r="N376" s="222">
        <f t="shared" si="25"/>
        <v>0</v>
      </c>
    </row>
    <row r="377" spans="11:14" x14ac:dyDescent="0.25">
      <c r="K377" s="146" t="e">
        <f t="shared" si="22"/>
        <v>#DIV/0!</v>
      </c>
      <c r="L377" s="146" t="e">
        <f t="shared" si="23"/>
        <v>#DIV/0!</v>
      </c>
      <c r="M377" t="e">
        <f t="shared" si="24"/>
        <v>#DIV/0!</v>
      </c>
      <c r="N377" s="222">
        <f t="shared" si="25"/>
        <v>0</v>
      </c>
    </row>
    <row r="378" spans="11:14" x14ac:dyDescent="0.25">
      <c r="K378" s="146" t="e">
        <f t="shared" si="22"/>
        <v>#DIV/0!</v>
      </c>
      <c r="L378" s="146" t="e">
        <f t="shared" si="23"/>
        <v>#DIV/0!</v>
      </c>
      <c r="M378" t="e">
        <f t="shared" si="24"/>
        <v>#DIV/0!</v>
      </c>
      <c r="N378" s="222">
        <f t="shared" si="25"/>
        <v>0</v>
      </c>
    </row>
    <row r="379" spans="11:14" x14ac:dyDescent="0.25">
      <c r="K379" s="146" t="e">
        <f t="shared" si="22"/>
        <v>#DIV/0!</v>
      </c>
      <c r="L379" s="146" t="e">
        <f t="shared" si="23"/>
        <v>#DIV/0!</v>
      </c>
      <c r="M379" t="e">
        <f t="shared" si="24"/>
        <v>#DIV/0!</v>
      </c>
      <c r="N379" s="222">
        <f t="shared" si="25"/>
        <v>0</v>
      </c>
    </row>
    <row r="380" spans="11:14" x14ac:dyDescent="0.25">
      <c r="K380" s="146" t="e">
        <f t="shared" si="22"/>
        <v>#DIV/0!</v>
      </c>
      <c r="L380" s="146" t="e">
        <f t="shared" si="23"/>
        <v>#DIV/0!</v>
      </c>
      <c r="M380" t="e">
        <f t="shared" si="24"/>
        <v>#DIV/0!</v>
      </c>
      <c r="N380" s="222">
        <f t="shared" si="25"/>
        <v>0</v>
      </c>
    </row>
    <row r="381" spans="11:14" x14ac:dyDescent="0.25">
      <c r="K381" s="146" t="e">
        <f t="shared" si="22"/>
        <v>#DIV/0!</v>
      </c>
      <c r="L381" s="146" t="e">
        <f t="shared" si="23"/>
        <v>#DIV/0!</v>
      </c>
      <c r="M381" t="e">
        <f t="shared" si="24"/>
        <v>#DIV/0!</v>
      </c>
      <c r="N381" s="222">
        <f t="shared" si="25"/>
        <v>0</v>
      </c>
    </row>
    <row r="382" spans="11:14" x14ac:dyDescent="0.25">
      <c r="K382" s="146" t="e">
        <f t="shared" si="22"/>
        <v>#DIV/0!</v>
      </c>
      <c r="L382" s="146" t="e">
        <f t="shared" si="23"/>
        <v>#DIV/0!</v>
      </c>
      <c r="M382" t="e">
        <f t="shared" si="24"/>
        <v>#DIV/0!</v>
      </c>
      <c r="N382" s="222">
        <f t="shared" si="25"/>
        <v>0</v>
      </c>
    </row>
    <row r="383" spans="11:14" x14ac:dyDescent="0.25">
      <c r="K383" s="146" t="e">
        <f t="shared" si="22"/>
        <v>#DIV/0!</v>
      </c>
      <c r="L383" s="146" t="e">
        <f t="shared" si="23"/>
        <v>#DIV/0!</v>
      </c>
      <c r="M383" t="e">
        <f t="shared" si="24"/>
        <v>#DIV/0!</v>
      </c>
      <c r="N383" s="222">
        <f t="shared" si="25"/>
        <v>0</v>
      </c>
    </row>
    <row r="384" spans="11:14" x14ac:dyDescent="0.25">
      <c r="K384" s="146" t="e">
        <f t="shared" si="22"/>
        <v>#DIV/0!</v>
      </c>
      <c r="L384" s="146" t="e">
        <f t="shared" si="23"/>
        <v>#DIV/0!</v>
      </c>
      <c r="M384" t="e">
        <f t="shared" si="24"/>
        <v>#DIV/0!</v>
      </c>
      <c r="N384" s="222">
        <f t="shared" si="25"/>
        <v>0</v>
      </c>
    </row>
    <row r="385" spans="11:14" x14ac:dyDescent="0.25">
      <c r="K385" s="146" t="e">
        <f t="shared" si="22"/>
        <v>#DIV/0!</v>
      </c>
      <c r="L385" s="146" t="e">
        <f t="shared" si="23"/>
        <v>#DIV/0!</v>
      </c>
      <c r="M385" t="e">
        <f t="shared" si="24"/>
        <v>#DIV/0!</v>
      </c>
      <c r="N385" s="222">
        <f t="shared" si="25"/>
        <v>0</v>
      </c>
    </row>
    <row r="386" spans="11:14" x14ac:dyDescent="0.25">
      <c r="K386" s="146" t="e">
        <f t="shared" ref="K386:K449" si="26">D386/E386</f>
        <v>#DIV/0!</v>
      </c>
      <c r="L386" s="146" t="e">
        <f t="shared" ref="L386:L449" si="27">D386/(C386+D386)</f>
        <v>#DIV/0!</v>
      </c>
      <c r="M386" t="e">
        <f t="shared" ref="M386:M449" si="28">IF(OR(IF(K386&lt;0.2,1,0),IF(L386&lt;0.5,1,0)),1,0)</f>
        <v>#DIV/0!</v>
      </c>
      <c r="N386" s="222">
        <f t="shared" ref="N386:N449" si="29">G386+H386+I386+J386</f>
        <v>0</v>
      </c>
    </row>
    <row r="387" spans="11:14" x14ac:dyDescent="0.25">
      <c r="K387" s="146" t="e">
        <f t="shared" si="26"/>
        <v>#DIV/0!</v>
      </c>
      <c r="L387" s="146" t="e">
        <f t="shared" si="27"/>
        <v>#DIV/0!</v>
      </c>
      <c r="M387" t="e">
        <f t="shared" si="28"/>
        <v>#DIV/0!</v>
      </c>
      <c r="N387" s="222">
        <f t="shared" si="29"/>
        <v>0</v>
      </c>
    </row>
    <row r="388" spans="11:14" x14ac:dyDescent="0.25">
      <c r="K388" s="146" t="e">
        <f t="shared" si="26"/>
        <v>#DIV/0!</v>
      </c>
      <c r="L388" s="146" t="e">
        <f t="shared" si="27"/>
        <v>#DIV/0!</v>
      </c>
      <c r="M388" t="e">
        <f t="shared" si="28"/>
        <v>#DIV/0!</v>
      </c>
      <c r="N388" s="222">
        <f t="shared" si="29"/>
        <v>0</v>
      </c>
    </row>
    <row r="389" spans="11:14" x14ac:dyDescent="0.25">
      <c r="K389" s="146" t="e">
        <f t="shared" si="26"/>
        <v>#DIV/0!</v>
      </c>
      <c r="L389" s="146" t="e">
        <f t="shared" si="27"/>
        <v>#DIV/0!</v>
      </c>
      <c r="M389" t="e">
        <f t="shared" si="28"/>
        <v>#DIV/0!</v>
      </c>
      <c r="N389" s="222">
        <f t="shared" si="29"/>
        <v>0</v>
      </c>
    </row>
    <row r="390" spans="11:14" x14ac:dyDescent="0.25">
      <c r="K390" s="146" t="e">
        <f t="shared" si="26"/>
        <v>#DIV/0!</v>
      </c>
      <c r="L390" s="146" t="e">
        <f t="shared" si="27"/>
        <v>#DIV/0!</v>
      </c>
      <c r="M390" t="e">
        <f t="shared" si="28"/>
        <v>#DIV/0!</v>
      </c>
      <c r="N390" s="222">
        <f t="shared" si="29"/>
        <v>0</v>
      </c>
    </row>
    <row r="391" spans="11:14" x14ac:dyDescent="0.25">
      <c r="K391" s="146" t="e">
        <f t="shared" si="26"/>
        <v>#DIV/0!</v>
      </c>
      <c r="L391" s="146" t="e">
        <f t="shared" si="27"/>
        <v>#DIV/0!</v>
      </c>
      <c r="M391" t="e">
        <f t="shared" si="28"/>
        <v>#DIV/0!</v>
      </c>
      <c r="N391" s="222">
        <f t="shared" si="29"/>
        <v>0</v>
      </c>
    </row>
    <row r="392" spans="11:14" x14ac:dyDescent="0.25">
      <c r="K392" s="146" t="e">
        <f t="shared" si="26"/>
        <v>#DIV/0!</v>
      </c>
      <c r="L392" s="146" t="e">
        <f t="shared" si="27"/>
        <v>#DIV/0!</v>
      </c>
      <c r="M392" t="e">
        <f t="shared" si="28"/>
        <v>#DIV/0!</v>
      </c>
      <c r="N392" s="222">
        <f t="shared" si="29"/>
        <v>0</v>
      </c>
    </row>
    <row r="393" spans="11:14" x14ac:dyDescent="0.25">
      <c r="K393" s="146" t="e">
        <f t="shared" si="26"/>
        <v>#DIV/0!</v>
      </c>
      <c r="L393" s="146" t="e">
        <f t="shared" si="27"/>
        <v>#DIV/0!</v>
      </c>
      <c r="M393" t="e">
        <f t="shared" si="28"/>
        <v>#DIV/0!</v>
      </c>
      <c r="N393" s="222">
        <f t="shared" si="29"/>
        <v>0</v>
      </c>
    </row>
    <row r="394" spans="11:14" x14ac:dyDescent="0.25">
      <c r="K394" s="146" t="e">
        <f t="shared" si="26"/>
        <v>#DIV/0!</v>
      </c>
      <c r="L394" s="146" t="e">
        <f t="shared" si="27"/>
        <v>#DIV/0!</v>
      </c>
      <c r="M394" t="e">
        <f t="shared" si="28"/>
        <v>#DIV/0!</v>
      </c>
      <c r="N394" s="222">
        <f t="shared" si="29"/>
        <v>0</v>
      </c>
    </row>
    <row r="395" spans="11:14" x14ac:dyDescent="0.25">
      <c r="K395" s="146" t="e">
        <f t="shared" si="26"/>
        <v>#DIV/0!</v>
      </c>
      <c r="L395" s="146" t="e">
        <f t="shared" si="27"/>
        <v>#DIV/0!</v>
      </c>
      <c r="M395" t="e">
        <f t="shared" si="28"/>
        <v>#DIV/0!</v>
      </c>
      <c r="N395" s="222">
        <f t="shared" si="29"/>
        <v>0</v>
      </c>
    </row>
    <row r="396" spans="11:14" x14ac:dyDescent="0.25">
      <c r="K396" s="146" t="e">
        <f t="shared" si="26"/>
        <v>#DIV/0!</v>
      </c>
      <c r="L396" s="146" t="e">
        <f t="shared" si="27"/>
        <v>#DIV/0!</v>
      </c>
      <c r="M396" t="e">
        <f t="shared" si="28"/>
        <v>#DIV/0!</v>
      </c>
      <c r="N396" s="222">
        <f t="shared" si="29"/>
        <v>0</v>
      </c>
    </row>
    <row r="397" spans="11:14" x14ac:dyDescent="0.25">
      <c r="K397" s="146" t="e">
        <f t="shared" si="26"/>
        <v>#DIV/0!</v>
      </c>
      <c r="L397" s="146" t="e">
        <f t="shared" si="27"/>
        <v>#DIV/0!</v>
      </c>
      <c r="M397" t="e">
        <f t="shared" si="28"/>
        <v>#DIV/0!</v>
      </c>
      <c r="N397" s="222">
        <f t="shared" si="29"/>
        <v>0</v>
      </c>
    </row>
    <row r="398" spans="11:14" x14ac:dyDescent="0.25">
      <c r="K398" s="146" t="e">
        <f t="shared" si="26"/>
        <v>#DIV/0!</v>
      </c>
      <c r="L398" s="146" t="e">
        <f t="shared" si="27"/>
        <v>#DIV/0!</v>
      </c>
      <c r="M398" t="e">
        <f t="shared" si="28"/>
        <v>#DIV/0!</v>
      </c>
      <c r="N398" s="222">
        <f t="shared" si="29"/>
        <v>0</v>
      </c>
    </row>
    <row r="399" spans="11:14" x14ac:dyDescent="0.25">
      <c r="K399" s="146" t="e">
        <f t="shared" si="26"/>
        <v>#DIV/0!</v>
      </c>
      <c r="L399" s="146" t="e">
        <f t="shared" si="27"/>
        <v>#DIV/0!</v>
      </c>
      <c r="M399" t="e">
        <f t="shared" si="28"/>
        <v>#DIV/0!</v>
      </c>
      <c r="N399" s="222">
        <f t="shared" si="29"/>
        <v>0</v>
      </c>
    </row>
    <row r="400" spans="11:14" x14ac:dyDescent="0.25">
      <c r="K400" s="146" t="e">
        <f t="shared" si="26"/>
        <v>#DIV/0!</v>
      </c>
      <c r="L400" s="146" t="e">
        <f t="shared" si="27"/>
        <v>#DIV/0!</v>
      </c>
      <c r="M400" t="e">
        <f t="shared" si="28"/>
        <v>#DIV/0!</v>
      </c>
      <c r="N400" s="222">
        <f t="shared" si="29"/>
        <v>0</v>
      </c>
    </row>
    <row r="401" spans="11:14" x14ac:dyDescent="0.25">
      <c r="K401" s="146" t="e">
        <f t="shared" si="26"/>
        <v>#DIV/0!</v>
      </c>
      <c r="L401" s="146" t="e">
        <f t="shared" si="27"/>
        <v>#DIV/0!</v>
      </c>
      <c r="M401" t="e">
        <f t="shared" si="28"/>
        <v>#DIV/0!</v>
      </c>
      <c r="N401" s="222">
        <f t="shared" si="29"/>
        <v>0</v>
      </c>
    </row>
    <row r="402" spans="11:14" x14ac:dyDescent="0.25">
      <c r="K402" s="146" t="e">
        <f t="shared" si="26"/>
        <v>#DIV/0!</v>
      </c>
      <c r="L402" s="146" t="e">
        <f t="shared" si="27"/>
        <v>#DIV/0!</v>
      </c>
      <c r="M402" t="e">
        <f t="shared" si="28"/>
        <v>#DIV/0!</v>
      </c>
      <c r="N402" s="222">
        <f t="shared" si="29"/>
        <v>0</v>
      </c>
    </row>
    <row r="403" spans="11:14" x14ac:dyDescent="0.25">
      <c r="K403" s="146" t="e">
        <f t="shared" si="26"/>
        <v>#DIV/0!</v>
      </c>
      <c r="L403" s="146" t="e">
        <f t="shared" si="27"/>
        <v>#DIV/0!</v>
      </c>
      <c r="M403" t="e">
        <f t="shared" si="28"/>
        <v>#DIV/0!</v>
      </c>
      <c r="N403" s="222">
        <f t="shared" si="29"/>
        <v>0</v>
      </c>
    </row>
    <row r="404" spans="11:14" x14ac:dyDescent="0.25">
      <c r="K404" s="146" t="e">
        <f t="shared" si="26"/>
        <v>#DIV/0!</v>
      </c>
      <c r="L404" s="146" t="e">
        <f t="shared" si="27"/>
        <v>#DIV/0!</v>
      </c>
      <c r="M404" t="e">
        <f t="shared" si="28"/>
        <v>#DIV/0!</v>
      </c>
      <c r="N404" s="222">
        <f t="shared" si="29"/>
        <v>0</v>
      </c>
    </row>
    <row r="405" spans="11:14" x14ac:dyDescent="0.25">
      <c r="K405" s="146" t="e">
        <f t="shared" si="26"/>
        <v>#DIV/0!</v>
      </c>
      <c r="L405" s="146" t="e">
        <f t="shared" si="27"/>
        <v>#DIV/0!</v>
      </c>
      <c r="M405" t="e">
        <f t="shared" si="28"/>
        <v>#DIV/0!</v>
      </c>
      <c r="N405" s="222">
        <f t="shared" si="29"/>
        <v>0</v>
      </c>
    </row>
    <row r="406" spans="11:14" x14ac:dyDescent="0.25">
      <c r="K406" s="146" t="e">
        <f t="shared" si="26"/>
        <v>#DIV/0!</v>
      </c>
      <c r="L406" s="146" t="e">
        <f t="shared" si="27"/>
        <v>#DIV/0!</v>
      </c>
      <c r="M406" t="e">
        <f t="shared" si="28"/>
        <v>#DIV/0!</v>
      </c>
      <c r="N406" s="222">
        <f t="shared" si="29"/>
        <v>0</v>
      </c>
    </row>
    <row r="407" spans="11:14" x14ac:dyDescent="0.25">
      <c r="K407" s="146" t="e">
        <f t="shared" si="26"/>
        <v>#DIV/0!</v>
      </c>
      <c r="L407" s="146" t="e">
        <f t="shared" si="27"/>
        <v>#DIV/0!</v>
      </c>
      <c r="M407" t="e">
        <f t="shared" si="28"/>
        <v>#DIV/0!</v>
      </c>
      <c r="N407" s="222">
        <f t="shared" si="29"/>
        <v>0</v>
      </c>
    </row>
    <row r="408" spans="11:14" x14ac:dyDescent="0.25">
      <c r="K408" s="146" t="e">
        <f t="shared" si="26"/>
        <v>#DIV/0!</v>
      </c>
      <c r="L408" s="146" t="e">
        <f t="shared" si="27"/>
        <v>#DIV/0!</v>
      </c>
      <c r="M408" t="e">
        <f t="shared" si="28"/>
        <v>#DIV/0!</v>
      </c>
      <c r="N408" s="222">
        <f t="shared" si="29"/>
        <v>0</v>
      </c>
    </row>
    <row r="409" spans="11:14" x14ac:dyDescent="0.25">
      <c r="K409" s="146" t="e">
        <f t="shared" si="26"/>
        <v>#DIV/0!</v>
      </c>
      <c r="L409" s="146" t="e">
        <f t="shared" si="27"/>
        <v>#DIV/0!</v>
      </c>
      <c r="M409" t="e">
        <f t="shared" si="28"/>
        <v>#DIV/0!</v>
      </c>
      <c r="N409" s="222">
        <f t="shared" si="29"/>
        <v>0</v>
      </c>
    </row>
    <row r="410" spans="11:14" x14ac:dyDescent="0.25">
      <c r="K410" s="146" t="e">
        <f t="shared" si="26"/>
        <v>#DIV/0!</v>
      </c>
      <c r="L410" s="146" t="e">
        <f t="shared" si="27"/>
        <v>#DIV/0!</v>
      </c>
      <c r="M410" t="e">
        <f t="shared" si="28"/>
        <v>#DIV/0!</v>
      </c>
      <c r="N410" s="222">
        <f t="shared" si="29"/>
        <v>0</v>
      </c>
    </row>
    <row r="411" spans="11:14" x14ac:dyDescent="0.25">
      <c r="K411" s="146" t="e">
        <f t="shared" si="26"/>
        <v>#DIV/0!</v>
      </c>
      <c r="L411" s="146" t="e">
        <f t="shared" si="27"/>
        <v>#DIV/0!</v>
      </c>
      <c r="M411" t="e">
        <f t="shared" si="28"/>
        <v>#DIV/0!</v>
      </c>
      <c r="N411" s="222">
        <f t="shared" si="29"/>
        <v>0</v>
      </c>
    </row>
    <row r="412" spans="11:14" x14ac:dyDescent="0.25">
      <c r="K412" s="146" t="e">
        <f t="shared" si="26"/>
        <v>#DIV/0!</v>
      </c>
      <c r="L412" s="146" t="e">
        <f t="shared" si="27"/>
        <v>#DIV/0!</v>
      </c>
      <c r="M412" t="e">
        <f t="shared" si="28"/>
        <v>#DIV/0!</v>
      </c>
      <c r="N412" s="222">
        <f t="shared" si="29"/>
        <v>0</v>
      </c>
    </row>
    <row r="413" spans="11:14" x14ac:dyDescent="0.25">
      <c r="K413" s="146" t="e">
        <f t="shared" si="26"/>
        <v>#DIV/0!</v>
      </c>
      <c r="L413" s="146" t="e">
        <f t="shared" si="27"/>
        <v>#DIV/0!</v>
      </c>
      <c r="M413" t="e">
        <f t="shared" si="28"/>
        <v>#DIV/0!</v>
      </c>
      <c r="N413" s="222">
        <f t="shared" si="29"/>
        <v>0</v>
      </c>
    </row>
    <row r="414" spans="11:14" x14ac:dyDescent="0.25">
      <c r="K414" s="146" t="e">
        <f t="shared" si="26"/>
        <v>#DIV/0!</v>
      </c>
      <c r="L414" s="146" t="e">
        <f t="shared" si="27"/>
        <v>#DIV/0!</v>
      </c>
      <c r="M414" t="e">
        <f t="shared" si="28"/>
        <v>#DIV/0!</v>
      </c>
      <c r="N414" s="222">
        <f t="shared" si="29"/>
        <v>0</v>
      </c>
    </row>
    <row r="415" spans="11:14" x14ac:dyDescent="0.25">
      <c r="K415" s="146" t="e">
        <f t="shared" si="26"/>
        <v>#DIV/0!</v>
      </c>
      <c r="L415" s="146" t="e">
        <f t="shared" si="27"/>
        <v>#DIV/0!</v>
      </c>
      <c r="M415" t="e">
        <f t="shared" si="28"/>
        <v>#DIV/0!</v>
      </c>
      <c r="N415" s="222">
        <f t="shared" si="29"/>
        <v>0</v>
      </c>
    </row>
    <row r="416" spans="11:14" x14ac:dyDescent="0.25">
      <c r="K416" s="146" t="e">
        <f t="shared" si="26"/>
        <v>#DIV/0!</v>
      </c>
      <c r="L416" s="146" t="e">
        <f t="shared" si="27"/>
        <v>#DIV/0!</v>
      </c>
      <c r="M416" t="e">
        <f t="shared" si="28"/>
        <v>#DIV/0!</v>
      </c>
      <c r="N416" s="222">
        <f t="shared" si="29"/>
        <v>0</v>
      </c>
    </row>
    <row r="417" spans="11:14" x14ac:dyDescent="0.25">
      <c r="K417" s="146" t="e">
        <f t="shared" si="26"/>
        <v>#DIV/0!</v>
      </c>
      <c r="L417" s="146" t="e">
        <f t="shared" si="27"/>
        <v>#DIV/0!</v>
      </c>
      <c r="M417" t="e">
        <f t="shared" si="28"/>
        <v>#DIV/0!</v>
      </c>
      <c r="N417" s="222">
        <f t="shared" si="29"/>
        <v>0</v>
      </c>
    </row>
    <row r="418" spans="11:14" x14ac:dyDescent="0.25">
      <c r="K418" s="146" t="e">
        <f t="shared" si="26"/>
        <v>#DIV/0!</v>
      </c>
      <c r="L418" s="146" t="e">
        <f t="shared" si="27"/>
        <v>#DIV/0!</v>
      </c>
      <c r="M418" t="e">
        <f t="shared" si="28"/>
        <v>#DIV/0!</v>
      </c>
      <c r="N418" s="222">
        <f t="shared" si="29"/>
        <v>0</v>
      </c>
    </row>
    <row r="419" spans="11:14" x14ac:dyDescent="0.25">
      <c r="K419" s="146" t="e">
        <f t="shared" si="26"/>
        <v>#DIV/0!</v>
      </c>
      <c r="L419" s="146" t="e">
        <f t="shared" si="27"/>
        <v>#DIV/0!</v>
      </c>
      <c r="M419" t="e">
        <f t="shared" si="28"/>
        <v>#DIV/0!</v>
      </c>
      <c r="N419" s="222">
        <f t="shared" si="29"/>
        <v>0</v>
      </c>
    </row>
    <row r="420" spans="11:14" x14ac:dyDescent="0.25">
      <c r="K420" s="146" t="e">
        <f t="shared" si="26"/>
        <v>#DIV/0!</v>
      </c>
      <c r="L420" s="146" t="e">
        <f t="shared" si="27"/>
        <v>#DIV/0!</v>
      </c>
      <c r="M420" t="e">
        <f t="shared" si="28"/>
        <v>#DIV/0!</v>
      </c>
      <c r="N420" s="222">
        <f t="shared" si="29"/>
        <v>0</v>
      </c>
    </row>
    <row r="421" spans="11:14" x14ac:dyDescent="0.25">
      <c r="K421" s="146" t="e">
        <f t="shared" si="26"/>
        <v>#DIV/0!</v>
      </c>
      <c r="L421" s="146" t="e">
        <f t="shared" si="27"/>
        <v>#DIV/0!</v>
      </c>
      <c r="M421" t="e">
        <f t="shared" si="28"/>
        <v>#DIV/0!</v>
      </c>
      <c r="N421" s="222">
        <f t="shared" si="29"/>
        <v>0</v>
      </c>
    </row>
    <row r="422" spans="11:14" x14ac:dyDescent="0.25">
      <c r="K422" s="146" t="e">
        <f t="shared" si="26"/>
        <v>#DIV/0!</v>
      </c>
      <c r="L422" s="146" t="e">
        <f t="shared" si="27"/>
        <v>#DIV/0!</v>
      </c>
      <c r="M422" t="e">
        <f t="shared" si="28"/>
        <v>#DIV/0!</v>
      </c>
      <c r="N422" s="222">
        <f t="shared" si="29"/>
        <v>0</v>
      </c>
    </row>
    <row r="423" spans="11:14" x14ac:dyDescent="0.25">
      <c r="K423" s="146" t="e">
        <f t="shared" si="26"/>
        <v>#DIV/0!</v>
      </c>
      <c r="L423" s="146" t="e">
        <f t="shared" si="27"/>
        <v>#DIV/0!</v>
      </c>
      <c r="M423" t="e">
        <f t="shared" si="28"/>
        <v>#DIV/0!</v>
      </c>
      <c r="N423" s="222">
        <f t="shared" si="29"/>
        <v>0</v>
      </c>
    </row>
    <row r="424" spans="11:14" x14ac:dyDescent="0.25">
      <c r="K424" s="146" t="e">
        <f t="shared" si="26"/>
        <v>#DIV/0!</v>
      </c>
      <c r="L424" s="146" t="e">
        <f t="shared" si="27"/>
        <v>#DIV/0!</v>
      </c>
      <c r="M424" t="e">
        <f t="shared" si="28"/>
        <v>#DIV/0!</v>
      </c>
      <c r="N424" s="222">
        <f t="shared" si="29"/>
        <v>0</v>
      </c>
    </row>
    <row r="425" spans="11:14" x14ac:dyDescent="0.25">
      <c r="K425" s="146" t="e">
        <f t="shared" si="26"/>
        <v>#DIV/0!</v>
      </c>
      <c r="L425" s="146" t="e">
        <f t="shared" si="27"/>
        <v>#DIV/0!</v>
      </c>
      <c r="M425" t="e">
        <f t="shared" si="28"/>
        <v>#DIV/0!</v>
      </c>
      <c r="N425" s="222">
        <f t="shared" si="29"/>
        <v>0</v>
      </c>
    </row>
    <row r="426" spans="11:14" x14ac:dyDescent="0.25">
      <c r="K426" s="146" t="e">
        <f t="shared" si="26"/>
        <v>#DIV/0!</v>
      </c>
      <c r="L426" s="146" t="e">
        <f t="shared" si="27"/>
        <v>#DIV/0!</v>
      </c>
      <c r="M426" t="e">
        <f t="shared" si="28"/>
        <v>#DIV/0!</v>
      </c>
      <c r="N426" s="222">
        <f t="shared" si="29"/>
        <v>0</v>
      </c>
    </row>
    <row r="427" spans="11:14" x14ac:dyDescent="0.25">
      <c r="K427" s="146" t="e">
        <f t="shared" si="26"/>
        <v>#DIV/0!</v>
      </c>
      <c r="L427" s="146" t="e">
        <f t="shared" si="27"/>
        <v>#DIV/0!</v>
      </c>
      <c r="M427" t="e">
        <f t="shared" si="28"/>
        <v>#DIV/0!</v>
      </c>
      <c r="N427" s="222">
        <f t="shared" si="29"/>
        <v>0</v>
      </c>
    </row>
    <row r="428" spans="11:14" x14ac:dyDescent="0.25">
      <c r="K428" s="146" t="e">
        <f t="shared" si="26"/>
        <v>#DIV/0!</v>
      </c>
      <c r="L428" s="146" t="e">
        <f t="shared" si="27"/>
        <v>#DIV/0!</v>
      </c>
      <c r="M428" t="e">
        <f t="shared" si="28"/>
        <v>#DIV/0!</v>
      </c>
      <c r="N428" s="222">
        <f t="shared" si="29"/>
        <v>0</v>
      </c>
    </row>
    <row r="429" spans="11:14" x14ac:dyDescent="0.25">
      <c r="K429" s="146" t="e">
        <f t="shared" si="26"/>
        <v>#DIV/0!</v>
      </c>
      <c r="L429" s="146" t="e">
        <f t="shared" si="27"/>
        <v>#DIV/0!</v>
      </c>
      <c r="M429" t="e">
        <f t="shared" si="28"/>
        <v>#DIV/0!</v>
      </c>
      <c r="N429" s="222">
        <f t="shared" si="29"/>
        <v>0</v>
      </c>
    </row>
    <row r="430" spans="11:14" x14ac:dyDescent="0.25">
      <c r="K430" s="146" t="e">
        <f t="shared" si="26"/>
        <v>#DIV/0!</v>
      </c>
      <c r="L430" s="146" t="e">
        <f t="shared" si="27"/>
        <v>#DIV/0!</v>
      </c>
      <c r="M430" t="e">
        <f t="shared" si="28"/>
        <v>#DIV/0!</v>
      </c>
      <c r="N430" s="222">
        <f t="shared" si="29"/>
        <v>0</v>
      </c>
    </row>
    <row r="431" spans="11:14" x14ac:dyDescent="0.25">
      <c r="K431" s="146" t="e">
        <f t="shared" si="26"/>
        <v>#DIV/0!</v>
      </c>
      <c r="L431" s="146" t="e">
        <f t="shared" si="27"/>
        <v>#DIV/0!</v>
      </c>
      <c r="M431" t="e">
        <f t="shared" si="28"/>
        <v>#DIV/0!</v>
      </c>
      <c r="N431" s="222">
        <f t="shared" si="29"/>
        <v>0</v>
      </c>
    </row>
    <row r="432" spans="11:14" x14ac:dyDescent="0.25">
      <c r="K432" s="146" t="e">
        <f t="shared" si="26"/>
        <v>#DIV/0!</v>
      </c>
      <c r="L432" s="146" t="e">
        <f t="shared" si="27"/>
        <v>#DIV/0!</v>
      </c>
      <c r="M432" t="e">
        <f t="shared" si="28"/>
        <v>#DIV/0!</v>
      </c>
      <c r="N432" s="222">
        <f t="shared" si="29"/>
        <v>0</v>
      </c>
    </row>
    <row r="433" spans="11:14" x14ac:dyDescent="0.25">
      <c r="K433" s="146" t="e">
        <f t="shared" si="26"/>
        <v>#DIV/0!</v>
      </c>
      <c r="L433" s="146" t="e">
        <f t="shared" si="27"/>
        <v>#DIV/0!</v>
      </c>
      <c r="M433" t="e">
        <f t="shared" si="28"/>
        <v>#DIV/0!</v>
      </c>
      <c r="N433" s="222">
        <f t="shared" si="29"/>
        <v>0</v>
      </c>
    </row>
    <row r="434" spans="11:14" x14ac:dyDescent="0.25">
      <c r="K434" s="146" t="e">
        <f t="shared" si="26"/>
        <v>#DIV/0!</v>
      </c>
      <c r="L434" s="146" t="e">
        <f t="shared" si="27"/>
        <v>#DIV/0!</v>
      </c>
      <c r="M434" t="e">
        <f t="shared" si="28"/>
        <v>#DIV/0!</v>
      </c>
      <c r="N434" s="222">
        <f t="shared" si="29"/>
        <v>0</v>
      </c>
    </row>
    <row r="435" spans="11:14" x14ac:dyDescent="0.25">
      <c r="K435" s="146" t="e">
        <f t="shared" si="26"/>
        <v>#DIV/0!</v>
      </c>
      <c r="L435" s="146" t="e">
        <f t="shared" si="27"/>
        <v>#DIV/0!</v>
      </c>
      <c r="M435" t="e">
        <f t="shared" si="28"/>
        <v>#DIV/0!</v>
      </c>
      <c r="N435" s="222">
        <f t="shared" si="29"/>
        <v>0</v>
      </c>
    </row>
    <row r="436" spans="11:14" x14ac:dyDescent="0.25">
      <c r="K436" s="146" t="e">
        <f t="shared" si="26"/>
        <v>#DIV/0!</v>
      </c>
      <c r="L436" s="146" t="e">
        <f t="shared" si="27"/>
        <v>#DIV/0!</v>
      </c>
      <c r="M436" t="e">
        <f t="shared" si="28"/>
        <v>#DIV/0!</v>
      </c>
      <c r="N436" s="222">
        <f t="shared" si="29"/>
        <v>0</v>
      </c>
    </row>
    <row r="437" spans="11:14" x14ac:dyDescent="0.25">
      <c r="K437" s="146" t="e">
        <f t="shared" si="26"/>
        <v>#DIV/0!</v>
      </c>
      <c r="L437" s="146" t="e">
        <f t="shared" si="27"/>
        <v>#DIV/0!</v>
      </c>
      <c r="M437" t="e">
        <f t="shared" si="28"/>
        <v>#DIV/0!</v>
      </c>
      <c r="N437" s="222">
        <f t="shared" si="29"/>
        <v>0</v>
      </c>
    </row>
    <row r="438" spans="11:14" x14ac:dyDescent="0.25">
      <c r="K438" s="146" t="e">
        <f t="shared" si="26"/>
        <v>#DIV/0!</v>
      </c>
      <c r="L438" s="146" t="e">
        <f t="shared" si="27"/>
        <v>#DIV/0!</v>
      </c>
      <c r="M438" t="e">
        <f t="shared" si="28"/>
        <v>#DIV/0!</v>
      </c>
      <c r="N438" s="222">
        <f t="shared" si="29"/>
        <v>0</v>
      </c>
    </row>
    <row r="439" spans="11:14" x14ac:dyDescent="0.25">
      <c r="K439" s="146" t="e">
        <f t="shared" si="26"/>
        <v>#DIV/0!</v>
      </c>
      <c r="L439" s="146" t="e">
        <f t="shared" si="27"/>
        <v>#DIV/0!</v>
      </c>
      <c r="M439" t="e">
        <f t="shared" si="28"/>
        <v>#DIV/0!</v>
      </c>
      <c r="N439" s="222">
        <f t="shared" si="29"/>
        <v>0</v>
      </c>
    </row>
    <row r="440" spans="11:14" x14ac:dyDescent="0.25">
      <c r="K440" s="146" t="e">
        <f t="shared" si="26"/>
        <v>#DIV/0!</v>
      </c>
      <c r="L440" s="146" t="e">
        <f t="shared" si="27"/>
        <v>#DIV/0!</v>
      </c>
      <c r="M440" t="e">
        <f t="shared" si="28"/>
        <v>#DIV/0!</v>
      </c>
      <c r="N440" s="222">
        <f t="shared" si="29"/>
        <v>0</v>
      </c>
    </row>
    <row r="441" spans="11:14" x14ac:dyDescent="0.25">
      <c r="K441" s="146" t="e">
        <f t="shared" si="26"/>
        <v>#DIV/0!</v>
      </c>
      <c r="L441" s="146" t="e">
        <f t="shared" si="27"/>
        <v>#DIV/0!</v>
      </c>
      <c r="M441" t="e">
        <f t="shared" si="28"/>
        <v>#DIV/0!</v>
      </c>
      <c r="N441" s="222">
        <f t="shared" si="29"/>
        <v>0</v>
      </c>
    </row>
    <row r="442" spans="11:14" x14ac:dyDescent="0.25">
      <c r="K442" s="146" t="e">
        <f t="shared" si="26"/>
        <v>#DIV/0!</v>
      </c>
      <c r="L442" s="146" t="e">
        <f t="shared" si="27"/>
        <v>#DIV/0!</v>
      </c>
      <c r="M442" t="e">
        <f t="shared" si="28"/>
        <v>#DIV/0!</v>
      </c>
      <c r="N442" s="222">
        <f t="shared" si="29"/>
        <v>0</v>
      </c>
    </row>
    <row r="443" spans="11:14" x14ac:dyDescent="0.25">
      <c r="K443" s="146" t="e">
        <f t="shared" si="26"/>
        <v>#DIV/0!</v>
      </c>
      <c r="L443" s="146" t="e">
        <f t="shared" si="27"/>
        <v>#DIV/0!</v>
      </c>
      <c r="M443" t="e">
        <f t="shared" si="28"/>
        <v>#DIV/0!</v>
      </c>
      <c r="N443" s="222">
        <f t="shared" si="29"/>
        <v>0</v>
      </c>
    </row>
    <row r="444" spans="11:14" x14ac:dyDescent="0.25">
      <c r="K444" s="146" t="e">
        <f t="shared" si="26"/>
        <v>#DIV/0!</v>
      </c>
      <c r="L444" s="146" t="e">
        <f t="shared" si="27"/>
        <v>#DIV/0!</v>
      </c>
      <c r="M444" t="e">
        <f t="shared" si="28"/>
        <v>#DIV/0!</v>
      </c>
      <c r="N444" s="222">
        <f t="shared" si="29"/>
        <v>0</v>
      </c>
    </row>
    <row r="445" spans="11:14" x14ac:dyDescent="0.25">
      <c r="K445" s="146" t="e">
        <f t="shared" si="26"/>
        <v>#DIV/0!</v>
      </c>
      <c r="L445" s="146" t="e">
        <f t="shared" si="27"/>
        <v>#DIV/0!</v>
      </c>
      <c r="M445" t="e">
        <f t="shared" si="28"/>
        <v>#DIV/0!</v>
      </c>
      <c r="N445" s="222">
        <f t="shared" si="29"/>
        <v>0</v>
      </c>
    </row>
    <row r="446" spans="11:14" x14ac:dyDescent="0.25">
      <c r="K446" s="146" t="e">
        <f t="shared" si="26"/>
        <v>#DIV/0!</v>
      </c>
      <c r="L446" s="146" t="e">
        <f t="shared" si="27"/>
        <v>#DIV/0!</v>
      </c>
      <c r="M446" t="e">
        <f t="shared" si="28"/>
        <v>#DIV/0!</v>
      </c>
      <c r="N446" s="222">
        <f t="shared" si="29"/>
        <v>0</v>
      </c>
    </row>
    <row r="447" spans="11:14" x14ac:dyDescent="0.25">
      <c r="K447" s="146" t="e">
        <f t="shared" si="26"/>
        <v>#DIV/0!</v>
      </c>
      <c r="L447" s="146" t="e">
        <f t="shared" si="27"/>
        <v>#DIV/0!</v>
      </c>
      <c r="M447" t="e">
        <f t="shared" si="28"/>
        <v>#DIV/0!</v>
      </c>
      <c r="N447" s="222">
        <f t="shared" si="29"/>
        <v>0</v>
      </c>
    </row>
    <row r="448" spans="11:14" x14ac:dyDescent="0.25">
      <c r="K448" s="146" t="e">
        <f t="shared" si="26"/>
        <v>#DIV/0!</v>
      </c>
      <c r="L448" s="146" t="e">
        <f t="shared" si="27"/>
        <v>#DIV/0!</v>
      </c>
      <c r="M448" t="e">
        <f t="shared" si="28"/>
        <v>#DIV/0!</v>
      </c>
      <c r="N448" s="222">
        <f t="shared" si="29"/>
        <v>0</v>
      </c>
    </row>
    <row r="449" spans="11:14" x14ac:dyDescent="0.25">
      <c r="K449" s="146" t="e">
        <f t="shared" si="26"/>
        <v>#DIV/0!</v>
      </c>
      <c r="L449" s="146" t="e">
        <f t="shared" si="27"/>
        <v>#DIV/0!</v>
      </c>
      <c r="M449" t="e">
        <f t="shared" si="28"/>
        <v>#DIV/0!</v>
      </c>
      <c r="N449" s="222">
        <f t="shared" si="29"/>
        <v>0</v>
      </c>
    </row>
    <row r="450" spans="11:14" x14ac:dyDescent="0.25">
      <c r="K450" s="146" t="e">
        <f t="shared" ref="K450:K513" si="30">D450/E450</f>
        <v>#DIV/0!</v>
      </c>
      <c r="L450" s="146" t="e">
        <f t="shared" ref="L450:L513" si="31">D450/(C450+D450)</f>
        <v>#DIV/0!</v>
      </c>
      <c r="M450" t="e">
        <f t="shared" ref="M450:M513" si="32">IF(OR(IF(K450&lt;0.2,1,0),IF(L450&lt;0.5,1,0)),1,0)</f>
        <v>#DIV/0!</v>
      </c>
      <c r="N450" s="222">
        <f t="shared" ref="N450:N513" si="33">G450+H450+I450+J450</f>
        <v>0</v>
      </c>
    </row>
    <row r="451" spans="11:14" x14ac:dyDescent="0.25">
      <c r="K451" s="146" t="e">
        <f t="shared" si="30"/>
        <v>#DIV/0!</v>
      </c>
      <c r="L451" s="146" t="e">
        <f t="shared" si="31"/>
        <v>#DIV/0!</v>
      </c>
      <c r="M451" t="e">
        <f t="shared" si="32"/>
        <v>#DIV/0!</v>
      </c>
      <c r="N451" s="222">
        <f t="shared" si="33"/>
        <v>0</v>
      </c>
    </row>
    <row r="452" spans="11:14" x14ac:dyDescent="0.25">
      <c r="K452" s="146" t="e">
        <f t="shared" si="30"/>
        <v>#DIV/0!</v>
      </c>
      <c r="L452" s="146" t="e">
        <f t="shared" si="31"/>
        <v>#DIV/0!</v>
      </c>
      <c r="M452" t="e">
        <f t="shared" si="32"/>
        <v>#DIV/0!</v>
      </c>
      <c r="N452" s="222">
        <f t="shared" si="33"/>
        <v>0</v>
      </c>
    </row>
    <row r="453" spans="11:14" x14ac:dyDescent="0.25">
      <c r="K453" s="146" t="e">
        <f t="shared" si="30"/>
        <v>#DIV/0!</v>
      </c>
      <c r="L453" s="146" t="e">
        <f t="shared" si="31"/>
        <v>#DIV/0!</v>
      </c>
      <c r="M453" t="e">
        <f t="shared" si="32"/>
        <v>#DIV/0!</v>
      </c>
      <c r="N453" s="222">
        <f t="shared" si="33"/>
        <v>0</v>
      </c>
    </row>
    <row r="454" spans="11:14" x14ac:dyDescent="0.25">
      <c r="K454" s="146" t="e">
        <f t="shared" si="30"/>
        <v>#DIV/0!</v>
      </c>
      <c r="L454" s="146" t="e">
        <f t="shared" si="31"/>
        <v>#DIV/0!</v>
      </c>
      <c r="M454" t="e">
        <f t="shared" si="32"/>
        <v>#DIV/0!</v>
      </c>
      <c r="N454" s="222">
        <f t="shared" si="33"/>
        <v>0</v>
      </c>
    </row>
    <row r="455" spans="11:14" x14ac:dyDescent="0.25">
      <c r="K455" s="146" t="e">
        <f t="shared" si="30"/>
        <v>#DIV/0!</v>
      </c>
      <c r="L455" s="146" t="e">
        <f t="shared" si="31"/>
        <v>#DIV/0!</v>
      </c>
      <c r="M455" t="e">
        <f t="shared" si="32"/>
        <v>#DIV/0!</v>
      </c>
      <c r="N455" s="222">
        <f t="shared" si="33"/>
        <v>0</v>
      </c>
    </row>
    <row r="456" spans="11:14" x14ac:dyDescent="0.25">
      <c r="K456" s="146" t="e">
        <f t="shared" si="30"/>
        <v>#DIV/0!</v>
      </c>
      <c r="L456" s="146" t="e">
        <f t="shared" si="31"/>
        <v>#DIV/0!</v>
      </c>
      <c r="M456" t="e">
        <f t="shared" si="32"/>
        <v>#DIV/0!</v>
      </c>
      <c r="N456" s="222">
        <f t="shared" si="33"/>
        <v>0</v>
      </c>
    </row>
    <row r="457" spans="11:14" x14ac:dyDescent="0.25">
      <c r="K457" s="146" t="e">
        <f t="shared" si="30"/>
        <v>#DIV/0!</v>
      </c>
      <c r="L457" s="146" t="e">
        <f t="shared" si="31"/>
        <v>#DIV/0!</v>
      </c>
      <c r="M457" t="e">
        <f t="shared" si="32"/>
        <v>#DIV/0!</v>
      </c>
      <c r="N457" s="222">
        <f t="shared" si="33"/>
        <v>0</v>
      </c>
    </row>
    <row r="458" spans="11:14" x14ac:dyDescent="0.25">
      <c r="K458" s="146" t="e">
        <f t="shared" si="30"/>
        <v>#DIV/0!</v>
      </c>
      <c r="L458" s="146" t="e">
        <f t="shared" si="31"/>
        <v>#DIV/0!</v>
      </c>
      <c r="M458" t="e">
        <f t="shared" si="32"/>
        <v>#DIV/0!</v>
      </c>
      <c r="N458" s="222">
        <f t="shared" si="33"/>
        <v>0</v>
      </c>
    </row>
    <row r="459" spans="11:14" x14ac:dyDescent="0.25">
      <c r="K459" s="146" t="e">
        <f t="shared" si="30"/>
        <v>#DIV/0!</v>
      </c>
      <c r="L459" s="146" t="e">
        <f t="shared" si="31"/>
        <v>#DIV/0!</v>
      </c>
      <c r="M459" t="e">
        <f t="shared" si="32"/>
        <v>#DIV/0!</v>
      </c>
      <c r="N459" s="222">
        <f t="shared" si="33"/>
        <v>0</v>
      </c>
    </row>
    <row r="460" spans="11:14" x14ac:dyDescent="0.25">
      <c r="K460" s="146" t="e">
        <f t="shared" si="30"/>
        <v>#DIV/0!</v>
      </c>
      <c r="L460" s="146" t="e">
        <f t="shared" si="31"/>
        <v>#DIV/0!</v>
      </c>
      <c r="M460" t="e">
        <f t="shared" si="32"/>
        <v>#DIV/0!</v>
      </c>
      <c r="N460" s="222">
        <f t="shared" si="33"/>
        <v>0</v>
      </c>
    </row>
    <row r="461" spans="11:14" x14ac:dyDescent="0.25">
      <c r="K461" s="146" t="e">
        <f t="shared" si="30"/>
        <v>#DIV/0!</v>
      </c>
      <c r="L461" s="146" t="e">
        <f t="shared" si="31"/>
        <v>#DIV/0!</v>
      </c>
      <c r="M461" t="e">
        <f t="shared" si="32"/>
        <v>#DIV/0!</v>
      </c>
      <c r="N461" s="222">
        <f t="shared" si="33"/>
        <v>0</v>
      </c>
    </row>
    <row r="462" spans="11:14" x14ac:dyDescent="0.25">
      <c r="K462" s="146" t="e">
        <f t="shared" si="30"/>
        <v>#DIV/0!</v>
      </c>
      <c r="L462" s="146" t="e">
        <f t="shared" si="31"/>
        <v>#DIV/0!</v>
      </c>
      <c r="M462" t="e">
        <f t="shared" si="32"/>
        <v>#DIV/0!</v>
      </c>
      <c r="N462" s="222">
        <f t="shared" si="33"/>
        <v>0</v>
      </c>
    </row>
    <row r="463" spans="11:14" x14ac:dyDescent="0.25">
      <c r="K463" s="146" t="e">
        <f t="shared" si="30"/>
        <v>#DIV/0!</v>
      </c>
      <c r="L463" s="146" t="e">
        <f t="shared" si="31"/>
        <v>#DIV/0!</v>
      </c>
      <c r="M463" t="e">
        <f t="shared" si="32"/>
        <v>#DIV/0!</v>
      </c>
      <c r="N463" s="222">
        <f t="shared" si="33"/>
        <v>0</v>
      </c>
    </row>
    <row r="464" spans="11:14" x14ac:dyDescent="0.25">
      <c r="K464" s="146" t="e">
        <f t="shared" si="30"/>
        <v>#DIV/0!</v>
      </c>
      <c r="L464" s="146" t="e">
        <f t="shared" si="31"/>
        <v>#DIV/0!</v>
      </c>
      <c r="M464" t="e">
        <f t="shared" si="32"/>
        <v>#DIV/0!</v>
      </c>
      <c r="N464" s="222">
        <f t="shared" si="33"/>
        <v>0</v>
      </c>
    </row>
    <row r="465" spans="11:14" x14ac:dyDescent="0.25">
      <c r="K465" s="146" t="e">
        <f t="shared" si="30"/>
        <v>#DIV/0!</v>
      </c>
      <c r="L465" s="146" t="e">
        <f t="shared" si="31"/>
        <v>#DIV/0!</v>
      </c>
      <c r="M465" t="e">
        <f t="shared" si="32"/>
        <v>#DIV/0!</v>
      </c>
      <c r="N465" s="222">
        <f t="shared" si="33"/>
        <v>0</v>
      </c>
    </row>
    <row r="466" spans="11:14" x14ac:dyDescent="0.25">
      <c r="K466" s="146" t="e">
        <f t="shared" si="30"/>
        <v>#DIV/0!</v>
      </c>
      <c r="L466" s="146" t="e">
        <f t="shared" si="31"/>
        <v>#DIV/0!</v>
      </c>
      <c r="M466" t="e">
        <f t="shared" si="32"/>
        <v>#DIV/0!</v>
      </c>
      <c r="N466" s="222">
        <f t="shared" si="33"/>
        <v>0</v>
      </c>
    </row>
    <row r="467" spans="11:14" x14ac:dyDescent="0.25">
      <c r="K467" s="146" t="e">
        <f t="shared" si="30"/>
        <v>#DIV/0!</v>
      </c>
      <c r="L467" s="146" t="e">
        <f t="shared" si="31"/>
        <v>#DIV/0!</v>
      </c>
      <c r="M467" t="e">
        <f t="shared" si="32"/>
        <v>#DIV/0!</v>
      </c>
      <c r="N467" s="222">
        <f t="shared" si="33"/>
        <v>0</v>
      </c>
    </row>
    <row r="468" spans="11:14" x14ac:dyDescent="0.25">
      <c r="K468" s="146" t="e">
        <f t="shared" si="30"/>
        <v>#DIV/0!</v>
      </c>
      <c r="L468" s="146" t="e">
        <f t="shared" si="31"/>
        <v>#DIV/0!</v>
      </c>
      <c r="M468" t="e">
        <f t="shared" si="32"/>
        <v>#DIV/0!</v>
      </c>
      <c r="N468" s="222">
        <f t="shared" si="33"/>
        <v>0</v>
      </c>
    </row>
    <row r="469" spans="11:14" x14ac:dyDescent="0.25">
      <c r="K469" s="146" t="e">
        <f t="shared" si="30"/>
        <v>#DIV/0!</v>
      </c>
      <c r="L469" s="146" t="e">
        <f t="shared" si="31"/>
        <v>#DIV/0!</v>
      </c>
      <c r="M469" t="e">
        <f t="shared" si="32"/>
        <v>#DIV/0!</v>
      </c>
      <c r="N469" s="222">
        <f t="shared" si="33"/>
        <v>0</v>
      </c>
    </row>
    <row r="470" spans="11:14" x14ac:dyDescent="0.25">
      <c r="K470" s="146" t="e">
        <f t="shared" si="30"/>
        <v>#DIV/0!</v>
      </c>
      <c r="L470" s="146" t="e">
        <f t="shared" si="31"/>
        <v>#DIV/0!</v>
      </c>
      <c r="M470" t="e">
        <f t="shared" si="32"/>
        <v>#DIV/0!</v>
      </c>
      <c r="N470" s="222">
        <f t="shared" si="33"/>
        <v>0</v>
      </c>
    </row>
    <row r="471" spans="11:14" x14ac:dyDescent="0.25">
      <c r="K471" s="146" t="e">
        <f t="shared" si="30"/>
        <v>#DIV/0!</v>
      </c>
      <c r="L471" s="146" t="e">
        <f t="shared" si="31"/>
        <v>#DIV/0!</v>
      </c>
      <c r="M471" t="e">
        <f t="shared" si="32"/>
        <v>#DIV/0!</v>
      </c>
      <c r="N471" s="222">
        <f t="shared" si="33"/>
        <v>0</v>
      </c>
    </row>
    <row r="472" spans="11:14" x14ac:dyDescent="0.25">
      <c r="K472" s="146" t="e">
        <f t="shared" si="30"/>
        <v>#DIV/0!</v>
      </c>
      <c r="L472" s="146" t="e">
        <f t="shared" si="31"/>
        <v>#DIV/0!</v>
      </c>
      <c r="M472" t="e">
        <f t="shared" si="32"/>
        <v>#DIV/0!</v>
      </c>
      <c r="N472" s="222">
        <f t="shared" si="33"/>
        <v>0</v>
      </c>
    </row>
    <row r="473" spans="11:14" x14ac:dyDescent="0.25">
      <c r="K473" s="146" t="e">
        <f t="shared" si="30"/>
        <v>#DIV/0!</v>
      </c>
      <c r="L473" s="146" t="e">
        <f t="shared" si="31"/>
        <v>#DIV/0!</v>
      </c>
      <c r="M473" t="e">
        <f t="shared" si="32"/>
        <v>#DIV/0!</v>
      </c>
      <c r="N473" s="222">
        <f t="shared" si="33"/>
        <v>0</v>
      </c>
    </row>
    <row r="474" spans="11:14" x14ac:dyDescent="0.25">
      <c r="K474" s="146" t="e">
        <f t="shared" si="30"/>
        <v>#DIV/0!</v>
      </c>
      <c r="L474" s="146" t="e">
        <f t="shared" si="31"/>
        <v>#DIV/0!</v>
      </c>
      <c r="M474" t="e">
        <f t="shared" si="32"/>
        <v>#DIV/0!</v>
      </c>
      <c r="N474" s="222">
        <f t="shared" si="33"/>
        <v>0</v>
      </c>
    </row>
    <row r="475" spans="11:14" x14ac:dyDescent="0.25">
      <c r="K475" s="146" t="e">
        <f t="shared" si="30"/>
        <v>#DIV/0!</v>
      </c>
      <c r="L475" s="146" t="e">
        <f t="shared" si="31"/>
        <v>#DIV/0!</v>
      </c>
      <c r="M475" t="e">
        <f t="shared" si="32"/>
        <v>#DIV/0!</v>
      </c>
      <c r="N475" s="222">
        <f t="shared" si="33"/>
        <v>0</v>
      </c>
    </row>
    <row r="476" spans="11:14" x14ac:dyDescent="0.25">
      <c r="K476" s="146" t="e">
        <f t="shared" si="30"/>
        <v>#DIV/0!</v>
      </c>
      <c r="L476" s="146" t="e">
        <f t="shared" si="31"/>
        <v>#DIV/0!</v>
      </c>
      <c r="M476" t="e">
        <f t="shared" si="32"/>
        <v>#DIV/0!</v>
      </c>
      <c r="N476" s="222">
        <f t="shared" si="33"/>
        <v>0</v>
      </c>
    </row>
    <row r="477" spans="11:14" x14ac:dyDescent="0.25">
      <c r="K477" s="146" t="e">
        <f t="shared" si="30"/>
        <v>#DIV/0!</v>
      </c>
      <c r="L477" s="146" t="e">
        <f t="shared" si="31"/>
        <v>#DIV/0!</v>
      </c>
      <c r="M477" t="e">
        <f t="shared" si="32"/>
        <v>#DIV/0!</v>
      </c>
      <c r="N477" s="222">
        <f t="shared" si="33"/>
        <v>0</v>
      </c>
    </row>
    <row r="478" spans="11:14" x14ac:dyDescent="0.25">
      <c r="K478" s="146" t="e">
        <f t="shared" si="30"/>
        <v>#DIV/0!</v>
      </c>
      <c r="L478" s="146" t="e">
        <f t="shared" si="31"/>
        <v>#DIV/0!</v>
      </c>
      <c r="M478" t="e">
        <f t="shared" si="32"/>
        <v>#DIV/0!</v>
      </c>
      <c r="N478" s="222">
        <f t="shared" si="33"/>
        <v>0</v>
      </c>
    </row>
    <row r="479" spans="11:14" x14ac:dyDescent="0.25">
      <c r="K479" s="146" t="e">
        <f t="shared" si="30"/>
        <v>#DIV/0!</v>
      </c>
      <c r="L479" s="146" t="e">
        <f t="shared" si="31"/>
        <v>#DIV/0!</v>
      </c>
      <c r="M479" t="e">
        <f t="shared" si="32"/>
        <v>#DIV/0!</v>
      </c>
      <c r="N479" s="222">
        <f t="shared" si="33"/>
        <v>0</v>
      </c>
    </row>
    <row r="480" spans="11:14" x14ac:dyDescent="0.25">
      <c r="K480" s="146" t="e">
        <f t="shared" si="30"/>
        <v>#DIV/0!</v>
      </c>
      <c r="L480" s="146" t="e">
        <f t="shared" si="31"/>
        <v>#DIV/0!</v>
      </c>
      <c r="M480" t="e">
        <f t="shared" si="32"/>
        <v>#DIV/0!</v>
      </c>
      <c r="N480" s="222">
        <f t="shared" si="33"/>
        <v>0</v>
      </c>
    </row>
    <row r="481" spans="11:14" x14ac:dyDescent="0.25">
      <c r="K481" s="146" t="e">
        <f t="shared" si="30"/>
        <v>#DIV/0!</v>
      </c>
      <c r="L481" s="146" t="e">
        <f t="shared" si="31"/>
        <v>#DIV/0!</v>
      </c>
      <c r="M481" t="e">
        <f t="shared" si="32"/>
        <v>#DIV/0!</v>
      </c>
      <c r="N481" s="222">
        <f t="shared" si="33"/>
        <v>0</v>
      </c>
    </row>
    <row r="482" spans="11:14" x14ac:dyDescent="0.25">
      <c r="K482" s="146" t="e">
        <f t="shared" si="30"/>
        <v>#DIV/0!</v>
      </c>
      <c r="L482" s="146" t="e">
        <f t="shared" si="31"/>
        <v>#DIV/0!</v>
      </c>
      <c r="M482" t="e">
        <f t="shared" si="32"/>
        <v>#DIV/0!</v>
      </c>
      <c r="N482" s="222">
        <f t="shared" si="33"/>
        <v>0</v>
      </c>
    </row>
    <row r="483" spans="11:14" x14ac:dyDescent="0.25">
      <c r="K483" s="146" t="e">
        <f t="shared" si="30"/>
        <v>#DIV/0!</v>
      </c>
      <c r="L483" s="146" t="e">
        <f t="shared" si="31"/>
        <v>#DIV/0!</v>
      </c>
      <c r="M483" t="e">
        <f t="shared" si="32"/>
        <v>#DIV/0!</v>
      </c>
      <c r="N483" s="222">
        <f t="shared" si="33"/>
        <v>0</v>
      </c>
    </row>
    <row r="484" spans="11:14" x14ac:dyDescent="0.25">
      <c r="K484" s="146" t="e">
        <f t="shared" si="30"/>
        <v>#DIV/0!</v>
      </c>
      <c r="L484" s="146" t="e">
        <f t="shared" si="31"/>
        <v>#DIV/0!</v>
      </c>
      <c r="M484" t="e">
        <f t="shared" si="32"/>
        <v>#DIV/0!</v>
      </c>
      <c r="N484" s="222">
        <f t="shared" si="33"/>
        <v>0</v>
      </c>
    </row>
    <row r="485" spans="11:14" x14ac:dyDescent="0.25">
      <c r="K485" s="146" t="e">
        <f t="shared" si="30"/>
        <v>#DIV/0!</v>
      </c>
      <c r="L485" s="146" t="e">
        <f t="shared" si="31"/>
        <v>#DIV/0!</v>
      </c>
      <c r="M485" t="e">
        <f t="shared" si="32"/>
        <v>#DIV/0!</v>
      </c>
      <c r="N485" s="222">
        <f t="shared" si="33"/>
        <v>0</v>
      </c>
    </row>
    <row r="486" spans="11:14" x14ac:dyDescent="0.25">
      <c r="K486" s="146" t="e">
        <f t="shared" si="30"/>
        <v>#DIV/0!</v>
      </c>
      <c r="L486" s="146" t="e">
        <f t="shared" si="31"/>
        <v>#DIV/0!</v>
      </c>
      <c r="M486" t="e">
        <f t="shared" si="32"/>
        <v>#DIV/0!</v>
      </c>
      <c r="N486" s="222">
        <f t="shared" si="33"/>
        <v>0</v>
      </c>
    </row>
    <row r="487" spans="11:14" x14ac:dyDescent="0.25">
      <c r="K487" s="146" t="e">
        <f t="shared" si="30"/>
        <v>#DIV/0!</v>
      </c>
      <c r="L487" s="146" t="e">
        <f t="shared" si="31"/>
        <v>#DIV/0!</v>
      </c>
      <c r="M487" t="e">
        <f t="shared" si="32"/>
        <v>#DIV/0!</v>
      </c>
      <c r="N487" s="222">
        <f t="shared" si="33"/>
        <v>0</v>
      </c>
    </row>
    <row r="488" spans="11:14" x14ac:dyDescent="0.25">
      <c r="K488" s="146" t="e">
        <f t="shared" si="30"/>
        <v>#DIV/0!</v>
      </c>
      <c r="L488" s="146" t="e">
        <f t="shared" si="31"/>
        <v>#DIV/0!</v>
      </c>
      <c r="M488" t="e">
        <f t="shared" si="32"/>
        <v>#DIV/0!</v>
      </c>
      <c r="N488" s="222">
        <f t="shared" si="33"/>
        <v>0</v>
      </c>
    </row>
    <row r="489" spans="11:14" x14ac:dyDescent="0.25">
      <c r="K489" s="146" t="e">
        <f t="shared" si="30"/>
        <v>#DIV/0!</v>
      </c>
      <c r="L489" s="146" t="e">
        <f t="shared" si="31"/>
        <v>#DIV/0!</v>
      </c>
      <c r="M489" t="e">
        <f t="shared" si="32"/>
        <v>#DIV/0!</v>
      </c>
      <c r="N489" s="222">
        <f t="shared" si="33"/>
        <v>0</v>
      </c>
    </row>
    <row r="490" spans="11:14" x14ac:dyDescent="0.25">
      <c r="K490" s="146" t="e">
        <f t="shared" si="30"/>
        <v>#DIV/0!</v>
      </c>
      <c r="L490" s="146" t="e">
        <f t="shared" si="31"/>
        <v>#DIV/0!</v>
      </c>
      <c r="M490" t="e">
        <f t="shared" si="32"/>
        <v>#DIV/0!</v>
      </c>
      <c r="N490" s="222">
        <f t="shared" si="33"/>
        <v>0</v>
      </c>
    </row>
    <row r="491" spans="11:14" x14ac:dyDescent="0.25">
      <c r="K491" s="146" t="e">
        <f t="shared" si="30"/>
        <v>#DIV/0!</v>
      </c>
      <c r="L491" s="146" t="e">
        <f t="shared" si="31"/>
        <v>#DIV/0!</v>
      </c>
      <c r="M491" t="e">
        <f t="shared" si="32"/>
        <v>#DIV/0!</v>
      </c>
      <c r="N491" s="222">
        <f t="shared" si="33"/>
        <v>0</v>
      </c>
    </row>
    <row r="492" spans="11:14" x14ac:dyDescent="0.25">
      <c r="K492" s="146" t="e">
        <f t="shared" si="30"/>
        <v>#DIV/0!</v>
      </c>
      <c r="L492" s="146" t="e">
        <f t="shared" si="31"/>
        <v>#DIV/0!</v>
      </c>
      <c r="M492" t="e">
        <f t="shared" si="32"/>
        <v>#DIV/0!</v>
      </c>
      <c r="N492" s="222">
        <f t="shared" si="33"/>
        <v>0</v>
      </c>
    </row>
    <row r="493" spans="11:14" x14ac:dyDescent="0.25">
      <c r="K493" s="146" t="e">
        <f t="shared" si="30"/>
        <v>#DIV/0!</v>
      </c>
      <c r="L493" s="146" t="e">
        <f t="shared" si="31"/>
        <v>#DIV/0!</v>
      </c>
      <c r="M493" t="e">
        <f t="shared" si="32"/>
        <v>#DIV/0!</v>
      </c>
      <c r="N493" s="222">
        <f t="shared" si="33"/>
        <v>0</v>
      </c>
    </row>
    <row r="494" spans="11:14" x14ac:dyDescent="0.25">
      <c r="K494" s="146" t="e">
        <f t="shared" si="30"/>
        <v>#DIV/0!</v>
      </c>
      <c r="L494" s="146" t="e">
        <f t="shared" si="31"/>
        <v>#DIV/0!</v>
      </c>
      <c r="M494" t="e">
        <f t="shared" si="32"/>
        <v>#DIV/0!</v>
      </c>
      <c r="N494" s="222">
        <f t="shared" si="33"/>
        <v>0</v>
      </c>
    </row>
    <row r="495" spans="11:14" x14ac:dyDescent="0.25">
      <c r="K495" s="146" t="e">
        <f t="shared" si="30"/>
        <v>#DIV/0!</v>
      </c>
      <c r="L495" s="146" t="e">
        <f t="shared" si="31"/>
        <v>#DIV/0!</v>
      </c>
      <c r="M495" t="e">
        <f t="shared" si="32"/>
        <v>#DIV/0!</v>
      </c>
      <c r="N495" s="222">
        <f t="shared" si="33"/>
        <v>0</v>
      </c>
    </row>
    <row r="496" spans="11:14" x14ac:dyDescent="0.25">
      <c r="K496" s="146" t="e">
        <f t="shared" si="30"/>
        <v>#DIV/0!</v>
      </c>
      <c r="L496" s="146" t="e">
        <f t="shared" si="31"/>
        <v>#DIV/0!</v>
      </c>
      <c r="M496" t="e">
        <f t="shared" si="32"/>
        <v>#DIV/0!</v>
      </c>
      <c r="N496" s="222">
        <f t="shared" si="33"/>
        <v>0</v>
      </c>
    </row>
    <row r="497" spans="11:14" x14ac:dyDescent="0.25">
      <c r="K497" s="146" t="e">
        <f t="shared" si="30"/>
        <v>#DIV/0!</v>
      </c>
      <c r="L497" s="146" t="e">
        <f t="shared" si="31"/>
        <v>#DIV/0!</v>
      </c>
      <c r="M497" t="e">
        <f t="shared" si="32"/>
        <v>#DIV/0!</v>
      </c>
      <c r="N497" s="222">
        <f t="shared" si="33"/>
        <v>0</v>
      </c>
    </row>
    <row r="498" spans="11:14" x14ac:dyDescent="0.25">
      <c r="K498" s="146" t="e">
        <f t="shared" si="30"/>
        <v>#DIV/0!</v>
      </c>
      <c r="L498" s="146" t="e">
        <f t="shared" si="31"/>
        <v>#DIV/0!</v>
      </c>
      <c r="M498" t="e">
        <f t="shared" si="32"/>
        <v>#DIV/0!</v>
      </c>
      <c r="N498" s="222">
        <f t="shared" si="33"/>
        <v>0</v>
      </c>
    </row>
    <row r="499" spans="11:14" x14ac:dyDescent="0.25">
      <c r="K499" s="146" t="e">
        <f t="shared" si="30"/>
        <v>#DIV/0!</v>
      </c>
      <c r="L499" s="146" t="e">
        <f t="shared" si="31"/>
        <v>#DIV/0!</v>
      </c>
      <c r="M499" t="e">
        <f t="shared" si="32"/>
        <v>#DIV/0!</v>
      </c>
      <c r="N499" s="222">
        <f t="shared" si="33"/>
        <v>0</v>
      </c>
    </row>
    <row r="500" spans="11:14" x14ac:dyDescent="0.25">
      <c r="K500" s="146" t="e">
        <f t="shared" si="30"/>
        <v>#DIV/0!</v>
      </c>
      <c r="L500" s="146" t="e">
        <f t="shared" si="31"/>
        <v>#DIV/0!</v>
      </c>
      <c r="M500" t="e">
        <f t="shared" si="32"/>
        <v>#DIV/0!</v>
      </c>
      <c r="N500" s="222">
        <f t="shared" si="33"/>
        <v>0</v>
      </c>
    </row>
    <row r="501" spans="11:14" x14ac:dyDescent="0.25">
      <c r="K501" s="146" t="e">
        <f t="shared" si="30"/>
        <v>#DIV/0!</v>
      </c>
      <c r="L501" s="146" t="e">
        <f t="shared" si="31"/>
        <v>#DIV/0!</v>
      </c>
      <c r="M501" t="e">
        <f t="shared" si="32"/>
        <v>#DIV/0!</v>
      </c>
      <c r="N501" s="222">
        <f t="shared" si="33"/>
        <v>0</v>
      </c>
    </row>
    <row r="502" spans="11:14" x14ac:dyDescent="0.25">
      <c r="K502" s="146" t="e">
        <f t="shared" si="30"/>
        <v>#DIV/0!</v>
      </c>
      <c r="L502" s="146" t="e">
        <f t="shared" si="31"/>
        <v>#DIV/0!</v>
      </c>
      <c r="M502" t="e">
        <f t="shared" si="32"/>
        <v>#DIV/0!</v>
      </c>
      <c r="N502" s="222">
        <f t="shared" si="33"/>
        <v>0</v>
      </c>
    </row>
    <row r="503" spans="11:14" x14ac:dyDescent="0.25">
      <c r="K503" s="146" t="e">
        <f t="shared" si="30"/>
        <v>#DIV/0!</v>
      </c>
      <c r="L503" s="146" t="e">
        <f t="shared" si="31"/>
        <v>#DIV/0!</v>
      </c>
      <c r="M503" t="e">
        <f t="shared" si="32"/>
        <v>#DIV/0!</v>
      </c>
      <c r="N503" s="222">
        <f t="shared" si="33"/>
        <v>0</v>
      </c>
    </row>
    <row r="504" spans="11:14" x14ac:dyDescent="0.25">
      <c r="K504" s="146" t="e">
        <f t="shared" si="30"/>
        <v>#DIV/0!</v>
      </c>
      <c r="L504" s="146" t="e">
        <f t="shared" si="31"/>
        <v>#DIV/0!</v>
      </c>
      <c r="M504" t="e">
        <f t="shared" si="32"/>
        <v>#DIV/0!</v>
      </c>
      <c r="N504" s="222">
        <f t="shared" si="33"/>
        <v>0</v>
      </c>
    </row>
    <row r="505" spans="11:14" x14ac:dyDescent="0.25">
      <c r="K505" s="146" t="e">
        <f t="shared" si="30"/>
        <v>#DIV/0!</v>
      </c>
      <c r="L505" s="146" t="e">
        <f t="shared" si="31"/>
        <v>#DIV/0!</v>
      </c>
      <c r="M505" t="e">
        <f t="shared" si="32"/>
        <v>#DIV/0!</v>
      </c>
      <c r="N505" s="222">
        <f t="shared" si="33"/>
        <v>0</v>
      </c>
    </row>
    <row r="506" spans="11:14" x14ac:dyDescent="0.25">
      <c r="K506" s="146" t="e">
        <f t="shared" si="30"/>
        <v>#DIV/0!</v>
      </c>
      <c r="L506" s="146" t="e">
        <f t="shared" si="31"/>
        <v>#DIV/0!</v>
      </c>
      <c r="M506" t="e">
        <f t="shared" si="32"/>
        <v>#DIV/0!</v>
      </c>
      <c r="N506" s="222">
        <f t="shared" si="33"/>
        <v>0</v>
      </c>
    </row>
    <row r="507" spans="11:14" x14ac:dyDescent="0.25">
      <c r="K507" s="146" t="e">
        <f t="shared" si="30"/>
        <v>#DIV/0!</v>
      </c>
      <c r="L507" s="146" t="e">
        <f t="shared" si="31"/>
        <v>#DIV/0!</v>
      </c>
      <c r="M507" t="e">
        <f t="shared" si="32"/>
        <v>#DIV/0!</v>
      </c>
      <c r="N507" s="222">
        <f t="shared" si="33"/>
        <v>0</v>
      </c>
    </row>
    <row r="508" spans="11:14" x14ac:dyDescent="0.25">
      <c r="K508" s="146" t="e">
        <f t="shared" si="30"/>
        <v>#DIV/0!</v>
      </c>
      <c r="L508" s="146" t="e">
        <f t="shared" si="31"/>
        <v>#DIV/0!</v>
      </c>
      <c r="M508" t="e">
        <f t="shared" si="32"/>
        <v>#DIV/0!</v>
      </c>
      <c r="N508" s="222">
        <f t="shared" si="33"/>
        <v>0</v>
      </c>
    </row>
    <row r="509" spans="11:14" x14ac:dyDescent="0.25">
      <c r="K509" s="146" t="e">
        <f t="shared" si="30"/>
        <v>#DIV/0!</v>
      </c>
      <c r="L509" s="146" t="e">
        <f t="shared" si="31"/>
        <v>#DIV/0!</v>
      </c>
      <c r="M509" t="e">
        <f t="shared" si="32"/>
        <v>#DIV/0!</v>
      </c>
      <c r="N509" s="222">
        <f t="shared" si="33"/>
        <v>0</v>
      </c>
    </row>
    <row r="510" spans="11:14" x14ac:dyDescent="0.25">
      <c r="K510" s="146" t="e">
        <f t="shared" si="30"/>
        <v>#DIV/0!</v>
      </c>
      <c r="L510" s="146" t="e">
        <f t="shared" si="31"/>
        <v>#DIV/0!</v>
      </c>
      <c r="M510" t="e">
        <f t="shared" si="32"/>
        <v>#DIV/0!</v>
      </c>
      <c r="N510" s="222">
        <f t="shared" si="33"/>
        <v>0</v>
      </c>
    </row>
    <row r="511" spans="11:14" x14ac:dyDescent="0.25">
      <c r="K511" s="146" t="e">
        <f t="shared" si="30"/>
        <v>#DIV/0!</v>
      </c>
      <c r="L511" s="146" t="e">
        <f t="shared" si="31"/>
        <v>#DIV/0!</v>
      </c>
      <c r="M511" t="e">
        <f t="shared" si="32"/>
        <v>#DIV/0!</v>
      </c>
      <c r="N511" s="222">
        <f t="shared" si="33"/>
        <v>0</v>
      </c>
    </row>
    <row r="512" spans="11:14" x14ac:dyDescent="0.25">
      <c r="K512" s="146" t="e">
        <f t="shared" si="30"/>
        <v>#DIV/0!</v>
      </c>
      <c r="L512" s="146" t="e">
        <f t="shared" si="31"/>
        <v>#DIV/0!</v>
      </c>
      <c r="M512" t="e">
        <f t="shared" si="32"/>
        <v>#DIV/0!</v>
      </c>
      <c r="N512" s="222">
        <f t="shared" si="33"/>
        <v>0</v>
      </c>
    </row>
    <row r="513" spans="11:14" x14ac:dyDescent="0.25">
      <c r="K513" s="146" t="e">
        <f t="shared" si="30"/>
        <v>#DIV/0!</v>
      </c>
      <c r="L513" s="146" t="e">
        <f t="shared" si="31"/>
        <v>#DIV/0!</v>
      </c>
      <c r="M513" t="e">
        <f t="shared" si="32"/>
        <v>#DIV/0!</v>
      </c>
      <c r="N513" s="222">
        <f t="shared" si="33"/>
        <v>0</v>
      </c>
    </row>
    <row r="514" spans="11:14" x14ac:dyDescent="0.25">
      <c r="K514" s="146" t="e">
        <f t="shared" ref="K514:K577" si="34">D514/E514</f>
        <v>#DIV/0!</v>
      </c>
      <c r="L514" s="146" t="e">
        <f t="shared" ref="L514:L577" si="35">D514/(C514+D514)</f>
        <v>#DIV/0!</v>
      </c>
      <c r="M514" t="e">
        <f t="shared" ref="M514:M577" si="36">IF(OR(IF(K514&lt;0.2,1,0),IF(L514&lt;0.5,1,0)),1,0)</f>
        <v>#DIV/0!</v>
      </c>
      <c r="N514" s="222">
        <f t="shared" ref="N514:N577" si="37">G514+H514+I514+J514</f>
        <v>0</v>
      </c>
    </row>
    <row r="515" spans="11:14" x14ac:dyDescent="0.25">
      <c r="K515" s="146" t="e">
        <f t="shared" si="34"/>
        <v>#DIV/0!</v>
      </c>
      <c r="L515" s="146" t="e">
        <f t="shared" si="35"/>
        <v>#DIV/0!</v>
      </c>
      <c r="M515" t="e">
        <f t="shared" si="36"/>
        <v>#DIV/0!</v>
      </c>
      <c r="N515" s="222">
        <f t="shared" si="37"/>
        <v>0</v>
      </c>
    </row>
    <row r="516" spans="11:14" x14ac:dyDescent="0.25">
      <c r="K516" s="146" t="e">
        <f t="shared" si="34"/>
        <v>#DIV/0!</v>
      </c>
      <c r="L516" s="146" t="e">
        <f t="shared" si="35"/>
        <v>#DIV/0!</v>
      </c>
      <c r="M516" t="e">
        <f t="shared" si="36"/>
        <v>#DIV/0!</v>
      </c>
      <c r="N516" s="222">
        <f t="shared" si="37"/>
        <v>0</v>
      </c>
    </row>
    <row r="517" spans="11:14" x14ac:dyDescent="0.25">
      <c r="K517" s="146" t="e">
        <f t="shared" si="34"/>
        <v>#DIV/0!</v>
      </c>
      <c r="L517" s="146" t="e">
        <f t="shared" si="35"/>
        <v>#DIV/0!</v>
      </c>
      <c r="M517" t="e">
        <f t="shared" si="36"/>
        <v>#DIV/0!</v>
      </c>
      <c r="N517" s="222">
        <f t="shared" si="37"/>
        <v>0</v>
      </c>
    </row>
    <row r="518" spans="11:14" x14ac:dyDescent="0.25">
      <c r="K518" s="146" t="e">
        <f t="shared" si="34"/>
        <v>#DIV/0!</v>
      </c>
      <c r="L518" s="146" t="e">
        <f t="shared" si="35"/>
        <v>#DIV/0!</v>
      </c>
      <c r="M518" t="e">
        <f t="shared" si="36"/>
        <v>#DIV/0!</v>
      </c>
      <c r="N518" s="222">
        <f t="shared" si="37"/>
        <v>0</v>
      </c>
    </row>
    <row r="519" spans="11:14" x14ac:dyDescent="0.25">
      <c r="K519" s="146" t="e">
        <f t="shared" si="34"/>
        <v>#DIV/0!</v>
      </c>
      <c r="L519" s="146" t="e">
        <f t="shared" si="35"/>
        <v>#DIV/0!</v>
      </c>
      <c r="M519" t="e">
        <f t="shared" si="36"/>
        <v>#DIV/0!</v>
      </c>
      <c r="N519" s="222">
        <f t="shared" si="37"/>
        <v>0</v>
      </c>
    </row>
    <row r="520" spans="11:14" x14ac:dyDescent="0.25">
      <c r="K520" s="146" t="e">
        <f t="shared" si="34"/>
        <v>#DIV/0!</v>
      </c>
      <c r="L520" s="146" t="e">
        <f t="shared" si="35"/>
        <v>#DIV/0!</v>
      </c>
      <c r="M520" t="e">
        <f t="shared" si="36"/>
        <v>#DIV/0!</v>
      </c>
      <c r="N520" s="222">
        <f t="shared" si="37"/>
        <v>0</v>
      </c>
    </row>
    <row r="521" spans="11:14" x14ac:dyDescent="0.25">
      <c r="K521" s="146" t="e">
        <f t="shared" si="34"/>
        <v>#DIV/0!</v>
      </c>
      <c r="L521" s="146" t="e">
        <f t="shared" si="35"/>
        <v>#DIV/0!</v>
      </c>
      <c r="M521" t="e">
        <f t="shared" si="36"/>
        <v>#DIV/0!</v>
      </c>
      <c r="N521" s="222">
        <f t="shared" si="37"/>
        <v>0</v>
      </c>
    </row>
    <row r="522" spans="11:14" x14ac:dyDescent="0.25">
      <c r="K522" s="146" t="e">
        <f t="shared" si="34"/>
        <v>#DIV/0!</v>
      </c>
      <c r="L522" s="146" t="e">
        <f t="shared" si="35"/>
        <v>#DIV/0!</v>
      </c>
      <c r="M522" t="e">
        <f t="shared" si="36"/>
        <v>#DIV/0!</v>
      </c>
      <c r="N522" s="222">
        <f t="shared" si="37"/>
        <v>0</v>
      </c>
    </row>
    <row r="523" spans="11:14" x14ac:dyDescent="0.25">
      <c r="K523" s="146" t="e">
        <f t="shared" si="34"/>
        <v>#DIV/0!</v>
      </c>
      <c r="L523" s="146" t="e">
        <f t="shared" si="35"/>
        <v>#DIV/0!</v>
      </c>
      <c r="M523" t="e">
        <f t="shared" si="36"/>
        <v>#DIV/0!</v>
      </c>
      <c r="N523" s="222">
        <f t="shared" si="37"/>
        <v>0</v>
      </c>
    </row>
    <row r="524" spans="11:14" x14ac:dyDescent="0.25">
      <c r="K524" s="146" t="e">
        <f t="shared" si="34"/>
        <v>#DIV/0!</v>
      </c>
      <c r="L524" s="146" t="e">
        <f t="shared" si="35"/>
        <v>#DIV/0!</v>
      </c>
      <c r="M524" t="e">
        <f t="shared" si="36"/>
        <v>#DIV/0!</v>
      </c>
      <c r="N524" s="222">
        <f t="shared" si="37"/>
        <v>0</v>
      </c>
    </row>
    <row r="525" spans="11:14" x14ac:dyDescent="0.25">
      <c r="K525" s="146" t="e">
        <f t="shared" si="34"/>
        <v>#DIV/0!</v>
      </c>
      <c r="L525" s="146" t="e">
        <f t="shared" si="35"/>
        <v>#DIV/0!</v>
      </c>
      <c r="M525" t="e">
        <f t="shared" si="36"/>
        <v>#DIV/0!</v>
      </c>
      <c r="N525" s="222">
        <f t="shared" si="37"/>
        <v>0</v>
      </c>
    </row>
    <row r="526" spans="11:14" x14ac:dyDescent="0.25">
      <c r="K526" s="146" t="e">
        <f t="shared" si="34"/>
        <v>#DIV/0!</v>
      </c>
      <c r="L526" s="146" t="e">
        <f t="shared" si="35"/>
        <v>#DIV/0!</v>
      </c>
      <c r="M526" t="e">
        <f t="shared" si="36"/>
        <v>#DIV/0!</v>
      </c>
      <c r="N526" s="222">
        <f t="shared" si="37"/>
        <v>0</v>
      </c>
    </row>
    <row r="527" spans="11:14" x14ac:dyDescent="0.25">
      <c r="K527" s="146" t="e">
        <f t="shared" si="34"/>
        <v>#DIV/0!</v>
      </c>
      <c r="L527" s="146" t="e">
        <f t="shared" si="35"/>
        <v>#DIV/0!</v>
      </c>
      <c r="M527" t="e">
        <f t="shared" si="36"/>
        <v>#DIV/0!</v>
      </c>
      <c r="N527" s="222">
        <f t="shared" si="37"/>
        <v>0</v>
      </c>
    </row>
    <row r="528" spans="11:14" x14ac:dyDescent="0.25">
      <c r="K528" s="146" t="e">
        <f t="shared" si="34"/>
        <v>#DIV/0!</v>
      </c>
      <c r="L528" s="146" t="e">
        <f t="shared" si="35"/>
        <v>#DIV/0!</v>
      </c>
      <c r="M528" t="e">
        <f t="shared" si="36"/>
        <v>#DIV/0!</v>
      </c>
      <c r="N528" s="222">
        <f t="shared" si="37"/>
        <v>0</v>
      </c>
    </row>
    <row r="529" spans="11:14" x14ac:dyDescent="0.25">
      <c r="K529" s="146" t="e">
        <f t="shared" si="34"/>
        <v>#DIV/0!</v>
      </c>
      <c r="L529" s="146" t="e">
        <f t="shared" si="35"/>
        <v>#DIV/0!</v>
      </c>
      <c r="M529" t="e">
        <f t="shared" si="36"/>
        <v>#DIV/0!</v>
      </c>
      <c r="N529" s="222">
        <f t="shared" si="37"/>
        <v>0</v>
      </c>
    </row>
    <row r="530" spans="11:14" x14ac:dyDescent="0.25">
      <c r="K530" s="146" t="e">
        <f t="shared" si="34"/>
        <v>#DIV/0!</v>
      </c>
      <c r="L530" s="146" t="e">
        <f t="shared" si="35"/>
        <v>#DIV/0!</v>
      </c>
      <c r="M530" t="e">
        <f t="shared" si="36"/>
        <v>#DIV/0!</v>
      </c>
      <c r="N530" s="222">
        <f t="shared" si="37"/>
        <v>0</v>
      </c>
    </row>
    <row r="531" spans="11:14" x14ac:dyDescent="0.25">
      <c r="K531" s="146" t="e">
        <f t="shared" si="34"/>
        <v>#DIV/0!</v>
      </c>
      <c r="L531" s="146" t="e">
        <f t="shared" si="35"/>
        <v>#DIV/0!</v>
      </c>
      <c r="M531" t="e">
        <f t="shared" si="36"/>
        <v>#DIV/0!</v>
      </c>
      <c r="N531" s="222">
        <f t="shared" si="37"/>
        <v>0</v>
      </c>
    </row>
    <row r="532" spans="11:14" x14ac:dyDescent="0.25">
      <c r="K532" s="146" t="e">
        <f t="shared" si="34"/>
        <v>#DIV/0!</v>
      </c>
      <c r="L532" s="146" t="e">
        <f t="shared" si="35"/>
        <v>#DIV/0!</v>
      </c>
      <c r="M532" t="e">
        <f t="shared" si="36"/>
        <v>#DIV/0!</v>
      </c>
      <c r="N532" s="222">
        <f t="shared" si="37"/>
        <v>0</v>
      </c>
    </row>
    <row r="533" spans="11:14" x14ac:dyDescent="0.25">
      <c r="K533" s="146" t="e">
        <f t="shared" si="34"/>
        <v>#DIV/0!</v>
      </c>
      <c r="L533" s="146" t="e">
        <f t="shared" si="35"/>
        <v>#DIV/0!</v>
      </c>
      <c r="M533" t="e">
        <f t="shared" si="36"/>
        <v>#DIV/0!</v>
      </c>
      <c r="N533" s="222">
        <f t="shared" si="37"/>
        <v>0</v>
      </c>
    </row>
    <row r="534" spans="11:14" x14ac:dyDescent="0.25">
      <c r="K534" s="146" t="e">
        <f t="shared" si="34"/>
        <v>#DIV/0!</v>
      </c>
      <c r="L534" s="146" t="e">
        <f t="shared" si="35"/>
        <v>#DIV/0!</v>
      </c>
      <c r="M534" t="e">
        <f t="shared" si="36"/>
        <v>#DIV/0!</v>
      </c>
      <c r="N534" s="222">
        <f t="shared" si="37"/>
        <v>0</v>
      </c>
    </row>
    <row r="535" spans="11:14" x14ac:dyDescent="0.25">
      <c r="K535" s="146" t="e">
        <f t="shared" si="34"/>
        <v>#DIV/0!</v>
      </c>
      <c r="L535" s="146" t="e">
        <f t="shared" si="35"/>
        <v>#DIV/0!</v>
      </c>
      <c r="M535" t="e">
        <f t="shared" si="36"/>
        <v>#DIV/0!</v>
      </c>
      <c r="N535" s="222">
        <f t="shared" si="37"/>
        <v>0</v>
      </c>
    </row>
    <row r="536" spans="11:14" x14ac:dyDescent="0.25">
      <c r="K536" s="146" t="e">
        <f t="shared" si="34"/>
        <v>#DIV/0!</v>
      </c>
      <c r="L536" s="146" t="e">
        <f t="shared" si="35"/>
        <v>#DIV/0!</v>
      </c>
      <c r="M536" t="e">
        <f t="shared" si="36"/>
        <v>#DIV/0!</v>
      </c>
      <c r="N536" s="222">
        <f t="shared" si="37"/>
        <v>0</v>
      </c>
    </row>
    <row r="537" spans="11:14" x14ac:dyDescent="0.25">
      <c r="K537" s="146" t="e">
        <f t="shared" si="34"/>
        <v>#DIV/0!</v>
      </c>
      <c r="L537" s="146" t="e">
        <f t="shared" si="35"/>
        <v>#DIV/0!</v>
      </c>
      <c r="M537" t="e">
        <f t="shared" si="36"/>
        <v>#DIV/0!</v>
      </c>
      <c r="N537" s="222">
        <f t="shared" si="37"/>
        <v>0</v>
      </c>
    </row>
    <row r="538" spans="11:14" x14ac:dyDescent="0.25">
      <c r="K538" s="146" t="e">
        <f t="shared" si="34"/>
        <v>#DIV/0!</v>
      </c>
      <c r="L538" s="146" t="e">
        <f t="shared" si="35"/>
        <v>#DIV/0!</v>
      </c>
      <c r="M538" t="e">
        <f t="shared" si="36"/>
        <v>#DIV/0!</v>
      </c>
      <c r="N538" s="222">
        <f t="shared" si="37"/>
        <v>0</v>
      </c>
    </row>
    <row r="539" spans="11:14" x14ac:dyDescent="0.25">
      <c r="K539" s="146" t="e">
        <f t="shared" si="34"/>
        <v>#DIV/0!</v>
      </c>
      <c r="L539" s="146" t="e">
        <f t="shared" si="35"/>
        <v>#DIV/0!</v>
      </c>
      <c r="M539" t="e">
        <f t="shared" si="36"/>
        <v>#DIV/0!</v>
      </c>
      <c r="N539" s="222">
        <f t="shared" si="37"/>
        <v>0</v>
      </c>
    </row>
    <row r="540" spans="11:14" x14ac:dyDescent="0.25">
      <c r="K540" s="146" t="e">
        <f t="shared" si="34"/>
        <v>#DIV/0!</v>
      </c>
      <c r="L540" s="146" t="e">
        <f t="shared" si="35"/>
        <v>#DIV/0!</v>
      </c>
      <c r="M540" t="e">
        <f t="shared" si="36"/>
        <v>#DIV/0!</v>
      </c>
      <c r="N540" s="222">
        <f t="shared" si="37"/>
        <v>0</v>
      </c>
    </row>
    <row r="541" spans="11:14" x14ac:dyDescent="0.25">
      <c r="K541" s="146" t="e">
        <f t="shared" si="34"/>
        <v>#DIV/0!</v>
      </c>
      <c r="L541" s="146" t="e">
        <f t="shared" si="35"/>
        <v>#DIV/0!</v>
      </c>
      <c r="M541" t="e">
        <f t="shared" si="36"/>
        <v>#DIV/0!</v>
      </c>
      <c r="N541" s="222">
        <f t="shared" si="37"/>
        <v>0</v>
      </c>
    </row>
    <row r="542" spans="11:14" x14ac:dyDescent="0.25">
      <c r="K542" s="146" t="e">
        <f t="shared" si="34"/>
        <v>#DIV/0!</v>
      </c>
      <c r="L542" s="146" t="e">
        <f t="shared" si="35"/>
        <v>#DIV/0!</v>
      </c>
      <c r="M542" t="e">
        <f t="shared" si="36"/>
        <v>#DIV/0!</v>
      </c>
      <c r="N542" s="222">
        <f t="shared" si="37"/>
        <v>0</v>
      </c>
    </row>
    <row r="543" spans="11:14" x14ac:dyDescent="0.25">
      <c r="K543" s="146" t="e">
        <f t="shared" si="34"/>
        <v>#DIV/0!</v>
      </c>
      <c r="L543" s="146" t="e">
        <f t="shared" si="35"/>
        <v>#DIV/0!</v>
      </c>
      <c r="M543" t="e">
        <f t="shared" si="36"/>
        <v>#DIV/0!</v>
      </c>
      <c r="N543" s="222">
        <f t="shared" si="37"/>
        <v>0</v>
      </c>
    </row>
    <row r="544" spans="11:14" x14ac:dyDescent="0.25">
      <c r="K544" s="146" t="e">
        <f t="shared" si="34"/>
        <v>#DIV/0!</v>
      </c>
      <c r="L544" s="146" t="e">
        <f t="shared" si="35"/>
        <v>#DIV/0!</v>
      </c>
      <c r="M544" t="e">
        <f t="shared" si="36"/>
        <v>#DIV/0!</v>
      </c>
      <c r="N544" s="222">
        <f t="shared" si="37"/>
        <v>0</v>
      </c>
    </row>
    <row r="545" spans="11:14" x14ac:dyDescent="0.25">
      <c r="K545" s="146" t="e">
        <f t="shared" si="34"/>
        <v>#DIV/0!</v>
      </c>
      <c r="L545" s="146" t="e">
        <f t="shared" si="35"/>
        <v>#DIV/0!</v>
      </c>
      <c r="M545" t="e">
        <f t="shared" si="36"/>
        <v>#DIV/0!</v>
      </c>
      <c r="N545" s="222">
        <f t="shared" si="37"/>
        <v>0</v>
      </c>
    </row>
    <row r="546" spans="11:14" x14ac:dyDescent="0.25">
      <c r="K546" s="146" t="e">
        <f t="shared" si="34"/>
        <v>#DIV/0!</v>
      </c>
      <c r="L546" s="146" t="e">
        <f t="shared" si="35"/>
        <v>#DIV/0!</v>
      </c>
      <c r="M546" t="e">
        <f t="shared" si="36"/>
        <v>#DIV/0!</v>
      </c>
      <c r="N546" s="222">
        <f t="shared" si="37"/>
        <v>0</v>
      </c>
    </row>
    <row r="547" spans="11:14" x14ac:dyDescent="0.25">
      <c r="K547" s="146" t="e">
        <f t="shared" si="34"/>
        <v>#DIV/0!</v>
      </c>
      <c r="L547" s="146" t="e">
        <f t="shared" si="35"/>
        <v>#DIV/0!</v>
      </c>
      <c r="M547" t="e">
        <f t="shared" si="36"/>
        <v>#DIV/0!</v>
      </c>
      <c r="N547" s="222">
        <f t="shared" si="37"/>
        <v>0</v>
      </c>
    </row>
    <row r="548" spans="11:14" x14ac:dyDescent="0.25">
      <c r="K548" s="146" t="e">
        <f t="shared" si="34"/>
        <v>#DIV/0!</v>
      </c>
      <c r="L548" s="146" t="e">
        <f t="shared" si="35"/>
        <v>#DIV/0!</v>
      </c>
      <c r="M548" t="e">
        <f t="shared" si="36"/>
        <v>#DIV/0!</v>
      </c>
      <c r="N548" s="222">
        <f t="shared" si="37"/>
        <v>0</v>
      </c>
    </row>
    <row r="549" spans="11:14" x14ac:dyDescent="0.25">
      <c r="K549" s="146" t="e">
        <f t="shared" si="34"/>
        <v>#DIV/0!</v>
      </c>
      <c r="L549" s="146" t="e">
        <f t="shared" si="35"/>
        <v>#DIV/0!</v>
      </c>
      <c r="M549" t="e">
        <f t="shared" si="36"/>
        <v>#DIV/0!</v>
      </c>
      <c r="N549" s="222">
        <f t="shared" si="37"/>
        <v>0</v>
      </c>
    </row>
    <row r="550" spans="11:14" x14ac:dyDescent="0.25">
      <c r="K550" s="146" t="e">
        <f t="shared" si="34"/>
        <v>#DIV/0!</v>
      </c>
      <c r="L550" s="146" t="e">
        <f t="shared" si="35"/>
        <v>#DIV/0!</v>
      </c>
      <c r="M550" t="e">
        <f t="shared" si="36"/>
        <v>#DIV/0!</v>
      </c>
      <c r="N550" s="222">
        <f t="shared" si="37"/>
        <v>0</v>
      </c>
    </row>
    <row r="551" spans="11:14" x14ac:dyDescent="0.25">
      <c r="K551" s="146" t="e">
        <f t="shared" si="34"/>
        <v>#DIV/0!</v>
      </c>
      <c r="L551" s="146" t="e">
        <f t="shared" si="35"/>
        <v>#DIV/0!</v>
      </c>
      <c r="M551" t="e">
        <f t="shared" si="36"/>
        <v>#DIV/0!</v>
      </c>
      <c r="N551" s="222">
        <f t="shared" si="37"/>
        <v>0</v>
      </c>
    </row>
    <row r="552" spans="11:14" x14ac:dyDescent="0.25">
      <c r="K552" s="146" t="e">
        <f t="shared" si="34"/>
        <v>#DIV/0!</v>
      </c>
      <c r="L552" s="146" t="e">
        <f t="shared" si="35"/>
        <v>#DIV/0!</v>
      </c>
      <c r="M552" t="e">
        <f t="shared" si="36"/>
        <v>#DIV/0!</v>
      </c>
      <c r="N552" s="222">
        <f t="shared" si="37"/>
        <v>0</v>
      </c>
    </row>
    <row r="553" spans="11:14" x14ac:dyDescent="0.25">
      <c r="K553" s="146" t="e">
        <f t="shared" si="34"/>
        <v>#DIV/0!</v>
      </c>
      <c r="L553" s="146" t="e">
        <f t="shared" si="35"/>
        <v>#DIV/0!</v>
      </c>
      <c r="M553" t="e">
        <f t="shared" si="36"/>
        <v>#DIV/0!</v>
      </c>
      <c r="N553" s="222">
        <f t="shared" si="37"/>
        <v>0</v>
      </c>
    </row>
    <row r="554" spans="11:14" x14ac:dyDescent="0.25">
      <c r="K554" s="146" t="e">
        <f t="shared" si="34"/>
        <v>#DIV/0!</v>
      </c>
      <c r="L554" s="146" t="e">
        <f t="shared" si="35"/>
        <v>#DIV/0!</v>
      </c>
      <c r="M554" t="e">
        <f t="shared" si="36"/>
        <v>#DIV/0!</v>
      </c>
      <c r="N554" s="222">
        <f t="shared" si="37"/>
        <v>0</v>
      </c>
    </row>
    <row r="555" spans="11:14" x14ac:dyDescent="0.25">
      <c r="K555" s="146" t="e">
        <f t="shared" si="34"/>
        <v>#DIV/0!</v>
      </c>
      <c r="L555" s="146" t="e">
        <f t="shared" si="35"/>
        <v>#DIV/0!</v>
      </c>
      <c r="M555" t="e">
        <f t="shared" si="36"/>
        <v>#DIV/0!</v>
      </c>
      <c r="N555" s="222">
        <f t="shared" si="37"/>
        <v>0</v>
      </c>
    </row>
    <row r="556" spans="11:14" x14ac:dyDescent="0.25">
      <c r="K556" s="146" t="e">
        <f t="shared" si="34"/>
        <v>#DIV/0!</v>
      </c>
      <c r="L556" s="146" t="e">
        <f t="shared" si="35"/>
        <v>#DIV/0!</v>
      </c>
      <c r="M556" t="e">
        <f t="shared" si="36"/>
        <v>#DIV/0!</v>
      </c>
      <c r="N556" s="222">
        <f t="shared" si="37"/>
        <v>0</v>
      </c>
    </row>
    <row r="557" spans="11:14" x14ac:dyDescent="0.25">
      <c r="K557" s="146" t="e">
        <f t="shared" si="34"/>
        <v>#DIV/0!</v>
      </c>
      <c r="L557" s="146" t="e">
        <f t="shared" si="35"/>
        <v>#DIV/0!</v>
      </c>
      <c r="M557" t="e">
        <f t="shared" si="36"/>
        <v>#DIV/0!</v>
      </c>
      <c r="N557" s="222">
        <f t="shared" si="37"/>
        <v>0</v>
      </c>
    </row>
    <row r="558" spans="11:14" x14ac:dyDescent="0.25">
      <c r="K558" s="146" t="e">
        <f t="shared" si="34"/>
        <v>#DIV/0!</v>
      </c>
      <c r="L558" s="146" t="e">
        <f t="shared" si="35"/>
        <v>#DIV/0!</v>
      </c>
      <c r="M558" t="e">
        <f t="shared" si="36"/>
        <v>#DIV/0!</v>
      </c>
      <c r="N558" s="222">
        <f t="shared" si="37"/>
        <v>0</v>
      </c>
    </row>
    <row r="559" spans="11:14" x14ac:dyDescent="0.25">
      <c r="K559" s="146" t="e">
        <f t="shared" si="34"/>
        <v>#DIV/0!</v>
      </c>
      <c r="L559" s="146" t="e">
        <f t="shared" si="35"/>
        <v>#DIV/0!</v>
      </c>
      <c r="M559" t="e">
        <f t="shared" si="36"/>
        <v>#DIV/0!</v>
      </c>
      <c r="N559" s="222">
        <f t="shared" si="37"/>
        <v>0</v>
      </c>
    </row>
    <row r="560" spans="11:14" x14ac:dyDescent="0.25">
      <c r="K560" s="146" t="e">
        <f t="shared" si="34"/>
        <v>#DIV/0!</v>
      </c>
      <c r="L560" s="146" t="e">
        <f t="shared" si="35"/>
        <v>#DIV/0!</v>
      </c>
      <c r="M560" t="e">
        <f t="shared" si="36"/>
        <v>#DIV/0!</v>
      </c>
      <c r="N560" s="222">
        <f t="shared" si="37"/>
        <v>0</v>
      </c>
    </row>
    <row r="561" spans="11:14" x14ac:dyDescent="0.25">
      <c r="K561" s="146" t="e">
        <f t="shared" si="34"/>
        <v>#DIV/0!</v>
      </c>
      <c r="L561" s="146" t="e">
        <f t="shared" si="35"/>
        <v>#DIV/0!</v>
      </c>
      <c r="M561" t="e">
        <f t="shared" si="36"/>
        <v>#DIV/0!</v>
      </c>
      <c r="N561" s="222">
        <f t="shared" si="37"/>
        <v>0</v>
      </c>
    </row>
    <row r="562" spans="11:14" x14ac:dyDescent="0.25">
      <c r="K562" s="146" t="e">
        <f t="shared" si="34"/>
        <v>#DIV/0!</v>
      </c>
      <c r="L562" s="146" t="e">
        <f t="shared" si="35"/>
        <v>#DIV/0!</v>
      </c>
      <c r="M562" t="e">
        <f t="shared" si="36"/>
        <v>#DIV/0!</v>
      </c>
      <c r="N562" s="222">
        <f t="shared" si="37"/>
        <v>0</v>
      </c>
    </row>
    <row r="563" spans="11:14" x14ac:dyDescent="0.25">
      <c r="K563" s="146" t="e">
        <f t="shared" si="34"/>
        <v>#DIV/0!</v>
      </c>
      <c r="L563" s="146" t="e">
        <f t="shared" si="35"/>
        <v>#DIV/0!</v>
      </c>
      <c r="M563" t="e">
        <f t="shared" si="36"/>
        <v>#DIV/0!</v>
      </c>
      <c r="N563" s="222">
        <f t="shared" si="37"/>
        <v>0</v>
      </c>
    </row>
    <row r="564" spans="11:14" x14ac:dyDescent="0.25">
      <c r="K564" s="146" t="e">
        <f t="shared" si="34"/>
        <v>#DIV/0!</v>
      </c>
      <c r="L564" s="146" t="e">
        <f t="shared" si="35"/>
        <v>#DIV/0!</v>
      </c>
      <c r="M564" t="e">
        <f t="shared" si="36"/>
        <v>#DIV/0!</v>
      </c>
      <c r="N564" s="222">
        <f t="shared" si="37"/>
        <v>0</v>
      </c>
    </row>
    <row r="565" spans="11:14" x14ac:dyDescent="0.25">
      <c r="K565" s="146" t="e">
        <f t="shared" si="34"/>
        <v>#DIV/0!</v>
      </c>
      <c r="L565" s="146" t="e">
        <f t="shared" si="35"/>
        <v>#DIV/0!</v>
      </c>
      <c r="M565" t="e">
        <f t="shared" si="36"/>
        <v>#DIV/0!</v>
      </c>
      <c r="N565" s="222">
        <f t="shared" si="37"/>
        <v>0</v>
      </c>
    </row>
    <row r="566" spans="11:14" x14ac:dyDescent="0.25">
      <c r="K566" s="146" t="e">
        <f t="shared" si="34"/>
        <v>#DIV/0!</v>
      </c>
      <c r="L566" s="146" t="e">
        <f t="shared" si="35"/>
        <v>#DIV/0!</v>
      </c>
      <c r="M566" t="e">
        <f t="shared" si="36"/>
        <v>#DIV/0!</v>
      </c>
      <c r="N566" s="222">
        <f t="shared" si="37"/>
        <v>0</v>
      </c>
    </row>
    <row r="567" spans="11:14" x14ac:dyDescent="0.25">
      <c r="K567" s="146" t="e">
        <f t="shared" si="34"/>
        <v>#DIV/0!</v>
      </c>
      <c r="L567" s="146" t="e">
        <f t="shared" si="35"/>
        <v>#DIV/0!</v>
      </c>
      <c r="M567" t="e">
        <f t="shared" si="36"/>
        <v>#DIV/0!</v>
      </c>
      <c r="N567" s="222">
        <f t="shared" si="37"/>
        <v>0</v>
      </c>
    </row>
    <row r="568" spans="11:14" x14ac:dyDescent="0.25">
      <c r="K568" s="146" t="e">
        <f t="shared" si="34"/>
        <v>#DIV/0!</v>
      </c>
      <c r="L568" s="146" t="e">
        <f t="shared" si="35"/>
        <v>#DIV/0!</v>
      </c>
      <c r="M568" t="e">
        <f t="shared" si="36"/>
        <v>#DIV/0!</v>
      </c>
      <c r="N568" s="222">
        <f t="shared" si="37"/>
        <v>0</v>
      </c>
    </row>
    <row r="569" spans="11:14" x14ac:dyDescent="0.25">
      <c r="K569" s="146" t="e">
        <f t="shared" si="34"/>
        <v>#DIV/0!</v>
      </c>
      <c r="L569" s="146" t="e">
        <f t="shared" si="35"/>
        <v>#DIV/0!</v>
      </c>
      <c r="M569" t="e">
        <f t="shared" si="36"/>
        <v>#DIV/0!</v>
      </c>
      <c r="N569" s="222">
        <f t="shared" si="37"/>
        <v>0</v>
      </c>
    </row>
    <row r="570" spans="11:14" x14ac:dyDescent="0.25">
      <c r="K570" s="146" t="e">
        <f t="shared" si="34"/>
        <v>#DIV/0!</v>
      </c>
      <c r="L570" s="146" t="e">
        <f t="shared" si="35"/>
        <v>#DIV/0!</v>
      </c>
      <c r="M570" t="e">
        <f t="shared" si="36"/>
        <v>#DIV/0!</v>
      </c>
      <c r="N570" s="222">
        <f t="shared" si="37"/>
        <v>0</v>
      </c>
    </row>
    <row r="571" spans="11:14" x14ac:dyDescent="0.25">
      <c r="K571" s="146" t="e">
        <f t="shared" si="34"/>
        <v>#DIV/0!</v>
      </c>
      <c r="L571" s="146" t="e">
        <f t="shared" si="35"/>
        <v>#DIV/0!</v>
      </c>
      <c r="M571" t="e">
        <f t="shared" si="36"/>
        <v>#DIV/0!</v>
      </c>
      <c r="N571" s="222">
        <f t="shared" si="37"/>
        <v>0</v>
      </c>
    </row>
    <row r="572" spans="11:14" x14ac:dyDescent="0.25">
      <c r="K572" s="146" t="e">
        <f t="shared" si="34"/>
        <v>#DIV/0!</v>
      </c>
      <c r="L572" s="146" t="e">
        <f t="shared" si="35"/>
        <v>#DIV/0!</v>
      </c>
      <c r="M572" t="e">
        <f t="shared" si="36"/>
        <v>#DIV/0!</v>
      </c>
      <c r="N572" s="222">
        <f t="shared" si="37"/>
        <v>0</v>
      </c>
    </row>
    <row r="573" spans="11:14" x14ac:dyDescent="0.25">
      <c r="K573" s="146" t="e">
        <f t="shared" si="34"/>
        <v>#DIV/0!</v>
      </c>
      <c r="L573" s="146" t="e">
        <f t="shared" si="35"/>
        <v>#DIV/0!</v>
      </c>
      <c r="M573" t="e">
        <f t="shared" si="36"/>
        <v>#DIV/0!</v>
      </c>
      <c r="N573" s="222">
        <f t="shared" si="37"/>
        <v>0</v>
      </c>
    </row>
    <row r="574" spans="11:14" x14ac:dyDescent="0.25">
      <c r="K574" s="146" t="e">
        <f t="shared" si="34"/>
        <v>#DIV/0!</v>
      </c>
      <c r="L574" s="146" t="e">
        <f t="shared" si="35"/>
        <v>#DIV/0!</v>
      </c>
      <c r="M574" t="e">
        <f t="shared" si="36"/>
        <v>#DIV/0!</v>
      </c>
      <c r="N574" s="222">
        <f t="shared" si="37"/>
        <v>0</v>
      </c>
    </row>
    <row r="575" spans="11:14" x14ac:dyDescent="0.25">
      <c r="K575" s="146" t="e">
        <f t="shared" si="34"/>
        <v>#DIV/0!</v>
      </c>
      <c r="L575" s="146" t="e">
        <f t="shared" si="35"/>
        <v>#DIV/0!</v>
      </c>
      <c r="M575" t="e">
        <f t="shared" si="36"/>
        <v>#DIV/0!</v>
      </c>
      <c r="N575" s="222">
        <f t="shared" si="37"/>
        <v>0</v>
      </c>
    </row>
    <row r="576" spans="11:14" x14ac:dyDescent="0.25">
      <c r="K576" s="146" t="e">
        <f t="shared" si="34"/>
        <v>#DIV/0!</v>
      </c>
      <c r="L576" s="146" t="e">
        <f t="shared" si="35"/>
        <v>#DIV/0!</v>
      </c>
      <c r="M576" t="e">
        <f t="shared" si="36"/>
        <v>#DIV/0!</v>
      </c>
      <c r="N576" s="222">
        <f t="shared" si="37"/>
        <v>0</v>
      </c>
    </row>
    <row r="577" spans="11:14" x14ac:dyDescent="0.25">
      <c r="K577" s="146" t="e">
        <f t="shared" si="34"/>
        <v>#DIV/0!</v>
      </c>
      <c r="L577" s="146" t="e">
        <f t="shared" si="35"/>
        <v>#DIV/0!</v>
      </c>
      <c r="M577" t="e">
        <f t="shared" si="36"/>
        <v>#DIV/0!</v>
      </c>
      <c r="N577" s="222">
        <f t="shared" si="37"/>
        <v>0</v>
      </c>
    </row>
    <row r="578" spans="11:14" x14ac:dyDescent="0.25">
      <c r="K578" s="146" t="e">
        <f t="shared" ref="K578:K641" si="38">D578/E578</f>
        <v>#DIV/0!</v>
      </c>
      <c r="L578" s="146" t="e">
        <f t="shared" ref="L578:L641" si="39">D578/(C578+D578)</f>
        <v>#DIV/0!</v>
      </c>
      <c r="M578" t="e">
        <f t="shared" ref="M578:M641" si="40">IF(OR(IF(K578&lt;0.2,1,0),IF(L578&lt;0.5,1,0)),1,0)</f>
        <v>#DIV/0!</v>
      </c>
      <c r="N578" s="222">
        <f t="shared" ref="N578:N641" si="41">G578+H578+I578+J578</f>
        <v>0</v>
      </c>
    </row>
    <row r="579" spans="11:14" x14ac:dyDescent="0.25">
      <c r="K579" s="146" t="e">
        <f t="shared" si="38"/>
        <v>#DIV/0!</v>
      </c>
      <c r="L579" s="146" t="e">
        <f t="shared" si="39"/>
        <v>#DIV/0!</v>
      </c>
      <c r="M579" t="e">
        <f t="shared" si="40"/>
        <v>#DIV/0!</v>
      </c>
      <c r="N579" s="222">
        <f t="shared" si="41"/>
        <v>0</v>
      </c>
    </row>
    <row r="580" spans="11:14" x14ac:dyDescent="0.25">
      <c r="K580" s="146" t="e">
        <f t="shared" si="38"/>
        <v>#DIV/0!</v>
      </c>
      <c r="L580" s="146" t="e">
        <f t="shared" si="39"/>
        <v>#DIV/0!</v>
      </c>
      <c r="M580" t="e">
        <f t="shared" si="40"/>
        <v>#DIV/0!</v>
      </c>
      <c r="N580" s="222">
        <f t="shared" si="41"/>
        <v>0</v>
      </c>
    </row>
    <row r="581" spans="11:14" x14ac:dyDescent="0.25">
      <c r="K581" s="146" t="e">
        <f t="shared" si="38"/>
        <v>#DIV/0!</v>
      </c>
      <c r="L581" s="146" t="e">
        <f t="shared" si="39"/>
        <v>#DIV/0!</v>
      </c>
      <c r="M581" t="e">
        <f t="shared" si="40"/>
        <v>#DIV/0!</v>
      </c>
      <c r="N581" s="222">
        <f t="shared" si="41"/>
        <v>0</v>
      </c>
    </row>
    <row r="582" spans="11:14" x14ac:dyDescent="0.25">
      <c r="K582" s="146" t="e">
        <f t="shared" si="38"/>
        <v>#DIV/0!</v>
      </c>
      <c r="L582" s="146" t="e">
        <f t="shared" si="39"/>
        <v>#DIV/0!</v>
      </c>
      <c r="M582" t="e">
        <f t="shared" si="40"/>
        <v>#DIV/0!</v>
      </c>
      <c r="N582" s="222">
        <f t="shared" si="41"/>
        <v>0</v>
      </c>
    </row>
    <row r="583" spans="11:14" x14ac:dyDescent="0.25">
      <c r="K583" s="146" t="e">
        <f t="shared" si="38"/>
        <v>#DIV/0!</v>
      </c>
      <c r="L583" s="146" t="e">
        <f t="shared" si="39"/>
        <v>#DIV/0!</v>
      </c>
      <c r="M583" t="e">
        <f t="shared" si="40"/>
        <v>#DIV/0!</v>
      </c>
      <c r="N583" s="222">
        <f t="shared" si="41"/>
        <v>0</v>
      </c>
    </row>
    <row r="584" spans="11:14" x14ac:dyDescent="0.25">
      <c r="K584" s="146" t="e">
        <f t="shared" si="38"/>
        <v>#DIV/0!</v>
      </c>
      <c r="L584" s="146" t="e">
        <f t="shared" si="39"/>
        <v>#DIV/0!</v>
      </c>
      <c r="M584" t="e">
        <f t="shared" si="40"/>
        <v>#DIV/0!</v>
      </c>
      <c r="N584" s="222">
        <f t="shared" si="41"/>
        <v>0</v>
      </c>
    </row>
    <row r="585" spans="11:14" x14ac:dyDescent="0.25">
      <c r="K585" s="146" t="e">
        <f t="shared" si="38"/>
        <v>#DIV/0!</v>
      </c>
      <c r="L585" s="146" t="e">
        <f t="shared" si="39"/>
        <v>#DIV/0!</v>
      </c>
      <c r="M585" t="e">
        <f t="shared" si="40"/>
        <v>#DIV/0!</v>
      </c>
      <c r="N585" s="222">
        <f t="shared" si="41"/>
        <v>0</v>
      </c>
    </row>
    <row r="586" spans="11:14" x14ac:dyDescent="0.25">
      <c r="K586" s="146" t="e">
        <f t="shared" si="38"/>
        <v>#DIV/0!</v>
      </c>
      <c r="L586" s="146" t="e">
        <f t="shared" si="39"/>
        <v>#DIV/0!</v>
      </c>
      <c r="M586" t="e">
        <f t="shared" si="40"/>
        <v>#DIV/0!</v>
      </c>
      <c r="N586" s="222">
        <f t="shared" si="41"/>
        <v>0</v>
      </c>
    </row>
    <row r="587" spans="11:14" x14ac:dyDescent="0.25">
      <c r="K587" s="146" t="e">
        <f t="shared" si="38"/>
        <v>#DIV/0!</v>
      </c>
      <c r="L587" s="146" t="e">
        <f t="shared" si="39"/>
        <v>#DIV/0!</v>
      </c>
      <c r="M587" t="e">
        <f t="shared" si="40"/>
        <v>#DIV/0!</v>
      </c>
      <c r="N587" s="222">
        <f t="shared" si="41"/>
        <v>0</v>
      </c>
    </row>
    <row r="588" spans="11:14" x14ac:dyDescent="0.25">
      <c r="K588" s="146" t="e">
        <f t="shared" si="38"/>
        <v>#DIV/0!</v>
      </c>
      <c r="L588" s="146" t="e">
        <f t="shared" si="39"/>
        <v>#DIV/0!</v>
      </c>
      <c r="M588" t="e">
        <f t="shared" si="40"/>
        <v>#DIV/0!</v>
      </c>
      <c r="N588" s="222">
        <f t="shared" si="41"/>
        <v>0</v>
      </c>
    </row>
    <row r="589" spans="11:14" x14ac:dyDescent="0.25">
      <c r="K589" s="146" t="e">
        <f t="shared" si="38"/>
        <v>#DIV/0!</v>
      </c>
      <c r="L589" s="146" t="e">
        <f t="shared" si="39"/>
        <v>#DIV/0!</v>
      </c>
      <c r="M589" t="e">
        <f t="shared" si="40"/>
        <v>#DIV/0!</v>
      </c>
      <c r="N589" s="222">
        <f t="shared" si="41"/>
        <v>0</v>
      </c>
    </row>
    <row r="590" spans="11:14" x14ac:dyDescent="0.25">
      <c r="K590" s="146" t="e">
        <f t="shared" si="38"/>
        <v>#DIV/0!</v>
      </c>
      <c r="L590" s="146" t="e">
        <f t="shared" si="39"/>
        <v>#DIV/0!</v>
      </c>
      <c r="M590" t="e">
        <f t="shared" si="40"/>
        <v>#DIV/0!</v>
      </c>
      <c r="N590" s="222">
        <f t="shared" si="41"/>
        <v>0</v>
      </c>
    </row>
    <row r="591" spans="11:14" x14ac:dyDescent="0.25">
      <c r="K591" s="146" t="e">
        <f t="shared" si="38"/>
        <v>#DIV/0!</v>
      </c>
      <c r="L591" s="146" t="e">
        <f t="shared" si="39"/>
        <v>#DIV/0!</v>
      </c>
      <c r="M591" t="e">
        <f t="shared" si="40"/>
        <v>#DIV/0!</v>
      </c>
      <c r="N591" s="222">
        <f t="shared" si="41"/>
        <v>0</v>
      </c>
    </row>
    <row r="592" spans="11:14" x14ac:dyDescent="0.25">
      <c r="K592" s="146" t="e">
        <f t="shared" si="38"/>
        <v>#DIV/0!</v>
      </c>
      <c r="L592" s="146" t="e">
        <f t="shared" si="39"/>
        <v>#DIV/0!</v>
      </c>
      <c r="M592" t="e">
        <f t="shared" si="40"/>
        <v>#DIV/0!</v>
      </c>
      <c r="N592" s="222">
        <f t="shared" si="41"/>
        <v>0</v>
      </c>
    </row>
    <row r="593" spans="11:14" x14ac:dyDescent="0.25">
      <c r="K593" s="146" t="e">
        <f t="shared" si="38"/>
        <v>#DIV/0!</v>
      </c>
      <c r="L593" s="146" t="e">
        <f t="shared" si="39"/>
        <v>#DIV/0!</v>
      </c>
      <c r="M593" t="e">
        <f t="shared" si="40"/>
        <v>#DIV/0!</v>
      </c>
      <c r="N593" s="222">
        <f t="shared" si="41"/>
        <v>0</v>
      </c>
    </row>
    <row r="594" spans="11:14" x14ac:dyDescent="0.25">
      <c r="K594" s="146" t="e">
        <f t="shared" si="38"/>
        <v>#DIV/0!</v>
      </c>
      <c r="L594" s="146" t="e">
        <f t="shared" si="39"/>
        <v>#DIV/0!</v>
      </c>
      <c r="M594" t="e">
        <f t="shared" si="40"/>
        <v>#DIV/0!</v>
      </c>
      <c r="N594" s="222">
        <f t="shared" si="41"/>
        <v>0</v>
      </c>
    </row>
    <row r="595" spans="11:14" x14ac:dyDescent="0.25">
      <c r="K595" s="146" t="e">
        <f t="shared" si="38"/>
        <v>#DIV/0!</v>
      </c>
      <c r="L595" s="146" t="e">
        <f t="shared" si="39"/>
        <v>#DIV/0!</v>
      </c>
      <c r="M595" t="e">
        <f t="shared" si="40"/>
        <v>#DIV/0!</v>
      </c>
      <c r="N595" s="222">
        <f t="shared" si="41"/>
        <v>0</v>
      </c>
    </row>
    <row r="596" spans="11:14" x14ac:dyDescent="0.25">
      <c r="K596" s="146" t="e">
        <f t="shared" si="38"/>
        <v>#DIV/0!</v>
      </c>
      <c r="L596" s="146" t="e">
        <f t="shared" si="39"/>
        <v>#DIV/0!</v>
      </c>
      <c r="M596" t="e">
        <f t="shared" si="40"/>
        <v>#DIV/0!</v>
      </c>
      <c r="N596" s="222">
        <f t="shared" si="41"/>
        <v>0</v>
      </c>
    </row>
    <row r="597" spans="11:14" x14ac:dyDescent="0.25">
      <c r="K597" s="146" t="e">
        <f t="shared" si="38"/>
        <v>#DIV/0!</v>
      </c>
      <c r="L597" s="146" t="e">
        <f t="shared" si="39"/>
        <v>#DIV/0!</v>
      </c>
      <c r="M597" t="e">
        <f t="shared" si="40"/>
        <v>#DIV/0!</v>
      </c>
      <c r="N597" s="222">
        <f t="shared" si="41"/>
        <v>0</v>
      </c>
    </row>
    <row r="598" spans="11:14" x14ac:dyDescent="0.25">
      <c r="K598" s="146" t="e">
        <f t="shared" si="38"/>
        <v>#DIV/0!</v>
      </c>
      <c r="L598" s="146" t="e">
        <f t="shared" si="39"/>
        <v>#DIV/0!</v>
      </c>
      <c r="M598" t="e">
        <f t="shared" si="40"/>
        <v>#DIV/0!</v>
      </c>
      <c r="N598" s="222">
        <f t="shared" si="41"/>
        <v>0</v>
      </c>
    </row>
    <row r="599" spans="11:14" x14ac:dyDescent="0.25">
      <c r="K599" s="146" t="e">
        <f t="shared" si="38"/>
        <v>#DIV/0!</v>
      </c>
      <c r="L599" s="146" t="e">
        <f t="shared" si="39"/>
        <v>#DIV/0!</v>
      </c>
      <c r="M599" t="e">
        <f t="shared" si="40"/>
        <v>#DIV/0!</v>
      </c>
      <c r="N599" s="222">
        <f t="shared" si="41"/>
        <v>0</v>
      </c>
    </row>
    <row r="600" spans="11:14" x14ac:dyDescent="0.25">
      <c r="K600" s="146" t="e">
        <f t="shared" si="38"/>
        <v>#DIV/0!</v>
      </c>
      <c r="L600" s="146" t="e">
        <f t="shared" si="39"/>
        <v>#DIV/0!</v>
      </c>
      <c r="M600" t="e">
        <f t="shared" si="40"/>
        <v>#DIV/0!</v>
      </c>
      <c r="N600" s="222">
        <f t="shared" si="41"/>
        <v>0</v>
      </c>
    </row>
    <row r="601" spans="11:14" x14ac:dyDescent="0.25">
      <c r="K601" s="146" t="e">
        <f t="shared" si="38"/>
        <v>#DIV/0!</v>
      </c>
      <c r="L601" s="146" t="e">
        <f t="shared" si="39"/>
        <v>#DIV/0!</v>
      </c>
      <c r="M601" t="e">
        <f t="shared" si="40"/>
        <v>#DIV/0!</v>
      </c>
      <c r="N601" s="222">
        <f t="shared" si="41"/>
        <v>0</v>
      </c>
    </row>
    <row r="602" spans="11:14" x14ac:dyDescent="0.25">
      <c r="K602" s="146" t="e">
        <f t="shared" si="38"/>
        <v>#DIV/0!</v>
      </c>
      <c r="L602" s="146" t="e">
        <f t="shared" si="39"/>
        <v>#DIV/0!</v>
      </c>
      <c r="M602" t="e">
        <f t="shared" si="40"/>
        <v>#DIV/0!</v>
      </c>
      <c r="N602" s="222">
        <f t="shared" si="41"/>
        <v>0</v>
      </c>
    </row>
    <row r="603" spans="11:14" x14ac:dyDescent="0.25">
      <c r="K603" s="146" t="e">
        <f t="shared" si="38"/>
        <v>#DIV/0!</v>
      </c>
      <c r="L603" s="146" t="e">
        <f t="shared" si="39"/>
        <v>#DIV/0!</v>
      </c>
      <c r="M603" t="e">
        <f t="shared" si="40"/>
        <v>#DIV/0!</v>
      </c>
      <c r="N603" s="222">
        <f t="shared" si="41"/>
        <v>0</v>
      </c>
    </row>
    <row r="604" spans="11:14" x14ac:dyDescent="0.25">
      <c r="K604" s="146" t="e">
        <f t="shared" si="38"/>
        <v>#DIV/0!</v>
      </c>
      <c r="L604" s="146" t="e">
        <f t="shared" si="39"/>
        <v>#DIV/0!</v>
      </c>
      <c r="M604" t="e">
        <f t="shared" si="40"/>
        <v>#DIV/0!</v>
      </c>
      <c r="N604" s="222">
        <f t="shared" si="41"/>
        <v>0</v>
      </c>
    </row>
    <row r="605" spans="11:14" x14ac:dyDescent="0.25">
      <c r="K605" s="146" t="e">
        <f t="shared" si="38"/>
        <v>#DIV/0!</v>
      </c>
      <c r="L605" s="146" t="e">
        <f t="shared" si="39"/>
        <v>#DIV/0!</v>
      </c>
      <c r="M605" t="e">
        <f t="shared" si="40"/>
        <v>#DIV/0!</v>
      </c>
      <c r="N605" s="222">
        <f t="shared" si="41"/>
        <v>0</v>
      </c>
    </row>
    <row r="606" spans="11:14" x14ac:dyDescent="0.25">
      <c r="K606" s="146" t="e">
        <f t="shared" si="38"/>
        <v>#DIV/0!</v>
      </c>
      <c r="L606" s="146" t="e">
        <f t="shared" si="39"/>
        <v>#DIV/0!</v>
      </c>
      <c r="M606" t="e">
        <f t="shared" si="40"/>
        <v>#DIV/0!</v>
      </c>
      <c r="N606" s="222">
        <f t="shared" si="41"/>
        <v>0</v>
      </c>
    </row>
    <row r="607" spans="11:14" x14ac:dyDescent="0.25">
      <c r="K607" s="146" t="e">
        <f t="shared" si="38"/>
        <v>#DIV/0!</v>
      </c>
      <c r="L607" s="146" t="e">
        <f t="shared" si="39"/>
        <v>#DIV/0!</v>
      </c>
      <c r="M607" t="e">
        <f t="shared" si="40"/>
        <v>#DIV/0!</v>
      </c>
      <c r="N607" s="222">
        <f t="shared" si="41"/>
        <v>0</v>
      </c>
    </row>
    <row r="608" spans="11:14" x14ac:dyDescent="0.25">
      <c r="K608" s="146" t="e">
        <f t="shared" si="38"/>
        <v>#DIV/0!</v>
      </c>
      <c r="L608" s="146" t="e">
        <f t="shared" si="39"/>
        <v>#DIV/0!</v>
      </c>
      <c r="M608" t="e">
        <f t="shared" si="40"/>
        <v>#DIV/0!</v>
      </c>
      <c r="N608" s="222">
        <f t="shared" si="41"/>
        <v>0</v>
      </c>
    </row>
    <row r="609" spans="11:14" x14ac:dyDescent="0.25">
      <c r="K609" s="146" t="e">
        <f t="shared" si="38"/>
        <v>#DIV/0!</v>
      </c>
      <c r="L609" s="146" t="e">
        <f t="shared" si="39"/>
        <v>#DIV/0!</v>
      </c>
      <c r="M609" t="e">
        <f t="shared" si="40"/>
        <v>#DIV/0!</v>
      </c>
      <c r="N609" s="222">
        <f t="shared" si="41"/>
        <v>0</v>
      </c>
    </row>
    <row r="610" spans="11:14" x14ac:dyDescent="0.25">
      <c r="K610" s="146" t="e">
        <f t="shared" si="38"/>
        <v>#DIV/0!</v>
      </c>
      <c r="L610" s="146" t="e">
        <f t="shared" si="39"/>
        <v>#DIV/0!</v>
      </c>
      <c r="M610" t="e">
        <f t="shared" si="40"/>
        <v>#DIV/0!</v>
      </c>
      <c r="N610" s="222">
        <f t="shared" si="41"/>
        <v>0</v>
      </c>
    </row>
    <row r="611" spans="11:14" x14ac:dyDescent="0.25">
      <c r="K611" s="146" t="e">
        <f t="shared" si="38"/>
        <v>#DIV/0!</v>
      </c>
      <c r="L611" s="146" t="e">
        <f t="shared" si="39"/>
        <v>#DIV/0!</v>
      </c>
      <c r="M611" t="e">
        <f t="shared" si="40"/>
        <v>#DIV/0!</v>
      </c>
      <c r="N611" s="222">
        <f t="shared" si="41"/>
        <v>0</v>
      </c>
    </row>
    <row r="612" spans="11:14" x14ac:dyDescent="0.25">
      <c r="K612" s="146" t="e">
        <f t="shared" si="38"/>
        <v>#DIV/0!</v>
      </c>
      <c r="L612" s="146" t="e">
        <f t="shared" si="39"/>
        <v>#DIV/0!</v>
      </c>
      <c r="M612" t="e">
        <f t="shared" si="40"/>
        <v>#DIV/0!</v>
      </c>
      <c r="N612" s="222">
        <f t="shared" si="41"/>
        <v>0</v>
      </c>
    </row>
    <row r="613" spans="11:14" x14ac:dyDescent="0.25">
      <c r="K613" s="146" t="e">
        <f t="shared" si="38"/>
        <v>#DIV/0!</v>
      </c>
      <c r="L613" s="146" t="e">
        <f t="shared" si="39"/>
        <v>#DIV/0!</v>
      </c>
      <c r="M613" t="e">
        <f t="shared" si="40"/>
        <v>#DIV/0!</v>
      </c>
      <c r="N613" s="222">
        <f t="shared" si="41"/>
        <v>0</v>
      </c>
    </row>
    <row r="614" spans="11:14" x14ac:dyDescent="0.25">
      <c r="K614" s="146" t="e">
        <f t="shared" si="38"/>
        <v>#DIV/0!</v>
      </c>
      <c r="L614" s="146" t="e">
        <f t="shared" si="39"/>
        <v>#DIV/0!</v>
      </c>
      <c r="M614" t="e">
        <f t="shared" si="40"/>
        <v>#DIV/0!</v>
      </c>
      <c r="N614" s="222">
        <f t="shared" si="41"/>
        <v>0</v>
      </c>
    </row>
    <row r="615" spans="11:14" x14ac:dyDescent="0.25">
      <c r="K615" s="146" t="e">
        <f t="shared" si="38"/>
        <v>#DIV/0!</v>
      </c>
      <c r="L615" s="146" t="e">
        <f t="shared" si="39"/>
        <v>#DIV/0!</v>
      </c>
      <c r="M615" t="e">
        <f t="shared" si="40"/>
        <v>#DIV/0!</v>
      </c>
      <c r="N615" s="222">
        <f t="shared" si="41"/>
        <v>0</v>
      </c>
    </row>
    <row r="616" spans="11:14" x14ac:dyDescent="0.25">
      <c r="K616" s="146" t="e">
        <f t="shared" si="38"/>
        <v>#DIV/0!</v>
      </c>
      <c r="L616" s="146" t="e">
        <f t="shared" si="39"/>
        <v>#DIV/0!</v>
      </c>
      <c r="M616" t="e">
        <f t="shared" si="40"/>
        <v>#DIV/0!</v>
      </c>
      <c r="N616" s="222">
        <f t="shared" si="41"/>
        <v>0</v>
      </c>
    </row>
    <row r="617" spans="11:14" x14ac:dyDescent="0.25">
      <c r="K617" s="146" t="e">
        <f t="shared" si="38"/>
        <v>#DIV/0!</v>
      </c>
      <c r="L617" s="146" t="e">
        <f t="shared" si="39"/>
        <v>#DIV/0!</v>
      </c>
      <c r="M617" t="e">
        <f t="shared" si="40"/>
        <v>#DIV/0!</v>
      </c>
      <c r="N617" s="222">
        <f t="shared" si="41"/>
        <v>0</v>
      </c>
    </row>
    <row r="618" spans="11:14" x14ac:dyDescent="0.25">
      <c r="K618" s="146" t="e">
        <f t="shared" si="38"/>
        <v>#DIV/0!</v>
      </c>
      <c r="L618" s="146" t="e">
        <f t="shared" si="39"/>
        <v>#DIV/0!</v>
      </c>
      <c r="M618" t="e">
        <f t="shared" si="40"/>
        <v>#DIV/0!</v>
      </c>
      <c r="N618" s="222">
        <f t="shared" si="41"/>
        <v>0</v>
      </c>
    </row>
    <row r="619" spans="11:14" x14ac:dyDescent="0.25">
      <c r="K619" s="146" t="e">
        <f t="shared" si="38"/>
        <v>#DIV/0!</v>
      </c>
      <c r="L619" s="146" t="e">
        <f t="shared" si="39"/>
        <v>#DIV/0!</v>
      </c>
      <c r="M619" t="e">
        <f t="shared" si="40"/>
        <v>#DIV/0!</v>
      </c>
      <c r="N619" s="222">
        <f t="shared" si="41"/>
        <v>0</v>
      </c>
    </row>
    <row r="620" spans="11:14" x14ac:dyDescent="0.25">
      <c r="K620" s="146" t="e">
        <f t="shared" si="38"/>
        <v>#DIV/0!</v>
      </c>
      <c r="L620" s="146" t="e">
        <f t="shared" si="39"/>
        <v>#DIV/0!</v>
      </c>
      <c r="M620" t="e">
        <f t="shared" si="40"/>
        <v>#DIV/0!</v>
      </c>
      <c r="N620" s="222">
        <f t="shared" si="41"/>
        <v>0</v>
      </c>
    </row>
    <row r="621" spans="11:14" x14ac:dyDescent="0.25">
      <c r="K621" s="146" t="e">
        <f t="shared" si="38"/>
        <v>#DIV/0!</v>
      </c>
      <c r="L621" s="146" t="e">
        <f t="shared" si="39"/>
        <v>#DIV/0!</v>
      </c>
      <c r="M621" t="e">
        <f t="shared" si="40"/>
        <v>#DIV/0!</v>
      </c>
      <c r="N621" s="222">
        <f t="shared" si="41"/>
        <v>0</v>
      </c>
    </row>
    <row r="622" spans="11:14" x14ac:dyDescent="0.25">
      <c r="K622" s="146" t="e">
        <f t="shared" si="38"/>
        <v>#DIV/0!</v>
      </c>
      <c r="L622" s="146" t="e">
        <f t="shared" si="39"/>
        <v>#DIV/0!</v>
      </c>
      <c r="M622" t="e">
        <f t="shared" si="40"/>
        <v>#DIV/0!</v>
      </c>
      <c r="N622" s="222">
        <f t="shared" si="41"/>
        <v>0</v>
      </c>
    </row>
    <row r="623" spans="11:14" x14ac:dyDescent="0.25">
      <c r="K623" s="146" t="e">
        <f t="shared" si="38"/>
        <v>#DIV/0!</v>
      </c>
      <c r="L623" s="146" t="e">
        <f t="shared" si="39"/>
        <v>#DIV/0!</v>
      </c>
      <c r="M623" t="e">
        <f t="shared" si="40"/>
        <v>#DIV/0!</v>
      </c>
      <c r="N623" s="222">
        <f t="shared" si="41"/>
        <v>0</v>
      </c>
    </row>
    <row r="624" spans="11:14" x14ac:dyDescent="0.25">
      <c r="K624" s="146" t="e">
        <f t="shared" si="38"/>
        <v>#DIV/0!</v>
      </c>
      <c r="L624" s="146" t="e">
        <f t="shared" si="39"/>
        <v>#DIV/0!</v>
      </c>
      <c r="M624" t="e">
        <f t="shared" si="40"/>
        <v>#DIV/0!</v>
      </c>
      <c r="N624" s="222">
        <f t="shared" si="41"/>
        <v>0</v>
      </c>
    </row>
    <row r="625" spans="11:14" x14ac:dyDescent="0.25">
      <c r="K625" s="146" t="e">
        <f t="shared" si="38"/>
        <v>#DIV/0!</v>
      </c>
      <c r="L625" s="146" t="e">
        <f t="shared" si="39"/>
        <v>#DIV/0!</v>
      </c>
      <c r="M625" t="e">
        <f t="shared" si="40"/>
        <v>#DIV/0!</v>
      </c>
      <c r="N625" s="222">
        <f t="shared" si="41"/>
        <v>0</v>
      </c>
    </row>
    <row r="626" spans="11:14" x14ac:dyDescent="0.25">
      <c r="K626" s="146" t="e">
        <f t="shared" si="38"/>
        <v>#DIV/0!</v>
      </c>
      <c r="L626" s="146" t="e">
        <f t="shared" si="39"/>
        <v>#DIV/0!</v>
      </c>
      <c r="M626" t="e">
        <f t="shared" si="40"/>
        <v>#DIV/0!</v>
      </c>
      <c r="N626" s="222">
        <f t="shared" si="41"/>
        <v>0</v>
      </c>
    </row>
    <row r="627" spans="11:14" x14ac:dyDescent="0.25">
      <c r="K627" s="146" t="e">
        <f t="shared" si="38"/>
        <v>#DIV/0!</v>
      </c>
      <c r="L627" s="146" t="e">
        <f t="shared" si="39"/>
        <v>#DIV/0!</v>
      </c>
      <c r="M627" t="e">
        <f t="shared" si="40"/>
        <v>#DIV/0!</v>
      </c>
      <c r="N627" s="222">
        <f t="shared" si="41"/>
        <v>0</v>
      </c>
    </row>
    <row r="628" spans="11:14" x14ac:dyDescent="0.25">
      <c r="K628" s="146" t="e">
        <f t="shared" si="38"/>
        <v>#DIV/0!</v>
      </c>
      <c r="L628" s="146" t="e">
        <f t="shared" si="39"/>
        <v>#DIV/0!</v>
      </c>
      <c r="M628" t="e">
        <f t="shared" si="40"/>
        <v>#DIV/0!</v>
      </c>
      <c r="N628" s="222">
        <f t="shared" si="41"/>
        <v>0</v>
      </c>
    </row>
    <row r="629" spans="11:14" x14ac:dyDescent="0.25">
      <c r="K629" s="146" t="e">
        <f t="shared" si="38"/>
        <v>#DIV/0!</v>
      </c>
      <c r="L629" s="146" t="e">
        <f t="shared" si="39"/>
        <v>#DIV/0!</v>
      </c>
      <c r="M629" t="e">
        <f t="shared" si="40"/>
        <v>#DIV/0!</v>
      </c>
      <c r="N629" s="222">
        <f t="shared" si="41"/>
        <v>0</v>
      </c>
    </row>
    <row r="630" spans="11:14" x14ac:dyDescent="0.25">
      <c r="K630" s="146" t="e">
        <f t="shared" si="38"/>
        <v>#DIV/0!</v>
      </c>
      <c r="L630" s="146" t="e">
        <f t="shared" si="39"/>
        <v>#DIV/0!</v>
      </c>
      <c r="M630" t="e">
        <f t="shared" si="40"/>
        <v>#DIV/0!</v>
      </c>
      <c r="N630" s="222">
        <f t="shared" si="41"/>
        <v>0</v>
      </c>
    </row>
    <row r="631" spans="11:14" x14ac:dyDescent="0.25">
      <c r="K631" s="146" t="e">
        <f t="shared" si="38"/>
        <v>#DIV/0!</v>
      </c>
      <c r="L631" s="146" t="e">
        <f t="shared" si="39"/>
        <v>#DIV/0!</v>
      </c>
      <c r="M631" t="e">
        <f t="shared" si="40"/>
        <v>#DIV/0!</v>
      </c>
      <c r="N631" s="222">
        <f t="shared" si="41"/>
        <v>0</v>
      </c>
    </row>
    <row r="632" spans="11:14" x14ac:dyDescent="0.25">
      <c r="K632" s="146" t="e">
        <f t="shared" si="38"/>
        <v>#DIV/0!</v>
      </c>
      <c r="L632" s="146" t="e">
        <f t="shared" si="39"/>
        <v>#DIV/0!</v>
      </c>
      <c r="M632" t="e">
        <f t="shared" si="40"/>
        <v>#DIV/0!</v>
      </c>
      <c r="N632" s="222">
        <f t="shared" si="41"/>
        <v>0</v>
      </c>
    </row>
    <row r="633" spans="11:14" x14ac:dyDescent="0.25">
      <c r="K633" s="146" t="e">
        <f t="shared" si="38"/>
        <v>#DIV/0!</v>
      </c>
      <c r="L633" s="146" t="e">
        <f t="shared" si="39"/>
        <v>#DIV/0!</v>
      </c>
      <c r="M633" t="e">
        <f t="shared" si="40"/>
        <v>#DIV/0!</v>
      </c>
      <c r="N633" s="222">
        <f t="shared" si="41"/>
        <v>0</v>
      </c>
    </row>
    <row r="634" spans="11:14" x14ac:dyDescent="0.25">
      <c r="K634" s="146" t="e">
        <f t="shared" si="38"/>
        <v>#DIV/0!</v>
      </c>
      <c r="L634" s="146" t="e">
        <f t="shared" si="39"/>
        <v>#DIV/0!</v>
      </c>
      <c r="M634" t="e">
        <f t="shared" si="40"/>
        <v>#DIV/0!</v>
      </c>
      <c r="N634" s="222">
        <f t="shared" si="41"/>
        <v>0</v>
      </c>
    </row>
    <row r="635" spans="11:14" x14ac:dyDescent="0.25">
      <c r="K635" s="146" t="e">
        <f t="shared" si="38"/>
        <v>#DIV/0!</v>
      </c>
      <c r="L635" s="146" t="e">
        <f t="shared" si="39"/>
        <v>#DIV/0!</v>
      </c>
      <c r="M635" t="e">
        <f t="shared" si="40"/>
        <v>#DIV/0!</v>
      </c>
      <c r="N635" s="222">
        <f t="shared" si="41"/>
        <v>0</v>
      </c>
    </row>
    <row r="636" spans="11:14" x14ac:dyDescent="0.25">
      <c r="K636" s="146" t="e">
        <f t="shared" si="38"/>
        <v>#DIV/0!</v>
      </c>
      <c r="L636" s="146" t="e">
        <f t="shared" si="39"/>
        <v>#DIV/0!</v>
      </c>
      <c r="M636" t="e">
        <f t="shared" si="40"/>
        <v>#DIV/0!</v>
      </c>
      <c r="N636" s="222">
        <f t="shared" si="41"/>
        <v>0</v>
      </c>
    </row>
    <row r="637" spans="11:14" x14ac:dyDescent="0.25">
      <c r="K637" s="146" t="e">
        <f t="shared" si="38"/>
        <v>#DIV/0!</v>
      </c>
      <c r="L637" s="146" t="e">
        <f t="shared" si="39"/>
        <v>#DIV/0!</v>
      </c>
      <c r="M637" t="e">
        <f t="shared" si="40"/>
        <v>#DIV/0!</v>
      </c>
      <c r="N637" s="222">
        <f t="shared" si="41"/>
        <v>0</v>
      </c>
    </row>
    <row r="638" spans="11:14" x14ac:dyDescent="0.25">
      <c r="K638" s="146" t="e">
        <f t="shared" si="38"/>
        <v>#DIV/0!</v>
      </c>
      <c r="L638" s="146" t="e">
        <f t="shared" si="39"/>
        <v>#DIV/0!</v>
      </c>
      <c r="M638" t="e">
        <f t="shared" si="40"/>
        <v>#DIV/0!</v>
      </c>
      <c r="N638" s="222">
        <f t="shared" si="41"/>
        <v>0</v>
      </c>
    </row>
    <row r="639" spans="11:14" x14ac:dyDescent="0.25">
      <c r="K639" s="146" t="e">
        <f t="shared" si="38"/>
        <v>#DIV/0!</v>
      </c>
      <c r="L639" s="146" t="e">
        <f t="shared" si="39"/>
        <v>#DIV/0!</v>
      </c>
      <c r="M639" t="e">
        <f t="shared" si="40"/>
        <v>#DIV/0!</v>
      </c>
      <c r="N639" s="222">
        <f t="shared" si="41"/>
        <v>0</v>
      </c>
    </row>
    <row r="640" spans="11:14" x14ac:dyDescent="0.25">
      <c r="K640" s="146" t="e">
        <f t="shared" si="38"/>
        <v>#DIV/0!</v>
      </c>
      <c r="L640" s="146" t="e">
        <f t="shared" si="39"/>
        <v>#DIV/0!</v>
      </c>
      <c r="M640" t="e">
        <f t="shared" si="40"/>
        <v>#DIV/0!</v>
      </c>
      <c r="N640" s="222">
        <f t="shared" si="41"/>
        <v>0</v>
      </c>
    </row>
    <row r="641" spans="11:14" x14ac:dyDescent="0.25">
      <c r="K641" s="146" t="e">
        <f t="shared" si="38"/>
        <v>#DIV/0!</v>
      </c>
      <c r="L641" s="146" t="e">
        <f t="shared" si="39"/>
        <v>#DIV/0!</v>
      </c>
      <c r="M641" t="e">
        <f t="shared" si="40"/>
        <v>#DIV/0!</v>
      </c>
      <c r="N641" s="222">
        <f t="shared" si="41"/>
        <v>0</v>
      </c>
    </row>
    <row r="642" spans="11:14" x14ac:dyDescent="0.25">
      <c r="K642" s="146" t="e">
        <f t="shared" ref="K642:K705" si="42">D642/E642</f>
        <v>#DIV/0!</v>
      </c>
      <c r="L642" s="146" t="e">
        <f t="shared" ref="L642:L705" si="43">D642/(C642+D642)</f>
        <v>#DIV/0!</v>
      </c>
      <c r="M642" t="e">
        <f t="shared" ref="M642:M705" si="44">IF(OR(IF(K642&lt;0.2,1,0),IF(L642&lt;0.5,1,0)),1,0)</f>
        <v>#DIV/0!</v>
      </c>
      <c r="N642" s="222">
        <f t="shared" ref="N642:N705" si="45">G642+H642+I642+J642</f>
        <v>0</v>
      </c>
    </row>
    <row r="643" spans="11:14" x14ac:dyDescent="0.25">
      <c r="K643" s="146" t="e">
        <f t="shared" si="42"/>
        <v>#DIV/0!</v>
      </c>
      <c r="L643" s="146" t="e">
        <f t="shared" si="43"/>
        <v>#DIV/0!</v>
      </c>
      <c r="M643" t="e">
        <f t="shared" si="44"/>
        <v>#DIV/0!</v>
      </c>
      <c r="N643" s="222">
        <f t="shared" si="45"/>
        <v>0</v>
      </c>
    </row>
    <row r="644" spans="11:14" x14ac:dyDescent="0.25">
      <c r="K644" s="146" t="e">
        <f t="shared" si="42"/>
        <v>#DIV/0!</v>
      </c>
      <c r="L644" s="146" t="e">
        <f t="shared" si="43"/>
        <v>#DIV/0!</v>
      </c>
      <c r="M644" t="e">
        <f t="shared" si="44"/>
        <v>#DIV/0!</v>
      </c>
      <c r="N644" s="222">
        <f t="shared" si="45"/>
        <v>0</v>
      </c>
    </row>
    <row r="645" spans="11:14" x14ac:dyDescent="0.25">
      <c r="K645" s="146" t="e">
        <f t="shared" si="42"/>
        <v>#DIV/0!</v>
      </c>
      <c r="L645" s="146" t="e">
        <f t="shared" si="43"/>
        <v>#DIV/0!</v>
      </c>
      <c r="M645" t="e">
        <f t="shared" si="44"/>
        <v>#DIV/0!</v>
      </c>
      <c r="N645" s="222">
        <f t="shared" si="45"/>
        <v>0</v>
      </c>
    </row>
    <row r="646" spans="11:14" x14ac:dyDescent="0.25">
      <c r="K646" s="146" t="e">
        <f t="shared" si="42"/>
        <v>#DIV/0!</v>
      </c>
      <c r="L646" s="146" t="e">
        <f t="shared" si="43"/>
        <v>#DIV/0!</v>
      </c>
      <c r="M646" t="e">
        <f t="shared" si="44"/>
        <v>#DIV/0!</v>
      </c>
      <c r="N646" s="222">
        <f t="shared" si="45"/>
        <v>0</v>
      </c>
    </row>
    <row r="647" spans="11:14" x14ac:dyDescent="0.25">
      <c r="K647" s="146" t="e">
        <f t="shared" si="42"/>
        <v>#DIV/0!</v>
      </c>
      <c r="L647" s="146" t="e">
        <f t="shared" si="43"/>
        <v>#DIV/0!</v>
      </c>
      <c r="M647" t="e">
        <f t="shared" si="44"/>
        <v>#DIV/0!</v>
      </c>
      <c r="N647" s="222">
        <f t="shared" si="45"/>
        <v>0</v>
      </c>
    </row>
    <row r="648" spans="11:14" x14ac:dyDescent="0.25">
      <c r="K648" s="146" t="e">
        <f t="shared" si="42"/>
        <v>#DIV/0!</v>
      </c>
      <c r="L648" s="146" t="e">
        <f t="shared" si="43"/>
        <v>#DIV/0!</v>
      </c>
      <c r="M648" t="e">
        <f t="shared" si="44"/>
        <v>#DIV/0!</v>
      </c>
      <c r="N648" s="222">
        <f t="shared" si="45"/>
        <v>0</v>
      </c>
    </row>
    <row r="649" spans="11:14" x14ac:dyDescent="0.25">
      <c r="K649" s="146" t="e">
        <f t="shared" si="42"/>
        <v>#DIV/0!</v>
      </c>
      <c r="L649" s="146" t="e">
        <f t="shared" si="43"/>
        <v>#DIV/0!</v>
      </c>
      <c r="M649" t="e">
        <f t="shared" si="44"/>
        <v>#DIV/0!</v>
      </c>
      <c r="N649" s="222">
        <f t="shared" si="45"/>
        <v>0</v>
      </c>
    </row>
    <row r="650" spans="11:14" x14ac:dyDescent="0.25">
      <c r="K650" s="146" t="e">
        <f t="shared" si="42"/>
        <v>#DIV/0!</v>
      </c>
      <c r="L650" s="146" t="e">
        <f t="shared" si="43"/>
        <v>#DIV/0!</v>
      </c>
      <c r="M650" t="e">
        <f t="shared" si="44"/>
        <v>#DIV/0!</v>
      </c>
      <c r="N650" s="222">
        <f t="shared" si="45"/>
        <v>0</v>
      </c>
    </row>
    <row r="651" spans="11:14" x14ac:dyDescent="0.25">
      <c r="K651" s="146" t="e">
        <f t="shared" si="42"/>
        <v>#DIV/0!</v>
      </c>
      <c r="L651" s="146" t="e">
        <f t="shared" si="43"/>
        <v>#DIV/0!</v>
      </c>
      <c r="M651" t="e">
        <f t="shared" si="44"/>
        <v>#DIV/0!</v>
      </c>
      <c r="N651" s="222">
        <f t="shared" si="45"/>
        <v>0</v>
      </c>
    </row>
    <row r="652" spans="11:14" x14ac:dyDescent="0.25">
      <c r="K652" s="146" t="e">
        <f t="shared" si="42"/>
        <v>#DIV/0!</v>
      </c>
      <c r="L652" s="146" t="e">
        <f t="shared" si="43"/>
        <v>#DIV/0!</v>
      </c>
      <c r="M652" t="e">
        <f t="shared" si="44"/>
        <v>#DIV/0!</v>
      </c>
      <c r="N652" s="222">
        <f t="shared" si="45"/>
        <v>0</v>
      </c>
    </row>
    <row r="653" spans="11:14" x14ac:dyDescent="0.25">
      <c r="K653" s="146" t="e">
        <f t="shared" si="42"/>
        <v>#DIV/0!</v>
      </c>
      <c r="L653" s="146" t="e">
        <f t="shared" si="43"/>
        <v>#DIV/0!</v>
      </c>
      <c r="M653" t="e">
        <f t="shared" si="44"/>
        <v>#DIV/0!</v>
      </c>
      <c r="N653" s="222">
        <f t="shared" si="45"/>
        <v>0</v>
      </c>
    </row>
    <row r="654" spans="11:14" x14ac:dyDescent="0.25">
      <c r="K654" s="146" t="e">
        <f t="shared" si="42"/>
        <v>#DIV/0!</v>
      </c>
      <c r="L654" s="146" t="e">
        <f t="shared" si="43"/>
        <v>#DIV/0!</v>
      </c>
      <c r="M654" t="e">
        <f t="shared" si="44"/>
        <v>#DIV/0!</v>
      </c>
      <c r="N654" s="222">
        <f t="shared" si="45"/>
        <v>0</v>
      </c>
    </row>
    <row r="655" spans="11:14" x14ac:dyDescent="0.25">
      <c r="K655" s="146" t="e">
        <f t="shared" si="42"/>
        <v>#DIV/0!</v>
      </c>
      <c r="L655" s="146" t="e">
        <f t="shared" si="43"/>
        <v>#DIV/0!</v>
      </c>
      <c r="M655" t="e">
        <f t="shared" si="44"/>
        <v>#DIV/0!</v>
      </c>
      <c r="N655" s="222">
        <f t="shared" si="45"/>
        <v>0</v>
      </c>
    </row>
    <row r="656" spans="11:14" x14ac:dyDescent="0.25">
      <c r="K656" s="146" t="e">
        <f t="shared" si="42"/>
        <v>#DIV/0!</v>
      </c>
      <c r="L656" s="146" t="e">
        <f t="shared" si="43"/>
        <v>#DIV/0!</v>
      </c>
      <c r="M656" t="e">
        <f t="shared" si="44"/>
        <v>#DIV/0!</v>
      </c>
      <c r="N656" s="222">
        <f t="shared" si="45"/>
        <v>0</v>
      </c>
    </row>
    <row r="657" spans="11:14" x14ac:dyDescent="0.25">
      <c r="K657" s="146" t="e">
        <f t="shared" si="42"/>
        <v>#DIV/0!</v>
      </c>
      <c r="L657" s="146" t="e">
        <f t="shared" si="43"/>
        <v>#DIV/0!</v>
      </c>
      <c r="M657" t="e">
        <f t="shared" si="44"/>
        <v>#DIV/0!</v>
      </c>
      <c r="N657" s="222">
        <f t="shared" si="45"/>
        <v>0</v>
      </c>
    </row>
    <row r="658" spans="11:14" x14ac:dyDescent="0.25">
      <c r="K658" s="146" t="e">
        <f t="shared" si="42"/>
        <v>#DIV/0!</v>
      </c>
      <c r="L658" s="146" t="e">
        <f t="shared" si="43"/>
        <v>#DIV/0!</v>
      </c>
      <c r="M658" t="e">
        <f t="shared" si="44"/>
        <v>#DIV/0!</v>
      </c>
      <c r="N658" s="222">
        <f t="shared" si="45"/>
        <v>0</v>
      </c>
    </row>
    <row r="659" spans="11:14" x14ac:dyDescent="0.25">
      <c r="K659" s="146" t="e">
        <f t="shared" si="42"/>
        <v>#DIV/0!</v>
      </c>
      <c r="L659" s="146" t="e">
        <f t="shared" si="43"/>
        <v>#DIV/0!</v>
      </c>
      <c r="M659" t="e">
        <f t="shared" si="44"/>
        <v>#DIV/0!</v>
      </c>
      <c r="N659" s="222">
        <f t="shared" si="45"/>
        <v>0</v>
      </c>
    </row>
    <row r="660" spans="11:14" x14ac:dyDescent="0.25">
      <c r="K660" s="146" t="e">
        <f t="shared" si="42"/>
        <v>#DIV/0!</v>
      </c>
      <c r="L660" s="146" t="e">
        <f t="shared" si="43"/>
        <v>#DIV/0!</v>
      </c>
      <c r="M660" t="e">
        <f t="shared" si="44"/>
        <v>#DIV/0!</v>
      </c>
      <c r="N660" s="222">
        <f t="shared" si="45"/>
        <v>0</v>
      </c>
    </row>
    <row r="661" spans="11:14" x14ac:dyDescent="0.25">
      <c r="K661" s="146" t="e">
        <f t="shared" si="42"/>
        <v>#DIV/0!</v>
      </c>
      <c r="L661" s="146" t="e">
        <f t="shared" si="43"/>
        <v>#DIV/0!</v>
      </c>
      <c r="M661" t="e">
        <f t="shared" si="44"/>
        <v>#DIV/0!</v>
      </c>
      <c r="N661" s="222">
        <f t="shared" si="45"/>
        <v>0</v>
      </c>
    </row>
    <row r="662" spans="11:14" x14ac:dyDescent="0.25">
      <c r="K662" s="146" t="e">
        <f t="shared" si="42"/>
        <v>#DIV/0!</v>
      </c>
      <c r="L662" s="146" t="e">
        <f t="shared" si="43"/>
        <v>#DIV/0!</v>
      </c>
      <c r="M662" t="e">
        <f t="shared" si="44"/>
        <v>#DIV/0!</v>
      </c>
      <c r="N662" s="222">
        <f t="shared" si="45"/>
        <v>0</v>
      </c>
    </row>
    <row r="663" spans="11:14" x14ac:dyDescent="0.25">
      <c r="K663" s="146" t="e">
        <f t="shared" si="42"/>
        <v>#DIV/0!</v>
      </c>
      <c r="L663" s="146" t="e">
        <f t="shared" si="43"/>
        <v>#DIV/0!</v>
      </c>
      <c r="M663" t="e">
        <f t="shared" si="44"/>
        <v>#DIV/0!</v>
      </c>
      <c r="N663" s="222">
        <f t="shared" si="45"/>
        <v>0</v>
      </c>
    </row>
    <row r="664" spans="11:14" x14ac:dyDescent="0.25">
      <c r="K664" s="146" t="e">
        <f t="shared" si="42"/>
        <v>#DIV/0!</v>
      </c>
      <c r="L664" s="146" t="e">
        <f t="shared" si="43"/>
        <v>#DIV/0!</v>
      </c>
      <c r="M664" t="e">
        <f t="shared" si="44"/>
        <v>#DIV/0!</v>
      </c>
      <c r="N664" s="222">
        <f t="shared" si="45"/>
        <v>0</v>
      </c>
    </row>
    <row r="665" spans="11:14" x14ac:dyDescent="0.25">
      <c r="K665" s="146" t="e">
        <f t="shared" si="42"/>
        <v>#DIV/0!</v>
      </c>
      <c r="L665" s="146" t="e">
        <f t="shared" si="43"/>
        <v>#DIV/0!</v>
      </c>
      <c r="M665" t="e">
        <f t="shared" si="44"/>
        <v>#DIV/0!</v>
      </c>
      <c r="N665" s="222">
        <f t="shared" si="45"/>
        <v>0</v>
      </c>
    </row>
    <row r="666" spans="11:14" x14ac:dyDescent="0.25">
      <c r="K666" s="146" t="e">
        <f t="shared" si="42"/>
        <v>#DIV/0!</v>
      </c>
      <c r="L666" s="146" t="e">
        <f t="shared" si="43"/>
        <v>#DIV/0!</v>
      </c>
      <c r="M666" t="e">
        <f t="shared" si="44"/>
        <v>#DIV/0!</v>
      </c>
      <c r="N666" s="222">
        <f t="shared" si="45"/>
        <v>0</v>
      </c>
    </row>
    <row r="667" spans="11:14" x14ac:dyDescent="0.25">
      <c r="K667" s="146" t="e">
        <f t="shared" si="42"/>
        <v>#DIV/0!</v>
      </c>
      <c r="L667" s="146" t="e">
        <f t="shared" si="43"/>
        <v>#DIV/0!</v>
      </c>
      <c r="M667" t="e">
        <f t="shared" si="44"/>
        <v>#DIV/0!</v>
      </c>
      <c r="N667" s="222">
        <f t="shared" si="45"/>
        <v>0</v>
      </c>
    </row>
    <row r="668" spans="11:14" x14ac:dyDescent="0.25">
      <c r="K668" s="146" t="e">
        <f t="shared" si="42"/>
        <v>#DIV/0!</v>
      </c>
      <c r="L668" s="146" t="e">
        <f t="shared" si="43"/>
        <v>#DIV/0!</v>
      </c>
      <c r="M668" t="e">
        <f t="shared" si="44"/>
        <v>#DIV/0!</v>
      </c>
      <c r="N668" s="222">
        <f t="shared" si="45"/>
        <v>0</v>
      </c>
    </row>
    <row r="669" spans="11:14" x14ac:dyDescent="0.25">
      <c r="K669" s="146" t="e">
        <f t="shared" si="42"/>
        <v>#DIV/0!</v>
      </c>
      <c r="L669" s="146" t="e">
        <f t="shared" si="43"/>
        <v>#DIV/0!</v>
      </c>
      <c r="M669" t="e">
        <f t="shared" si="44"/>
        <v>#DIV/0!</v>
      </c>
      <c r="N669" s="222">
        <f t="shared" si="45"/>
        <v>0</v>
      </c>
    </row>
    <row r="670" spans="11:14" x14ac:dyDescent="0.25">
      <c r="K670" s="146" t="e">
        <f t="shared" si="42"/>
        <v>#DIV/0!</v>
      </c>
      <c r="L670" s="146" t="e">
        <f t="shared" si="43"/>
        <v>#DIV/0!</v>
      </c>
      <c r="M670" t="e">
        <f t="shared" si="44"/>
        <v>#DIV/0!</v>
      </c>
      <c r="N670" s="222">
        <f t="shared" si="45"/>
        <v>0</v>
      </c>
    </row>
    <row r="671" spans="11:14" x14ac:dyDescent="0.25">
      <c r="K671" s="146" t="e">
        <f t="shared" si="42"/>
        <v>#DIV/0!</v>
      </c>
      <c r="L671" s="146" t="e">
        <f t="shared" si="43"/>
        <v>#DIV/0!</v>
      </c>
      <c r="M671" t="e">
        <f t="shared" si="44"/>
        <v>#DIV/0!</v>
      </c>
      <c r="N671" s="222">
        <f t="shared" si="45"/>
        <v>0</v>
      </c>
    </row>
    <row r="672" spans="11:14" x14ac:dyDescent="0.25">
      <c r="K672" s="146" t="e">
        <f t="shared" si="42"/>
        <v>#DIV/0!</v>
      </c>
      <c r="L672" s="146" t="e">
        <f t="shared" si="43"/>
        <v>#DIV/0!</v>
      </c>
      <c r="M672" t="e">
        <f t="shared" si="44"/>
        <v>#DIV/0!</v>
      </c>
      <c r="N672" s="222">
        <f t="shared" si="45"/>
        <v>0</v>
      </c>
    </row>
    <row r="673" spans="11:14" x14ac:dyDescent="0.25">
      <c r="K673" s="146" t="e">
        <f t="shared" si="42"/>
        <v>#DIV/0!</v>
      </c>
      <c r="L673" s="146" t="e">
        <f t="shared" si="43"/>
        <v>#DIV/0!</v>
      </c>
      <c r="M673" t="e">
        <f t="shared" si="44"/>
        <v>#DIV/0!</v>
      </c>
      <c r="N673" s="222">
        <f t="shared" si="45"/>
        <v>0</v>
      </c>
    </row>
    <row r="674" spans="11:14" x14ac:dyDescent="0.25">
      <c r="K674" s="146" t="e">
        <f t="shared" si="42"/>
        <v>#DIV/0!</v>
      </c>
      <c r="L674" s="146" t="e">
        <f t="shared" si="43"/>
        <v>#DIV/0!</v>
      </c>
      <c r="M674" t="e">
        <f t="shared" si="44"/>
        <v>#DIV/0!</v>
      </c>
      <c r="N674" s="222">
        <f t="shared" si="45"/>
        <v>0</v>
      </c>
    </row>
    <row r="675" spans="11:14" x14ac:dyDescent="0.25">
      <c r="K675" s="146" t="e">
        <f t="shared" si="42"/>
        <v>#DIV/0!</v>
      </c>
      <c r="L675" s="146" t="e">
        <f t="shared" si="43"/>
        <v>#DIV/0!</v>
      </c>
      <c r="M675" t="e">
        <f t="shared" si="44"/>
        <v>#DIV/0!</v>
      </c>
      <c r="N675" s="222">
        <f t="shared" si="45"/>
        <v>0</v>
      </c>
    </row>
    <row r="676" spans="11:14" x14ac:dyDescent="0.25">
      <c r="K676" s="146" t="e">
        <f t="shared" si="42"/>
        <v>#DIV/0!</v>
      </c>
      <c r="L676" s="146" t="e">
        <f t="shared" si="43"/>
        <v>#DIV/0!</v>
      </c>
      <c r="M676" t="e">
        <f t="shared" si="44"/>
        <v>#DIV/0!</v>
      </c>
      <c r="N676" s="222">
        <f t="shared" si="45"/>
        <v>0</v>
      </c>
    </row>
    <row r="677" spans="11:14" x14ac:dyDescent="0.25">
      <c r="K677" s="146" t="e">
        <f t="shared" si="42"/>
        <v>#DIV/0!</v>
      </c>
      <c r="L677" s="146" t="e">
        <f t="shared" si="43"/>
        <v>#DIV/0!</v>
      </c>
      <c r="M677" t="e">
        <f t="shared" si="44"/>
        <v>#DIV/0!</v>
      </c>
      <c r="N677" s="222">
        <f t="shared" si="45"/>
        <v>0</v>
      </c>
    </row>
    <row r="678" spans="11:14" x14ac:dyDescent="0.25">
      <c r="K678" s="146" t="e">
        <f t="shared" si="42"/>
        <v>#DIV/0!</v>
      </c>
      <c r="L678" s="146" t="e">
        <f t="shared" si="43"/>
        <v>#DIV/0!</v>
      </c>
      <c r="M678" t="e">
        <f t="shared" si="44"/>
        <v>#DIV/0!</v>
      </c>
      <c r="N678" s="222">
        <f t="shared" si="45"/>
        <v>0</v>
      </c>
    </row>
    <row r="679" spans="11:14" x14ac:dyDescent="0.25">
      <c r="K679" s="146" t="e">
        <f t="shared" si="42"/>
        <v>#DIV/0!</v>
      </c>
      <c r="L679" s="146" t="e">
        <f t="shared" si="43"/>
        <v>#DIV/0!</v>
      </c>
      <c r="M679" t="e">
        <f t="shared" si="44"/>
        <v>#DIV/0!</v>
      </c>
      <c r="N679" s="222">
        <f t="shared" si="45"/>
        <v>0</v>
      </c>
    </row>
    <row r="680" spans="11:14" x14ac:dyDescent="0.25">
      <c r="K680" s="146" t="e">
        <f t="shared" si="42"/>
        <v>#DIV/0!</v>
      </c>
      <c r="L680" s="146" t="e">
        <f t="shared" si="43"/>
        <v>#DIV/0!</v>
      </c>
      <c r="M680" t="e">
        <f t="shared" si="44"/>
        <v>#DIV/0!</v>
      </c>
      <c r="N680" s="222">
        <f t="shared" si="45"/>
        <v>0</v>
      </c>
    </row>
    <row r="681" spans="11:14" x14ac:dyDescent="0.25">
      <c r="K681" s="146" t="e">
        <f t="shared" si="42"/>
        <v>#DIV/0!</v>
      </c>
      <c r="L681" s="146" t="e">
        <f t="shared" si="43"/>
        <v>#DIV/0!</v>
      </c>
      <c r="M681" t="e">
        <f t="shared" si="44"/>
        <v>#DIV/0!</v>
      </c>
      <c r="N681" s="222">
        <f t="shared" si="45"/>
        <v>0</v>
      </c>
    </row>
    <row r="682" spans="11:14" x14ac:dyDescent="0.25">
      <c r="K682" s="146" t="e">
        <f t="shared" si="42"/>
        <v>#DIV/0!</v>
      </c>
      <c r="L682" s="146" t="e">
        <f t="shared" si="43"/>
        <v>#DIV/0!</v>
      </c>
      <c r="M682" t="e">
        <f t="shared" si="44"/>
        <v>#DIV/0!</v>
      </c>
      <c r="N682" s="222">
        <f t="shared" si="45"/>
        <v>0</v>
      </c>
    </row>
    <row r="683" spans="11:14" x14ac:dyDescent="0.25">
      <c r="K683" s="146" t="e">
        <f t="shared" si="42"/>
        <v>#DIV/0!</v>
      </c>
      <c r="L683" s="146" t="e">
        <f t="shared" si="43"/>
        <v>#DIV/0!</v>
      </c>
      <c r="M683" t="e">
        <f t="shared" si="44"/>
        <v>#DIV/0!</v>
      </c>
      <c r="N683" s="222">
        <f t="shared" si="45"/>
        <v>0</v>
      </c>
    </row>
    <row r="684" spans="11:14" x14ac:dyDescent="0.25">
      <c r="K684" s="146" t="e">
        <f t="shared" si="42"/>
        <v>#DIV/0!</v>
      </c>
      <c r="L684" s="146" t="e">
        <f t="shared" si="43"/>
        <v>#DIV/0!</v>
      </c>
      <c r="M684" t="e">
        <f t="shared" si="44"/>
        <v>#DIV/0!</v>
      </c>
      <c r="N684" s="222">
        <f t="shared" si="45"/>
        <v>0</v>
      </c>
    </row>
    <row r="685" spans="11:14" x14ac:dyDescent="0.25">
      <c r="K685" s="146" t="e">
        <f t="shared" si="42"/>
        <v>#DIV/0!</v>
      </c>
      <c r="L685" s="146" t="e">
        <f t="shared" si="43"/>
        <v>#DIV/0!</v>
      </c>
      <c r="M685" t="e">
        <f t="shared" si="44"/>
        <v>#DIV/0!</v>
      </c>
      <c r="N685" s="222">
        <f t="shared" si="45"/>
        <v>0</v>
      </c>
    </row>
    <row r="686" spans="11:14" x14ac:dyDescent="0.25">
      <c r="K686" s="146" t="e">
        <f t="shared" si="42"/>
        <v>#DIV/0!</v>
      </c>
      <c r="L686" s="146" t="e">
        <f t="shared" si="43"/>
        <v>#DIV/0!</v>
      </c>
      <c r="M686" t="e">
        <f t="shared" si="44"/>
        <v>#DIV/0!</v>
      </c>
      <c r="N686" s="222">
        <f t="shared" si="45"/>
        <v>0</v>
      </c>
    </row>
    <row r="687" spans="11:14" x14ac:dyDescent="0.25">
      <c r="K687" s="146" t="e">
        <f t="shared" si="42"/>
        <v>#DIV/0!</v>
      </c>
      <c r="L687" s="146" t="e">
        <f t="shared" si="43"/>
        <v>#DIV/0!</v>
      </c>
      <c r="M687" t="e">
        <f t="shared" si="44"/>
        <v>#DIV/0!</v>
      </c>
      <c r="N687" s="222">
        <f t="shared" si="45"/>
        <v>0</v>
      </c>
    </row>
    <row r="688" spans="11:14" x14ac:dyDescent="0.25">
      <c r="K688" s="146" t="e">
        <f t="shared" si="42"/>
        <v>#DIV/0!</v>
      </c>
      <c r="L688" s="146" t="e">
        <f t="shared" si="43"/>
        <v>#DIV/0!</v>
      </c>
      <c r="M688" t="e">
        <f t="shared" si="44"/>
        <v>#DIV/0!</v>
      </c>
      <c r="N688" s="222">
        <f t="shared" si="45"/>
        <v>0</v>
      </c>
    </row>
    <row r="689" spans="11:14" x14ac:dyDescent="0.25">
      <c r="K689" s="146" t="e">
        <f t="shared" si="42"/>
        <v>#DIV/0!</v>
      </c>
      <c r="L689" s="146" t="e">
        <f t="shared" si="43"/>
        <v>#DIV/0!</v>
      </c>
      <c r="M689" t="e">
        <f t="shared" si="44"/>
        <v>#DIV/0!</v>
      </c>
      <c r="N689" s="222">
        <f t="shared" si="45"/>
        <v>0</v>
      </c>
    </row>
    <row r="690" spans="11:14" x14ac:dyDescent="0.25">
      <c r="K690" s="146" t="e">
        <f t="shared" si="42"/>
        <v>#DIV/0!</v>
      </c>
      <c r="L690" s="146" t="e">
        <f t="shared" si="43"/>
        <v>#DIV/0!</v>
      </c>
      <c r="M690" t="e">
        <f t="shared" si="44"/>
        <v>#DIV/0!</v>
      </c>
      <c r="N690" s="222">
        <f t="shared" si="45"/>
        <v>0</v>
      </c>
    </row>
    <row r="691" spans="11:14" x14ac:dyDescent="0.25">
      <c r="K691" s="146" t="e">
        <f t="shared" si="42"/>
        <v>#DIV/0!</v>
      </c>
      <c r="L691" s="146" t="e">
        <f t="shared" si="43"/>
        <v>#DIV/0!</v>
      </c>
      <c r="M691" t="e">
        <f t="shared" si="44"/>
        <v>#DIV/0!</v>
      </c>
      <c r="N691" s="222">
        <f t="shared" si="45"/>
        <v>0</v>
      </c>
    </row>
    <row r="692" spans="11:14" x14ac:dyDescent="0.25">
      <c r="K692" s="146" t="e">
        <f t="shared" si="42"/>
        <v>#DIV/0!</v>
      </c>
      <c r="L692" s="146" t="e">
        <f t="shared" si="43"/>
        <v>#DIV/0!</v>
      </c>
      <c r="M692" t="e">
        <f t="shared" si="44"/>
        <v>#DIV/0!</v>
      </c>
      <c r="N692" s="222">
        <f t="shared" si="45"/>
        <v>0</v>
      </c>
    </row>
    <row r="693" spans="11:14" x14ac:dyDescent="0.25">
      <c r="K693" s="146" t="e">
        <f t="shared" si="42"/>
        <v>#DIV/0!</v>
      </c>
      <c r="L693" s="146" t="e">
        <f t="shared" si="43"/>
        <v>#DIV/0!</v>
      </c>
      <c r="M693" t="e">
        <f t="shared" si="44"/>
        <v>#DIV/0!</v>
      </c>
      <c r="N693" s="222">
        <f t="shared" si="45"/>
        <v>0</v>
      </c>
    </row>
    <row r="694" spans="11:14" x14ac:dyDescent="0.25">
      <c r="K694" s="146" t="e">
        <f t="shared" si="42"/>
        <v>#DIV/0!</v>
      </c>
      <c r="L694" s="146" t="e">
        <f t="shared" si="43"/>
        <v>#DIV/0!</v>
      </c>
      <c r="M694" t="e">
        <f t="shared" si="44"/>
        <v>#DIV/0!</v>
      </c>
      <c r="N694" s="222">
        <f t="shared" si="45"/>
        <v>0</v>
      </c>
    </row>
    <row r="695" spans="11:14" x14ac:dyDescent="0.25">
      <c r="K695" s="146" t="e">
        <f t="shared" si="42"/>
        <v>#DIV/0!</v>
      </c>
      <c r="L695" s="146" t="e">
        <f t="shared" si="43"/>
        <v>#DIV/0!</v>
      </c>
      <c r="M695" t="e">
        <f t="shared" si="44"/>
        <v>#DIV/0!</v>
      </c>
      <c r="N695" s="222">
        <f t="shared" si="45"/>
        <v>0</v>
      </c>
    </row>
    <row r="696" spans="11:14" x14ac:dyDescent="0.25">
      <c r="K696" s="146" t="e">
        <f t="shared" si="42"/>
        <v>#DIV/0!</v>
      </c>
      <c r="L696" s="146" t="e">
        <f t="shared" si="43"/>
        <v>#DIV/0!</v>
      </c>
      <c r="M696" t="e">
        <f t="shared" si="44"/>
        <v>#DIV/0!</v>
      </c>
      <c r="N696" s="222">
        <f t="shared" si="45"/>
        <v>0</v>
      </c>
    </row>
    <row r="697" spans="11:14" x14ac:dyDescent="0.25">
      <c r="K697" s="146" t="e">
        <f t="shared" si="42"/>
        <v>#DIV/0!</v>
      </c>
      <c r="L697" s="146" t="e">
        <f t="shared" si="43"/>
        <v>#DIV/0!</v>
      </c>
      <c r="M697" t="e">
        <f t="shared" si="44"/>
        <v>#DIV/0!</v>
      </c>
      <c r="N697" s="222">
        <f t="shared" si="45"/>
        <v>0</v>
      </c>
    </row>
    <row r="698" spans="11:14" x14ac:dyDescent="0.25">
      <c r="K698" s="146" t="e">
        <f t="shared" si="42"/>
        <v>#DIV/0!</v>
      </c>
      <c r="L698" s="146" t="e">
        <f t="shared" si="43"/>
        <v>#DIV/0!</v>
      </c>
      <c r="M698" t="e">
        <f t="shared" si="44"/>
        <v>#DIV/0!</v>
      </c>
      <c r="N698" s="222">
        <f t="shared" si="45"/>
        <v>0</v>
      </c>
    </row>
    <row r="699" spans="11:14" x14ac:dyDescent="0.25">
      <c r="K699" s="146" t="e">
        <f t="shared" si="42"/>
        <v>#DIV/0!</v>
      </c>
      <c r="L699" s="146" t="e">
        <f t="shared" si="43"/>
        <v>#DIV/0!</v>
      </c>
      <c r="M699" t="e">
        <f t="shared" si="44"/>
        <v>#DIV/0!</v>
      </c>
      <c r="N699" s="222">
        <f t="shared" si="45"/>
        <v>0</v>
      </c>
    </row>
    <row r="700" spans="11:14" x14ac:dyDescent="0.25">
      <c r="K700" s="146" t="e">
        <f t="shared" si="42"/>
        <v>#DIV/0!</v>
      </c>
      <c r="L700" s="146" t="e">
        <f t="shared" si="43"/>
        <v>#DIV/0!</v>
      </c>
      <c r="M700" t="e">
        <f t="shared" si="44"/>
        <v>#DIV/0!</v>
      </c>
      <c r="N700" s="222">
        <f t="shared" si="45"/>
        <v>0</v>
      </c>
    </row>
    <row r="701" spans="11:14" x14ac:dyDescent="0.25">
      <c r="K701" s="146" t="e">
        <f t="shared" si="42"/>
        <v>#DIV/0!</v>
      </c>
      <c r="L701" s="146" t="e">
        <f t="shared" si="43"/>
        <v>#DIV/0!</v>
      </c>
      <c r="M701" t="e">
        <f t="shared" si="44"/>
        <v>#DIV/0!</v>
      </c>
      <c r="N701" s="222">
        <f t="shared" si="45"/>
        <v>0</v>
      </c>
    </row>
    <row r="702" spans="11:14" x14ac:dyDescent="0.25">
      <c r="K702" s="146" t="e">
        <f t="shared" si="42"/>
        <v>#DIV/0!</v>
      </c>
      <c r="L702" s="146" t="e">
        <f t="shared" si="43"/>
        <v>#DIV/0!</v>
      </c>
      <c r="M702" t="e">
        <f t="shared" si="44"/>
        <v>#DIV/0!</v>
      </c>
      <c r="N702" s="222">
        <f t="shared" si="45"/>
        <v>0</v>
      </c>
    </row>
    <row r="703" spans="11:14" x14ac:dyDescent="0.25">
      <c r="K703" s="146" t="e">
        <f t="shared" si="42"/>
        <v>#DIV/0!</v>
      </c>
      <c r="L703" s="146" t="e">
        <f t="shared" si="43"/>
        <v>#DIV/0!</v>
      </c>
      <c r="M703" t="e">
        <f t="shared" si="44"/>
        <v>#DIV/0!</v>
      </c>
      <c r="N703" s="222">
        <f t="shared" si="45"/>
        <v>0</v>
      </c>
    </row>
    <row r="704" spans="11:14" x14ac:dyDescent="0.25">
      <c r="K704" s="146" t="e">
        <f t="shared" si="42"/>
        <v>#DIV/0!</v>
      </c>
      <c r="L704" s="146" t="e">
        <f t="shared" si="43"/>
        <v>#DIV/0!</v>
      </c>
      <c r="M704" t="e">
        <f t="shared" si="44"/>
        <v>#DIV/0!</v>
      </c>
      <c r="N704" s="222">
        <f t="shared" si="45"/>
        <v>0</v>
      </c>
    </row>
    <row r="705" spans="11:14" x14ac:dyDescent="0.25">
      <c r="K705" s="146" t="e">
        <f t="shared" si="42"/>
        <v>#DIV/0!</v>
      </c>
      <c r="L705" s="146" t="e">
        <f t="shared" si="43"/>
        <v>#DIV/0!</v>
      </c>
      <c r="M705" t="e">
        <f t="shared" si="44"/>
        <v>#DIV/0!</v>
      </c>
      <c r="N705" s="222">
        <f t="shared" si="45"/>
        <v>0</v>
      </c>
    </row>
    <row r="706" spans="11:14" x14ac:dyDescent="0.25">
      <c r="K706" s="146" t="e">
        <f t="shared" ref="K706:K769" si="46">D706/E706</f>
        <v>#DIV/0!</v>
      </c>
      <c r="L706" s="146" t="e">
        <f t="shared" ref="L706:L769" si="47">D706/(C706+D706)</f>
        <v>#DIV/0!</v>
      </c>
      <c r="M706" t="e">
        <f t="shared" ref="M706:M769" si="48">IF(OR(IF(K706&lt;0.2,1,0),IF(L706&lt;0.5,1,0)),1,0)</f>
        <v>#DIV/0!</v>
      </c>
      <c r="N706" s="222">
        <f t="shared" ref="N706:N769" si="49">G706+H706+I706+J706</f>
        <v>0</v>
      </c>
    </row>
    <row r="707" spans="11:14" x14ac:dyDescent="0.25">
      <c r="K707" s="146" t="e">
        <f t="shared" si="46"/>
        <v>#DIV/0!</v>
      </c>
      <c r="L707" s="146" t="e">
        <f t="shared" si="47"/>
        <v>#DIV/0!</v>
      </c>
      <c r="M707" t="e">
        <f t="shared" si="48"/>
        <v>#DIV/0!</v>
      </c>
      <c r="N707" s="222">
        <f t="shared" si="49"/>
        <v>0</v>
      </c>
    </row>
    <row r="708" spans="11:14" x14ac:dyDescent="0.25">
      <c r="K708" s="146" t="e">
        <f t="shared" si="46"/>
        <v>#DIV/0!</v>
      </c>
      <c r="L708" s="146" t="e">
        <f t="shared" si="47"/>
        <v>#DIV/0!</v>
      </c>
      <c r="M708" t="e">
        <f t="shared" si="48"/>
        <v>#DIV/0!</v>
      </c>
      <c r="N708" s="222">
        <f t="shared" si="49"/>
        <v>0</v>
      </c>
    </row>
    <row r="709" spans="11:14" x14ac:dyDescent="0.25">
      <c r="K709" s="146" t="e">
        <f t="shared" si="46"/>
        <v>#DIV/0!</v>
      </c>
      <c r="L709" s="146" t="e">
        <f t="shared" si="47"/>
        <v>#DIV/0!</v>
      </c>
      <c r="M709" t="e">
        <f t="shared" si="48"/>
        <v>#DIV/0!</v>
      </c>
      <c r="N709" s="222">
        <f t="shared" si="49"/>
        <v>0</v>
      </c>
    </row>
    <row r="710" spans="11:14" x14ac:dyDescent="0.25">
      <c r="K710" s="146" t="e">
        <f t="shared" si="46"/>
        <v>#DIV/0!</v>
      </c>
      <c r="L710" s="146" t="e">
        <f t="shared" si="47"/>
        <v>#DIV/0!</v>
      </c>
      <c r="M710" t="e">
        <f t="shared" si="48"/>
        <v>#DIV/0!</v>
      </c>
      <c r="N710" s="222">
        <f t="shared" si="49"/>
        <v>0</v>
      </c>
    </row>
    <row r="711" spans="11:14" x14ac:dyDescent="0.25">
      <c r="K711" s="146" t="e">
        <f t="shared" si="46"/>
        <v>#DIV/0!</v>
      </c>
      <c r="L711" s="146" t="e">
        <f t="shared" si="47"/>
        <v>#DIV/0!</v>
      </c>
      <c r="M711" t="e">
        <f t="shared" si="48"/>
        <v>#DIV/0!</v>
      </c>
      <c r="N711" s="222">
        <f t="shared" si="49"/>
        <v>0</v>
      </c>
    </row>
    <row r="712" spans="11:14" x14ac:dyDescent="0.25">
      <c r="K712" s="146" t="e">
        <f t="shared" si="46"/>
        <v>#DIV/0!</v>
      </c>
      <c r="L712" s="146" t="e">
        <f t="shared" si="47"/>
        <v>#DIV/0!</v>
      </c>
      <c r="M712" t="e">
        <f t="shared" si="48"/>
        <v>#DIV/0!</v>
      </c>
      <c r="N712" s="222">
        <f t="shared" si="49"/>
        <v>0</v>
      </c>
    </row>
    <row r="713" spans="11:14" x14ac:dyDescent="0.25">
      <c r="K713" s="146" t="e">
        <f t="shared" si="46"/>
        <v>#DIV/0!</v>
      </c>
      <c r="L713" s="146" t="e">
        <f t="shared" si="47"/>
        <v>#DIV/0!</v>
      </c>
      <c r="M713" t="e">
        <f t="shared" si="48"/>
        <v>#DIV/0!</v>
      </c>
      <c r="N713" s="222">
        <f t="shared" si="49"/>
        <v>0</v>
      </c>
    </row>
    <row r="714" spans="11:14" x14ac:dyDescent="0.25">
      <c r="K714" s="146" t="e">
        <f t="shared" si="46"/>
        <v>#DIV/0!</v>
      </c>
      <c r="L714" s="146" t="e">
        <f t="shared" si="47"/>
        <v>#DIV/0!</v>
      </c>
      <c r="M714" t="e">
        <f t="shared" si="48"/>
        <v>#DIV/0!</v>
      </c>
      <c r="N714" s="222">
        <f t="shared" si="49"/>
        <v>0</v>
      </c>
    </row>
    <row r="715" spans="11:14" x14ac:dyDescent="0.25">
      <c r="K715" s="146" t="e">
        <f t="shared" si="46"/>
        <v>#DIV/0!</v>
      </c>
      <c r="L715" s="146" t="e">
        <f t="shared" si="47"/>
        <v>#DIV/0!</v>
      </c>
      <c r="M715" t="e">
        <f t="shared" si="48"/>
        <v>#DIV/0!</v>
      </c>
      <c r="N715" s="222">
        <f t="shared" si="49"/>
        <v>0</v>
      </c>
    </row>
    <row r="716" spans="11:14" x14ac:dyDescent="0.25">
      <c r="K716" s="146" t="e">
        <f t="shared" si="46"/>
        <v>#DIV/0!</v>
      </c>
      <c r="L716" s="146" t="e">
        <f t="shared" si="47"/>
        <v>#DIV/0!</v>
      </c>
      <c r="M716" t="e">
        <f t="shared" si="48"/>
        <v>#DIV/0!</v>
      </c>
      <c r="N716" s="222">
        <f t="shared" si="49"/>
        <v>0</v>
      </c>
    </row>
    <row r="717" spans="11:14" x14ac:dyDescent="0.25">
      <c r="K717" s="146" t="e">
        <f t="shared" si="46"/>
        <v>#DIV/0!</v>
      </c>
      <c r="L717" s="146" t="e">
        <f t="shared" si="47"/>
        <v>#DIV/0!</v>
      </c>
      <c r="M717" t="e">
        <f t="shared" si="48"/>
        <v>#DIV/0!</v>
      </c>
      <c r="N717" s="222">
        <f t="shared" si="49"/>
        <v>0</v>
      </c>
    </row>
    <row r="718" spans="11:14" x14ac:dyDescent="0.25">
      <c r="K718" s="146" t="e">
        <f t="shared" si="46"/>
        <v>#DIV/0!</v>
      </c>
      <c r="L718" s="146" t="e">
        <f t="shared" si="47"/>
        <v>#DIV/0!</v>
      </c>
      <c r="M718" t="e">
        <f t="shared" si="48"/>
        <v>#DIV/0!</v>
      </c>
      <c r="N718" s="222">
        <f t="shared" si="49"/>
        <v>0</v>
      </c>
    </row>
    <row r="719" spans="11:14" x14ac:dyDescent="0.25">
      <c r="K719" s="146" t="e">
        <f t="shared" si="46"/>
        <v>#DIV/0!</v>
      </c>
      <c r="L719" s="146" t="e">
        <f t="shared" si="47"/>
        <v>#DIV/0!</v>
      </c>
      <c r="M719" t="e">
        <f t="shared" si="48"/>
        <v>#DIV/0!</v>
      </c>
      <c r="N719" s="222">
        <f t="shared" si="49"/>
        <v>0</v>
      </c>
    </row>
    <row r="720" spans="11:14" x14ac:dyDescent="0.25">
      <c r="K720" s="146" t="e">
        <f t="shared" si="46"/>
        <v>#DIV/0!</v>
      </c>
      <c r="L720" s="146" t="e">
        <f t="shared" si="47"/>
        <v>#DIV/0!</v>
      </c>
      <c r="M720" t="e">
        <f t="shared" si="48"/>
        <v>#DIV/0!</v>
      </c>
      <c r="N720" s="222">
        <f t="shared" si="49"/>
        <v>0</v>
      </c>
    </row>
    <row r="721" spans="11:14" x14ac:dyDescent="0.25">
      <c r="K721" s="146" t="e">
        <f t="shared" si="46"/>
        <v>#DIV/0!</v>
      </c>
      <c r="L721" s="146" t="e">
        <f t="shared" si="47"/>
        <v>#DIV/0!</v>
      </c>
      <c r="M721" t="e">
        <f t="shared" si="48"/>
        <v>#DIV/0!</v>
      </c>
      <c r="N721" s="222">
        <f t="shared" si="49"/>
        <v>0</v>
      </c>
    </row>
    <row r="722" spans="11:14" x14ac:dyDescent="0.25">
      <c r="K722" s="146" t="e">
        <f t="shared" si="46"/>
        <v>#DIV/0!</v>
      </c>
      <c r="L722" s="146" t="e">
        <f t="shared" si="47"/>
        <v>#DIV/0!</v>
      </c>
      <c r="M722" t="e">
        <f t="shared" si="48"/>
        <v>#DIV/0!</v>
      </c>
      <c r="N722" s="222">
        <f t="shared" si="49"/>
        <v>0</v>
      </c>
    </row>
    <row r="723" spans="11:14" x14ac:dyDescent="0.25">
      <c r="K723" s="146" t="e">
        <f t="shared" si="46"/>
        <v>#DIV/0!</v>
      </c>
      <c r="L723" s="146" t="e">
        <f t="shared" si="47"/>
        <v>#DIV/0!</v>
      </c>
      <c r="M723" t="e">
        <f t="shared" si="48"/>
        <v>#DIV/0!</v>
      </c>
      <c r="N723" s="222">
        <f t="shared" si="49"/>
        <v>0</v>
      </c>
    </row>
    <row r="724" spans="11:14" x14ac:dyDescent="0.25">
      <c r="K724" s="146" t="e">
        <f t="shared" si="46"/>
        <v>#DIV/0!</v>
      </c>
      <c r="L724" s="146" t="e">
        <f t="shared" si="47"/>
        <v>#DIV/0!</v>
      </c>
      <c r="M724" t="e">
        <f t="shared" si="48"/>
        <v>#DIV/0!</v>
      </c>
      <c r="N724" s="222">
        <f t="shared" si="49"/>
        <v>0</v>
      </c>
    </row>
    <row r="725" spans="11:14" x14ac:dyDescent="0.25">
      <c r="K725" s="146" t="e">
        <f t="shared" si="46"/>
        <v>#DIV/0!</v>
      </c>
      <c r="L725" s="146" t="e">
        <f t="shared" si="47"/>
        <v>#DIV/0!</v>
      </c>
      <c r="M725" t="e">
        <f t="shared" si="48"/>
        <v>#DIV/0!</v>
      </c>
      <c r="N725" s="222">
        <f t="shared" si="49"/>
        <v>0</v>
      </c>
    </row>
    <row r="726" spans="11:14" x14ac:dyDescent="0.25">
      <c r="K726" s="146" t="e">
        <f t="shared" si="46"/>
        <v>#DIV/0!</v>
      </c>
      <c r="L726" s="146" t="e">
        <f t="shared" si="47"/>
        <v>#DIV/0!</v>
      </c>
      <c r="M726" t="e">
        <f t="shared" si="48"/>
        <v>#DIV/0!</v>
      </c>
      <c r="N726" s="222">
        <f t="shared" si="49"/>
        <v>0</v>
      </c>
    </row>
    <row r="727" spans="11:14" x14ac:dyDescent="0.25">
      <c r="K727" s="146" t="e">
        <f t="shared" si="46"/>
        <v>#DIV/0!</v>
      </c>
      <c r="L727" s="146" t="e">
        <f t="shared" si="47"/>
        <v>#DIV/0!</v>
      </c>
      <c r="M727" t="e">
        <f t="shared" si="48"/>
        <v>#DIV/0!</v>
      </c>
      <c r="N727" s="222">
        <f t="shared" si="49"/>
        <v>0</v>
      </c>
    </row>
    <row r="728" spans="11:14" x14ac:dyDescent="0.25">
      <c r="K728" s="146" t="e">
        <f t="shared" si="46"/>
        <v>#DIV/0!</v>
      </c>
      <c r="L728" s="146" t="e">
        <f t="shared" si="47"/>
        <v>#DIV/0!</v>
      </c>
      <c r="M728" t="e">
        <f t="shared" si="48"/>
        <v>#DIV/0!</v>
      </c>
      <c r="N728" s="222">
        <f t="shared" si="49"/>
        <v>0</v>
      </c>
    </row>
    <row r="729" spans="11:14" x14ac:dyDescent="0.25">
      <c r="K729" s="146" t="e">
        <f t="shared" si="46"/>
        <v>#DIV/0!</v>
      </c>
      <c r="L729" s="146" t="e">
        <f t="shared" si="47"/>
        <v>#DIV/0!</v>
      </c>
      <c r="M729" t="e">
        <f t="shared" si="48"/>
        <v>#DIV/0!</v>
      </c>
      <c r="N729" s="222">
        <f t="shared" si="49"/>
        <v>0</v>
      </c>
    </row>
    <row r="730" spans="11:14" x14ac:dyDescent="0.25">
      <c r="K730" s="146" t="e">
        <f t="shared" si="46"/>
        <v>#DIV/0!</v>
      </c>
      <c r="L730" s="146" t="e">
        <f t="shared" si="47"/>
        <v>#DIV/0!</v>
      </c>
      <c r="M730" t="e">
        <f t="shared" si="48"/>
        <v>#DIV/0!</v>
      </c>
      <c r="N730" s="222">
        <f t="shared" si="49"/>
        <v>0</v>
      </c>
    </row>
    <row r="731" spans="11:14" x14ac:dyDescent="0.25">
      <c r="K731" s="146" t="e">
        <f t="shared" si="46"/>
        <v>#DIV/0!</v>
      </c>
      <c r="L731" s="146" t="e">
        <f t="shared" si="47"/>
        <v>#DIV/0!</v>
      </c>
      <c r="M731" t="e">
        <f t="shared" si="48"/>
        <v>#DIV/0!</v>
      </c>
      <c r="N731" s="222">
        <f t="shared" si="49"/>
        <v>0</v>
      </c>
    </row>
    <row r="732" spans="11:14" x14ac:dyDescent="0.25">
      <c r="K732" s="146" t="e">
        <f t="shared" si="46"/>
        <v>#DIV/0!</v>
      </c>
      <c r="L732" s="146" t="e">
        <f t="shared" si="47"/>
        <v>#DIV/0!</v>
      </c>
      <c r="M732" t="e">
        <f t="shared" si="48"/>
        <v>#DIV/0!</v>
      </c>
      <c r="N732" s="222">
        <f t="shared" si="49"/>
        <v>0</v>
      </c>
    </row>
    <row r="733" spans="11:14" x14ac:dyDescent="0.25">
      <c r="K733" s="146" t="e">
        <f t="shared" si="46"/>
        <v>#DIV/0!</v>
      </c>
      <c r="L733" s="146" t="e">
        <f t="shared" si="47"/>
        <v>#DIV/0!</v>
      </c>
      <c r="M733" t="e">
        <f t="shared" si="48"/>
        <v>#DIV/0!</v>
      </c>
      <c r="N733" s="222">
        <f t="shared" si="49"/>
        <v>0</v>
      </c>
    </row>
    <row r="734" spans="11:14" x14ac:dyDescent="0.25">
      <c r="K734" s="146" t="e">
        <f t="shared" si="46"/>
        <v>#DIV/0!</v>
      </c>
      <c r="L734" s="146" t="e">
        <f t="shared" si="47"/>
        <v>#DIV/0!</v>
      </c>
      <c r="M734" t="e">
        <f t="shared" si="48"/>
        <v>#DIV/0!</v>
      </c>
      <c r="N734" s="222">
        <f t="shared" si="49"/>
        <v>0</v>
      </c>
    </row>
    <row r="735" spans="11:14" x14ac:dyDescent="0.25">
      <c r="K735" s="146" t="e">
        <f t="shared" si="46"/>
        <v>#DIV/0!</v>
      </c>
      <c r="L735" s="146" t="e">
        <f t="shared" si="47"/>
        <v>#DIV/0!</v>
      </c>
      <c r="M735" t="e">
        <f t="shared" si="48"/>
        <v>#DIV/0!</v>
      </c>
      <c r="N735" s="222">
        <f t="shared" si="49"/>
        <v>0</v>
      </c>
    </row>
    <row r="736" spans="11:14" x14ac:dyDescent="0.25">
      <c r="K736" s="146" t="e">
        <f t="shared" si="46"/>
        <v>#DIV/0!</v>
      </c>
      <c r="L736" s="146" t="e">
        <f t="shared" si="47"/>
        <v>#DIV/0!</v>
      </c>
      <c r="M736" t="e">
        <f t="shared" si="48"/>
        <v>#DIV/0!</v>
      </c>
      <c r="N736" s="222">
        <f t="shared" si="49"/>
        <v>0</v>
      </c>
    </row>
    <row r="737" spans="11:14" x14ac:dyDescent="0.25">
      <c r="K737" s="146" t="e">
        <f t="shared" si="46"/>
        <v>#DIV/0!</v>
      </c>
      <c r="L737" s="146" t="e">
        <f t="shared" si="47"/>
        <v>#DIV/0!</v>
      </c>
      <c r="M737" t="e">
        <f t="shared" si="48"/>
        <v>#DIV/0!</v>
      </c>
      <c r="N737" s="222">
        <f t="shared" si="49"/>
        <v>0</v>
      </c>
    </row>
    <row r="738" spans="11:14" x14ac:dyDescent="0.25">
      <c r="K738" s="146" t="e">
        <f t="shared" si="46"/>
        <v>#DIV/0!</v>
      </c>
      <c r="L738" s="146" t="e">
        <f t="shared" si="47"/>
        <v>#DIV/0!</v>
      </c>
      <c r="M738" t="e">
        <f t="shared" si="48"/>
        <v>#DIV/0!</v>
      </c>
      <c r="N738" s="222">
        <f t="shared" si="49"/>
        <v>0</v>
      </c>
    </row>
    <row r="739" spans="11:14" x14ac:dyDescent="0.25">
      <c r="K739" s="146" t="e">
        <f t="shared" si="46"/>
        <v>#DIV/0!</v>
      </c>
      <c r="L739" s="146" t="e">
        <f t="shared" si="47"/>
        <v>#DIV/0!</v>
      </c>
      <c r="M739" t="e">
        <f t="shared" si="48"/>
        <v>#DIV/0!</v>
      </c>
      <c r="N739" s="222">
        <f t="shared" si="49"/>
        <v>0</v>
      </c>
    </row>
    <row r="740" spans="11:14" x14ac:dyDescent="0.25">
      <c r="K740" s="146" t="e">
        <f t="shared" si="46"/>
        <v>#DIV/0!</v>
      </c>
      <c r="L740" s="146" t="e">
        <f t="shared" si="47"/>
        <v>#DIV/0!</v>
      </c>
      <c r="M740" t="e">
        <f t="shared" si="48"/>
        <v>#DIV/0!</v>
      </c>
      <c r="N740" s="222">
        <f t="shared" si="49"/>
        <v>0</v>
      </c>
    </row>
    <row r="741" spans="11:14" x14ac:dyDescent="0.25">
      <c r="K741" s="146" t="e">
        <f t="shared" si="46"/>
        <v>#DIV/0!</v>
      </c>
      <c r="L741" s="146" t="e">
        <f t="shared" si="47"/>
        <v>#DIV/0!</v>
      </c>
      <c r="M741" t="e">
        <f t="shared" si="48"/>
        <v>#DIV/0!</v>
      </c>
      <c r="N741" s="222">
        <f t="shared" si="49"/>
        <v>0</v>
      </c>
    </row>
    <row r="742" spans="11:14" x14ac:dyDescent="0.25">
      <c r="K742" s="146" t="e">
        <f t="shared" si="46"/>
        <v>#DIV/0!</v>
      </c>
      <c r="L742" s="146" t="e">
        <f t="shared" si="47"/>
        <v>#DIV/0!</v>
      </c>
      <c r="M742" t="e">
        <f t="shared" si="48"/>
        <v>#DIV/0!</v>
      </c>
      <c r="N742" s="222">
        <f t="shared" si="49"/>
        <v>0</v>
      </c>
    </row>
    <row r="743" spans="11:14" x14ac:dyDescent="0.25">
      <c r="K743" s="146" t="e">
        <f t="shared" si="46"/>
        <v>#DIV/0!</v>
      </c>
      <c r="L743" s="146" t="e">
        <f t="shared" si="47"/>
        <v>#DIV/0!</v>
      </c>
      <c r="M743" t="e">
        <f t="shared" si="48"/>
        <v>#DIV/0!</v>
      </c>
      <c r="N743" s="222">
        <f t="shared" si="49"/>
        <v>0</v>
      </c>
    </row>
    <row r="744" spans="11:14" x14ac:dyDescent="0.25">
      <c r="K744" s="146" t="e">
        <f t="shared" si="46"/>
        <v>#DIV/0!</v>
      </c>
      <c r="L744" s="146" t="e">
        <f t="shared" si="47"/>
        <v>#DIV/0!</v>
      </c>
      <c r="M744" t="e">
        <f t="shared" si="48"/>
        <v>#DIV/0!</v>
      </c>
      <c r="N744" s="222">
        <f t="shared" si="49"/>
        <v>0</v>
      </c>
    </row>
    <row r="745" spans="11:14" x14ac:dyDescent="0.25">
      <c r="K745" s="146" t="e">
        <f t="shared" si="46"/>
        <v>#DIV/0!</v>
      </c>
      <c r="L745" s="146" t="e">
        <f t="shared" si="47"/>
        <v>#DIV/0!</v>
      </c>
      <c r="M745" t="e">
        <f t="shared" si="48"/>
        <v>#DIV/0!</v>
      </c>
      <c r="N745" s="222">
        <f t="shared" si="49"/>
        <v>0</v>
      </c>
    </row>
    <row r="746" spans="11:14" x14ac:dyDescent="0.25">
      <c r="K746" s="146" t="e">
        <f t="shared" si="46"/>
        <v>#DIV/0!</v>
      </c>
      <c r="L746" s="146" t="e">
        <f t="shared" si="47"/>
        <v>#DIV/0!</v>
      </c>
      <c r="M746" t="e">
        <f t="shared" si="48"/>
        <v>#DIV/0!</v>
      </c>
      <c r="N746" s="222">
        <f t="shared" si="49"/>
        <v>0</v>
      </c>
    </row>
    <row r="747" spans="11:14" x14ac:dyDescent="0.25">
      <c r="K747" s="146" t="e">
        <f t="shared" si="46"/>
        <v>#DIV/0!</v>
      </c>
      <c r="L747" s="146" t="e">
        <f t="shared" si="47"/>
        <v>#DIV/0!</v>
      </c>
      <c r="M747" t="e">
        <f t="shared" si="48"/>
        <v>#DIV/0!</v>
      </c>
      <c r="N747" s="222">
        <f t="shared" si="49"/>
        <v>0</v>
      </c>
    </row>
    <row r="748" spans="11:14" x14ac:dyDescent="0.25">
      <c r="K748" s="146" t="e">
        <f t="shared" si="46"/>
        <v>#DIV/0!</v>
      </c>
      <c r="L748" s="146" t="e">
        <f t="shared" si="47"/>
        <v>#DIV/0!</v>
      </c>
      <c r="M748" t="e">
        <f t="shared" si="48"/>
        <v>#DIV/0!</v>
      </c>
      <c r="N748" s="222">
        <f t="shared" si="49"/>
        <v>0</v>
      </c>
    </row>
    <row r="749" spans="11:14" x14ac:dyDescent="0.25">
      <c r="K749" s="146" t="e">
        <f t="shared" si="46"/>
        <v>#DIV/0!</v>
      </c>
      <c r="L749" s="146" t="e">
        <f t="shared" si="47"/>
        <v>#DIV/0!</v>
      </c>
      <c r="M749" t="e">
        <f t="shared" si="48"/>
        <v>#DIV/0!</v>
      </c>
      <c r="N749" s="222">
        <f t="shared" si="49"/>
        <v>0</v>
      </c>
    </row>
    <row r="750" spans="11:14" x14ac:dyDescent="0.25">
      <c r="K750" s="146" t="e">
        <f t="shared" si="46"/>
        <v>#DIV/0!</v>
      </c>
      <c r="L750" s="146" t="e">
        <f t="shared" si="47"/>
        <v>#DIV/0!</v>
      </c>
      <c r="M750" t="e">
        <f t="shared" si="48"/>
        <v>#DIV/0!</v>
      </c>
      <c r="N750" s="222">
        <f t="shared" si="49"/>
        <v>0</v>
      </c>
    </row>
    <row r="751" spans="11:14" x14ac:dyDescent="0.25">
      <c r="K751" s="146" t="e">
        <f t="shared" si="46"/>
        <v>#DIV/0!</v>
      </c>
      <c r="L751" s="146" t="e">
        <f t="shared" si="47"/>
        <v>#DIV/0!</v>
      </c>
      <c r="M751" t="e">
        <f t="shared" si="48"/>
        <v>#DIV/0!</v>
      </c>
      <c r="N751" s="222">
        <f t="shared" si="49"/>
        <v>0</v>
      </c>
    </row>
    <row r="752" spans="11:14" x14ac:dyDescent="0.25">
      <c r="K752" s="146" t="e">
        <f t="shared" si="46"/>
        <v>#DIV/0!</v>
      </c>
      <c r="L752" s="146" t="e">
        <f t="shared" si="47"/>
        <v>#DIV/0!</v>
      </c>
      <c r="M752" t="e">
        <f t="shared" si="48"/>
        <v>#DIV/0!</v>
      </c>
      <c r="N752" s="222">
        <f t="shared" si="49"/>
        <v>0</v>
      </c>
    </row>
    <row r="753" spans="11:14" x14ac:dyDescent="0.25">
      <c r="K753" s="146" t="e">
        <f t="shared" si="46"/>
        <v>#DIV/0!</v>
      </c>
      <c r="L753" s="146" t="e">
        <f t="shared" si="47"/>
        <v>#DIV/0!</v>
      </c>
      <c r="M753" t="e">
        <f t="shared" si="48"/>
        <v>#DIV/0!</v>
      </c>
      <c r="N753" s="222">
        <f t="shared" si="49"/>
        <v>0</v>
      </c>
    </row>
    <row r="754" spans="11:14" x14ac:dyDescent="0.25">
      <c r="K754" s="146" t="e">
        <f t="shared" si="46"/>
        <v>#DIV/0!</v>
      </c>
      <c r="L754" s="146" t="e">
        <f t="shared" si="47"/>
        <v>#DIV/0!</v>
      </c>
      <c r="M754" t="e">
        <f t="shared" si="48"/>
        <v>#DIV/0!</v>
      </c>
      <c r="N754" s="222">
        <f t="shared" si="49"/>
        <v>0</v>
      </c>
    </row>
    <row r="755" spans="11:14" x14ac:dyDescent="0.25">
      <c r="K755" s="146" t="e">
        <f t="shared" si="46"/>
        <v>#DIV/0!</v>
      </c>
      <c r="L755" s="146" t="e">
        <f t="shared" si="47"/>
        <v>#DIV/0!</v>
      </c>
      <c r="M755" t="e">
        <f t="shared" si="48"/>
        <v>#DIV/0!</v>
      </c>
      <c r="N755" s="222">
        <f t="shared" si="49"/>
        <v>0</v>
      </c>
    </row>
    <row r="756" spans="11:14" x14ac:dyDescent="0.25">
      <c r="K756" s="146" t="e">
        <f t="shared" si="46"/>
        <v>#DIV/0!</v>
      </c>
      <c r="L756" s="146" t="e">
        <f t="shared" si="47"/>
        <v>#DIV/0!</v>
      </c>
      <c r="M756" t="e">
        <f t="shared" si="48"/>
        <v>#DIV/0!</v>
      </c>
      <c r="N756" s="222">
        <f t="shared" si="49"/>
        <v>0</v>
      </c>
    </row>
    <row r="757" spans="11:14" x14ac:dyDescent="0.25">
      <c r="K757" s="146" t="e">
        <f t="shared" si="46"/>
        <v>#DIV/0!</v>
      </c>
      <c r="L757" s="146" t="e">
        <f t="shared" si="47"/>
        <v>#DIV/0!</v>
      </c>
      <c r="M757" t="e">
        <f t="shared" si="48"/>
        <v>#DIV/0!</v>
      </c>
      <c r="N757" s="222">
        <f t="shared" si="49"/>
        <v>0</v>
      </c>
    </row>
    <row r="758" spans="11:14" x14ac:dyDescent="0.25">
      <c r="K758" s="146" t="e">
        <f t="shared" si="46"/>
        <v>#DIV/0!</v>
      </c>
      <c r="L758" s="146" t="e">
        <f t="shared" si="47"/>
        <v>#DIV/0!</v>
      </c>
      <c r="M758" t="e">
        <f t="shared" si="48"/>
        <v>#DIV/0!</v>
      </c>
      <c r="N758" s="222">
        <f t="shared" si="49"/>
        <v>0</v>
      </c>
    </row>
    <row r="759" spans="11:14" x14ac:dyDescent="0.25">
      <c r="K759" s="146" t="e">
        <f t="shared" si="46"/>
        <v>#DIV/0!</v>
      </c>
      <c r="L759" s="146" t="e">
        <f t="shared" si="47"/>
        <v>#DIV/0!</v>
      </c>
      <c r="M759" t="e">
        <f t="shared" si="48"/>
        <v>#DIV/0!</v>
      </c>
      <c r="N759" s="222">
        <f t="shared" si="49"/>
        <v>0</v>
      </c>
    </row>
    <row r="760" spans="11:14" x14ac:dyDescent="0.25">
      <c r="K760" s="146" t="e">
        <f t="shared" si="46"/>
        <v>#DIV/0!</v>
      </c>
      <c r="L760" s="146" t="e">
        <f t="shared" si="47"/>
        <v>#DIV/0!</v>
      </c>
      <c r="M760" t="e">
        <f t="shared" si="48"/>
        <v>#DIV/0!</v>
      </c>
      <c r="N760" s="222">
        <f t="shared" si="49"/>
        <v>0</v>
      </c>
    </row>
    <row r="761" spans="11:14" x14ac:dyDescent="0.25">
      <c r="K761" s="146" t="e">
        <f t="shared" si="46"/>
        <v>#DIV/0!</v>
      </c>
      <c r="L761" s="146" t="e">
        <f t="shared" si="47"/>
        <v>#DIV/0!</v>
      </c>
      <c r="M761" t="e">
        <f t="shared" si="48"/>
        <v>#DIV/0!</v>
      </c>
      <c r="N761" s="222">
        <f t="shared" si="49"/>
        <v>0</v>
      </c>
    </row>
    <row r="762" spans="11:14" x14ac:dyDescent="0.25">
      <c r="K762" s="146" t="e">
        <f t="shared" si="46"/>
        <v>#DIV/0!</v>
      </c>
      <c r="L762" s="146" t="e">
        <f t="shared" si="47"/>
        <v>#DIV/0!</v>
      </c>
      <c r="M762" t="e">
        <f t="shared" si="48"/>
        <v>#DIV/0!</v>
      </c>
      <c r="N762" s="222">
        <f t="shared" si="49"/>
        <v>0</v>
      </c>
    </row>
    <row r="763" spans="11:14" x14ac:dyDescent="0.25">
      <c r="K763" s="146" t="e">
        <f t="shared" si="46"/>
        <v>#DIV/0!</v>
      </c>
      <c r="L763" s="146" t="e">
        <f t="shared" si="47"/>
        <v>#DIV/0!</v>
      </c>
      <c r="M763" t="e">
        <f t="shared" si="48"/>
        <v>#DIV/0!</v>
      </c>
      <c r="N763" s="222">
        <f t="shared" si="49"/>
        <v>0</v>
      </c>
    </row>
    <row r="764" spans="11:14" x14ac:dyDescent="0.25">
      <c r="K764" s="146" t="e">
        <f t="shared" si="46"/>
        <v>#DIV/0!</v>
      </c>
      <c r="L764" s="146" t="e">
        <f t="shared" si="47"/>
        <v>#DIV/0!</v>
      </c>
      <c r="M764" t="e">
        <f t="shared" si="48"/>
        <v>#DIV/0!</v>
      </c>
      <c r="N764" s="222">
        <f t="shared" si="49"/>
        <v>0</v>
      </c>
    </row>
    <row r="765" spans="11:14" x14ac:dyDescent="0.25">
      <c r="K765" s="146" t="e">
        <f t="shared" si="46"/>
        <v>#DIV/0!</v>
      </c>
      <c r="L765" s="146" t="e">
        <f t="shared" si="47"/>
        <v>#DIV/0!</v>
      </c>
      <c r="M765" t="e">
        <f t="shared" si="48"/>
        <v>#DIV/0!</v>
      </c>
      <c r="N765" s="222">
        <f t="shared" si="49"/>
        <v>0</v>
      </c>
    </row>
    <row r="766" spans="11:14" x14ac:dyDescent="0.25">
      <c r="K766" s="146" t="e">
        <f t="shared" si="46"/>
        <v>#DIV/0!</v>
      </c>
      <c r="L766" s="146" t="e">
        <f t="shared" si="47"/>
        <v>#DIV/0!</v>
      </c>
      <c r="M766" t="e">
        <f t="shared" si="48"/>
        <v>#DIV/0!</v>
      </c>
      <c r="N766" s="222">
        <f t="shared" si="49"/>
        <v>0</v>
      </c>
    </row>
    <row r="767" spans="11:14" x14ac:dyDescent="0.25">
      <c r="K767" s="146" t="e">
        <f t="shared" si="46"/>
        <v>#DIV/0!</v>
      </c>
      <c r="L767" s="146" t="e">
        <f t="shared" si="47"/>
        <v>#DIV/0!</v>
      </c>
      <c r="M767" t="e">
        <f t="shared" si="48"/>
        <v>#DIV/0!</v>
      </c>
      <c r="N767" s="222">
        <f t="shared" si="49"/>
        <v>0</v>
      </c>
    </row>
    <row r="768" spans="11:14" x14ac:dyDescent="0.25">
      <c r="K768" s="146" t="e">
        <f t="shared" si="46"/>
        <v>#DIV/0!</v>
      </c>
      <c r="L768" s="146" t="e">
        <f t="shared" si="47"/>
        <v>#DIV/0!</v>
      </c>
      <c r="M768" t="e">
        <f t="shared" si="48"/>
        <v>#DIV/0!</v>
      </c>
      <c r="N768" s="222">
        <f t="shared" si="49"/>
        <v>0</v>
      </c>
    </row>
    <row r="769" spans="11:14" x14ac:dyDescent="0.25">
      <c r="K769" s="146" t="e">
        <f t="shared" si="46"/>
        <v>#DIV/0!</v>
      </c>
      <c r="L769" s="146" t="e">
        <f t="shared" si="47"/>
        <v>#DIV/0!</v>
      </c>
      <c r="M769" t="e">
        <f t="shared" si="48"/>
        <v>#DIV/0!</v>
      </c>
      <c r="N769" s="222">
        <f t="shared" si="49"/>
        <v>0</v>
      </c>
    </row>
    <row r="770" spans="11:14" x14ac:dyDescent="0.25">
      <c r="K770" s="146" t="e">
        <f t="shared" ref="K770:K833" si="50">D770/E770</f>
        <v>#DIV/0!</v>
      </c>
      <c r="L770" s="146" t="e">
        <f t="shared" ref="L770:L833" si="51">D770/(C770+D770)</f>
        <v>#DIV/0!</v>
      </c>
      <c r="M770" t="e">
        <f t="shared" ref="M770:M833" si="52">IF(OR(IF(K770&lt;0.2,1,0),IF(L770&lt;0.5,1,0)),1,0)</f>
        <v>#DIV/0!</v>
      </c>
      <c r="N770" s="222">
        <f t="shared" ref="N770:N833" si="53">G770+H770+I770+J770</f>
        <v>0</v>
      </c>
    </row>
    <row r="771" spans="11:14" x14ac:dyDescent="0.25">
      <c r="K771" s="146" t="e">
        <f t="shared" si="50"/>
        <v>#DIV/0!</v>
      </c>
      <c r="L771" s="146" t="e">
        <f t="shared" si="51"/>
        <v>#DIV/0!</v>
      </c>
      <c r="M771" t="e">
        <f t="shared" si="52"/>
        <v>#DIV/0!</v>
      </c>
      <c r="N771" s="222">
        <f t="shared" si="53"/>
        <v>0</v>
      </c>
    </row>
    <row r="772" spans="11:14" x14ac:dyDescent="0.25">
      <c r="K772" s="146" t="e">
        <f t="shared" si="50"/>
        <v>#DIV/0!</v>
      </c>
      <c r="L772" s="146" t="e">
        <f t="shared" si="51"/>
        <v>#DIV/0!</v>
      </c>
      <c r="M772" t="e">
        <f t="shared" si="52"/>
        <v>#DIV/0!</v>
      </c>
      <c r="N772" s="222">
        <f t="shared" si="53"/>
        <v>0</v>
      </c>
    </row>
    <row r="773" spans="11:14" x14ac:dyDescent="0.25">
      <c r="K773" s="146" t="e">
        <f t="shared" si="50"/>
        <v>#DIV/0!</v>
      </c>
      <c r="L773" s="146" t="e">
        <f t="shared" si="51"/>
        <v>#DIV/0!</v>
      </c>
      <c r="M773" t="e">
        <f t="shared" si="52"/>
        <v>#DIV/0!</v>
      </c>
      <c r="N773" s="222">
        <f t="shared" si="53"/>
        <v>0</v>
      </c>
    </row>
    <row r="774" spans="11:14" x14ac:dyDescent="0.25">
      <c r="K774" s="146" t="e">
        <f t="shared" si="50"/>
        <v>#DIV/0!</v>
      </c>
      <c r="L774" s="146" t="e">
        <f t="shared" si="51"/>
        <v>#DIV/0!</v>
      </c>
      <c r="M774" t="e">
        <f t="shared" si="52"/>
        <v>#DIV/0!</v>
      </c>
      <c r="N774" s="222">
        <f t="shared" si="53"/>
        <v>0</v>
      </c>
    </row>
    <row r="775" spans="11:14" x14ac:dyDescent="0.25">
      <c r="K775" s="146" t="e">
        <f t="shared" si="50"/>
        <v>#DIV/0!</v>
      </c>
      <c r="L775" s="146" t="e">
        <f t="shared" si="51"/>
        <v>#DIV/0!</v>
      </c>
      <c r="M775" t="e">
        <f t="shared" si="52"/>
        <v>#DIV/0!</v>
      </c>
      <c r="N775" s="222">
        <f t="shared" si="53"/>
        <v>0</v>
      </c>
    </row>
    <row r="776" spans="11:14" x14ac:dyDescent="0.25">
      <c r="K776" s="146" t="e">
        <f t="shared" si="50"/>
        <v>#DIV/0!</v>
      </c>
      <c r="L776" s="146" t="e">
        <f t="shared" si="51"/>
        <v>#DIV/0!</v>
      </c>
      <c r="M776" t="e">
        <f t="shared" si="52"/>
        <v>#DIV/0!</v>
      </c>
      <c r="N776" s="222">
        <f t="shared" si="53"/>
        <v>0</v>
      </c>
    </row>
    <row r="777" spans="11:14" x14ac:dyDescent="0.25">
      <c r="K777" s="146" t="e">
        <f t="shared" si="50"/>
        <v>#DIV/0!</v>
      </c>
      <c r="L777" s="146" t="e">
        <f t="shared" si="51"/>
        <v>#DIV/0!</v>
      </c>
      <c r="M777" t="e">
        <f t="shared" si="52"/>
        <v>#DIV/0!</v>
      </c>
      <c r="N777" s="222">
        <f t="shared" si="53"/>
        <v>0</v>
      </c>
    </row>
    <row r="778" spans="11:14" x14ac:dyDescent="0.25">
      <c r="K778" s="146" t="e">
        <f t="shared" si="50"/>
        <v>#DIV/0!</v>
      </c>
      <c r="L778" s="146" t="e">
        <f t="shared" si="51"/>
        <v>#DIV/0!</v>
      </c>
      <c r="M778" t="e">
        <f t="shared" si="52"/>
        <v>#DIV/0!</v>
      </c>
      <c r="N778" s="222">
        <f t="shared" si="53"/>
        <v>0</v>
      </c>
    </row>
    <row r="779" spans="11:14" x14ac:dyDescent="0.25">
      <c r="K779" s="146" t="e">
        <f t="shared" si="50"/>
        <v>#DIV/0!</v>
      </c>
      <c r="L779" s="146" t="e">
        <f t="shared" si="51"/>
        <v>#DIV/0!</v>
      </c>
      <c r="M779" t="e">
        <f t="shared" si="52"/>
        <v>#DIV/0!</v>
      </c>
      <c r="N779" s="222">
        <f t="shared" si="53"/>
        <v>0</v>
      </c>
    </row>
    <row r="780" spans="11:14" x14ac:dyDescent="0.25">
      <c r="K780" s="146" t="e">
        <f t="shared" si="50"/>
        <v>#DIV/0!</v>
      </c>
      <c r="L780" s="146" t="e">
        <f t="shared" si="51"/>
        <v>#DIV/0!</v>
      </c>
      <c r="M780" t="e">
        <f t="shared" si="52"/>
        <v>#DIV/0!</v>
      </c>
      <c r="N780" s="222">
        <f t="shared" si="53"/>
        <v>0</v>
      </c>
    </row>
    <row r="781" spans="11:14" x14ac:dyDescent="0.25">
      <c r="K781" s="146" t="e">
        <f t="shared" si="50"/>
        <v>#DIV/0!</v>
      </c>
      <c r="L781" s="146" t="e">
        <f t="shared" si="51"/>
        <v>#DIV/0!</v>
      </c>
      <c r="M781" t="e">
        <f t="shared" si="52"/>
        <v>#DIV/0!</v>
      </c>
      <c r="N781" s="222">
        <f t="shared" si="53"/>
        <v>0</v>
      </c>
    </row>
    <row r="782" spans="11:14" x14ac:dyDescent="0.25">
      <c r="K782" s="146" t="e">
        <f t="shared" si="50"/>
        <v>#DIV/0!</v>
      </c>
      <c r="L782" s="146" t="e">
        <f t="shared" si="51"/>
        <v>#DIV/0!</v>
      </c>
      <c r="M782" t="e">
        <f t="shared" si="52"/>
        <v>#DIV/0!</v>
      </c>
      <c r="N782" s="222">
        <f t="shared" si="53"/>
        <v>0</v>
      </c>
    </row>
    <row r="783" spans="11:14" x14ac:dyDescent="0.25">
      <c r="K783" s="146" t="e">
        <f t="shared" si="50"/>
        <v>#DIV/0!</v>
      </c>
      <c r="L783" s="146" t="e">
        <f t="shared" si="51"/>
        <v>#DIV/0!</v>
      </c>
      <c r="M783" t="e">
        <f t="shared" si="52"/>
        <v>#DIV/0!</v>
      </c>
      <c r="N783" s="222">
        <f t="shared" si="53"/>
        <v>0</v>
      </c>
    </row>
    <row r="784" spans="11:14" x14ac:dyDescent="0.25">
      <c r="K784" s="146" t="e">
        <f t="shared" si="50"/>
        <v>#DIV/0!</v>
      </c>
      <c r="L784" s="146" t="e">
        <f t="shared" si="51"/>
        <v>#DIV/0!</v>
      </c>
      <c r="M784" t="e">
        <f t="shared" si="52"/>
        <v>#DIV/0!</v>
      </c>
      <c r="N784" s="222">
        <f t="shared" si="53"/>
        <v>0</v>
      </c>
    </row>
    <row r="785" spans="11:14" x14ac:dyDescent="0.25">
      <c r="K785" s="146" t="e">
        <f t="shared" si="50"/>
        <v>#DIV/0!</v>
      </c>
      <c r="L785" s="146" t="e">
        <f t="shared" si="51"/>
        <v>#DIV/0!</v>
      </c>
      <c r="M785" t="e">
        <f t="shared" si="52"/>
        <v>#DIV/0!</v>
      </c>
      <c r="N785" s="222">
        <f t="shared" si="53"/>
        <v>0</v>
      </c>
    </row>
    <row r="786" spans="11:14" x14ac:dyDescent="0.25">
      <c r="K786" s="146" t="e">
        <f t="shared" si="50"/>
        <v>#DIV/0!</v>
      </c>
      <c r="L786" s="146" t="e">
        <f t="shared" si="51"/>
        <v>#DIV/0!</v>
      </c>
      <c r="M786" t="e">
        <f t="shared" si="52"/>
        <v>#DIV/0!</v>
      </c>
      <c r="N786" s="222">
        <f t="shared" si="53"/>
        <v>0</v>
      </c>
    </row>
    <row r="787" spans="11:14" x14ac:dyDescent="0.25">
      <c r="K787" s="146" t="e">
        <f t="shared" si="50"/>
        <v>#DIV/0!</v>
      </c>
      <c r="L787" s="146" t="e">
        <f t="shared" si="51"/>
        <v>#DIV/0!</v>
      </c>
      <c r="M787" t="e">
        <f t="shared" si="52"/>
        <v>#DIV/0!</v>
      </c>
      <c r="N787" s="222">
        <f t="shared" si="53"/>
        <v>0</v>
      </c>
    </row>
    <row r="788" spans="11:14" x14ac:dyDescent="0.25">
      <c r="K788" s="146" t="e">
        <f t="shared" si="50"/>
        <v>#DIV/0!</v>
      </c>
      <c r="L788" s="146" t="e">
        <f t="shared" si="51"/>
        <v>#DIV/0!</v>
      </c>
      <c r="M788" t="e">
        <f t="shared" si="52"/>
        <v>#DIV/0!</v>
      </c>
      <c r="N788" s="222">
        <f t="shared" si="53"/>
        <v>0</v>
      </c>
    </row>
    <row r="789" spans="11:14" x14ac:dyDescent="0.25">
      <c r="K789" s="146" t="e">
        <f t="shared" si="50"/>
        <v>#DIV/0!</v>
      </c>
      <c r="L789" s="146" t="e">
        <f t="shared" si="51"/>
        <v>#DIV/0!</v>
      </c>
      <c r="M789" t="e">
        <f t="shared" si="52"/>
        <v>#DIV/0!</v>
      </c>
      <c r="N789" s="222">
        <f t="shared" si="53"/>
        <v>0</v>
      </c>
    </row>
    <row r="790" spans="11:14" x14ac:dyDescent="0.25">
      <c r="K790" s="146" t="e">
        <f t="shared" si="50"/>
        <v>#DIV/0!</v>
      </c>
      <c r="L790" s="146" t="e">
        <f t="shared" si="51"/>
        <v>#DIV/0!</v>
      </c>
      <c r="M790" t="e">
        <f t="shared" si="52"/>
        <v>#DIV/0!</v>
      </c>
      <c r="N790" s="222">
        <f t="shared" si="53"/>
        <v>0</v>
      </c>
    </row>
    <row r="791" spans="11:14" x14ac:dyDescent="0.25">
      <c r="K791" s="146" t="e">
        <f t="shared" si="50"/>
        <v>#DIV/0!</v>
      </c>
      <c r="L791" s="146" t="e">
        <f t="shared" si="51"/>
        <v>#DIV/0!</v>
      </c>
      <c r="M791" t="e">
        <f t="shared" si="52"/>
        <v>#DIV/0!</v>
      </c>
      <c r="N791" s="222">
        <f t="shared" si="53"/>
        <v>0</v>
      </c>
    </row>
    <row r="792" spans="11:14" x14ac:dyDescent="0.25">
      <c r="K792" s="146" t="e">
        <f t="shared" si="50"/>
        <v>#DIV/0!</v>
      </c>
      <c r="L792" s="146" t="e">
        <f t="shared" si="51"/>
        <v>#DIV/0!</v>
      </c>
      <c r="M792" t="e">
        <f t="shared" si="52"/>
        <v>#DIV/0!</v>
      </c>
      <c r="N792" s="222">
        <f t="shared" si="53"/>
        <v>0</v>
      </c>
    </row>
    <row r="793" spans="11:14" x14ac:dyDescent="0.25">
      <c r="K793" s="146" t="e">
        <f t="shared" si="50"/>
        <v>#DIV/0!</v>
      </c>
      <c r="L793" s="146" t="e">
        <f t="shared" si="51"/>
        <v>#DIV/0!</v>
      </c>
      <c r="M793" t="e">
        <f t="shared" si="52"/>
        <v>#DIV/0!</v>
      </c>
      <c r="N793" s="222">
        <f t="shared" si="53"/>
        <v>0</v>
      </c>
    </row>
    <row r="794" spans="11:14" x14ac:dyDescent="0.25">
      <c r="K794" s="146" t="e">
        <f t="shared" si="50"/>
        <v>#DIV/0!</v>
      </c>
      <c r="L794" s="146" t="e">
        <f t="shared" si="51"/>
        <v>#DIV/0!</v>
      </c>
      <c r="M794" t="e">
        <f t="shared" si="52"/>
        <v>#DIV/0!</v>
      </c>
      <c r="N794" s="222">
        <f t="shared" si="53"/>
        <v>0</v>
      </c>
    </row>
    <row r="795" spans="11:14" x14ac:dyDescent="0.25">
      <c r="K795" s="146" t="e">
        <f t="shared" si="50"/>
        <v>#DIV/0!</v>
      </c>
      <c r="L795" s="146" t="e">
        <f t="shared" si="51"/>
        <v>#DIV/0!</v>
      </c>
      <c r="M795" t="e">
        <f t="shared" si="52"/>
        <v>#DIV/0!</v>
      </c>
      <c r="N795" s="222">
        <f t="shared" si="53"/>
        <v>0</v>
      </c>
    </row>
    <row r="796" spans="11:14" x14ac:dyDescent="0.25">
      <c r="K796" s="146" t="e">
        <f t="shared" si="50"/>
        <v>#DIV/0!</v>
      </c>
      <c r="L796" s="146" t="e">
        <f t="shared" si="51"/>
        <v>#DIV/0!</v>
      </c>
      <c r="M796" t="e">
        <f t="shared" si="52"/>
        <v>#DIV/0!</v>
      </c>
      <c r="N796" s="222">
        <f t="shared" si="53"/>
        <v>0</v>
      </c>
    </row>
    <row r="797" spans="11:14" x14ac:dyDescent="0.25">
      <c r="K797" s="146" t="e">
        <f t="shared" si="50"/>
        <v>#DIV/0!</v>
      </c>
      <c r="L797" s="146" t="e">
        <f t="shared" si="51"/>
        <v>#DIV/0!</v>
      </c>
      <c r="M797" t="e">
        <f t="shared" si="52"/>
        <v>#DIV/0!</v>
      </c>
      <c r="N797" s="222">
        <f t="shared" si="53"/>
        <v>0</v>
      </c>
    </row>
    <row r="798" spans="11:14" x14ac:dyDescent="0.25">
      <c r="K798" s="146" t="e">
        <f t="shared" si="50"/>
        <v>#DIV/0!</v>
      </c>
      <c r="L798" s="146" t="e">
        <f t="shared" si="51"/>
        <v>#DIV/0!</v>
      </c>
      <c r="M798" t="e">
        <f t="shared" si="52"/>
        <v>#DIV/0!</v>
      </c>
      <c r="N798" s="222">
        <f t="shared" si="53"/>
        <v>0</v>
      </c>
    </row>
    <row r="799" spans="11:14" x14ac:dyDescent="0.25">
      <c r="K799" s="146" t="e">
        <f t="shared" si="50"/>
        <v>#DIV/0!</v>
      </c>
      <c r="L799" s="146" t="e">
        <f t="shared" si="51"/>
        <v>#DIV/0!</v>
      </c>
      <c r="M799" t="e">
        <f t="shared" si="52"/>
        <v>#DIV/0!</v>
      </c>
      <c r="N799" s="222">
        <f t="shared" si="53"/>
        <v>0</v>
      </c>
    </row>
    <row r="800" spans="11:14" x14ac:dyDescent="0.25">
      <c r="K800" s="146" t="e">
        <f t="shared" si="50"/>
        <v>#DIV/0!</v>
      </c>
      <c r="L800" s="146" t="e">
        <f t="shared" si="51"/>
        <v>#DIV/0!</v>
      </c>
      <c r="M800" t="e">
        <f t="shared" si="52"/>
        <v>#DIV/0!</v>
      </c>
      <c r="N800" s="222">
        <f t="shared" si="53"/>
        <v>0</v>
      </c>
    </row>
    <row r="801" spans="11:14" x14ac:dyDescent="0.25">
      <c r="K801" s="146" t="e">
        <f t="shared" si="50"/>
        <v>#DIV/0!</v>
      </c>
      <c r="L801" s="146" t="e">
        <f t="shared" si="51"/>
        <v>#DIV/0!</v>
      </c>
      <c r="M801" t="e">
        <f t="shared" si="52"/>
        <v>#DIV/0!</v>
      </c>
      <c r="N801" s="222">
        <f t="shared" si="53"/>
        <v>0</v>
      </c>
    </row>
    <row r="802" spans="11:14" x14ac:dyDescent="0.25">
      <c r="K802" s="146" t="e">
        <f t="shared" si="50"/>
        <v>#DIV/0!</v>
      </c>
      <c r="L802" s="146" t="e">
        <f t="shared" si="51"/>
        <v>#DIV/0!</v>
      </c>
      <c r="M802" t="e">
        <f t="shared" si="52"/>
        <v>#DIV/0!</v>
      </c>
      <c r="N802" s="222">
        <f t="shared" si="53"/>
        <v>0</v>
      </c>
    </row>
    <row r="803" spans="11:14" x14ac:dyDescent="0.25">
      <c r="K803" s="146" t="e">
        <f t="shared" si="50"/>
        <v>#DIV/0!</v>
      </c>
      <c r="L803" s="146" t="e">
        <f t="shared" si="51"/>
        <v>#DIV/0!</v>
      </c>
      <c r="M803" t="e">
        <f t="shared" si="52"/>
        <v>#DIV/0!</v>
      </c>
      <c r="N803" s="222">
        <f t="shared" si="53"/>
        <v>0</v>
      </c>
    </row>
    <row r="804" spans="11:14" x14ac:dyDescent="0.25">
      <c r="K804" s="146" t="e">
        <f t="shared" si="50"/>
        <v>#DIV/0!</v>
      </c>
      <c r="L804" s="146" t="e">
        <f t="shared" si="51"/>
        <v>#DIV/0!</v>
      </c>
      <c r="M804" t="e">
        <f t="shared" si="52"/>
        <v>#DIV/0!</v>
      </c>
      <c r="N804" s="222">
        <f t="shared" si="53"/>
        <v>0</v>
      </c>
    </row>
    <row r="805" spans="11:14" x14ac:dyDescent="0.25">
      <c r="K805" s="146" t="e">
        <f t="shared" si="50"/>
        <v>#DIV/0!</v>
      </c>
      <c r="L805" s="146" t="e">
        <f t="shared" si="51"/>
        <v>#DIV/0!</v>
      </c>
      <c r="M805" t="e">
        <f t="shared" si="52"/>
        <v>#DIV/0!</v>
      </c>
      <c r="N805" s="222">
        <f t="shared" si="53"/>
        <v>0</v>
      </c>
    </row>
    <row r="806" spans="11:14" x14ac:dyDescent="0.25">
      <c r="K806" s="146" t="e">
        <f t="shared" si="50"/>
        <v>#DIV/0!</v>
      </c>
      <c r="L806" s="146" t="e">
        <f t="shared" si="51"/>
        <v>#DIV/0!</v>
      </c>
      <c r="M806" t="e">
        <f t="shared" si="52"/>
        <v>#DIV/0!</v>
      </c>
      <c r="N806" s="222">
        <f t="shared" si="53"/>
        <v>0</v>
      </c>
    </row>
    <row r="807" spans="11:14" x14ac:dyDescent="0.25">
      <c r="K807" s="146" t="e">
        <f t="shared" si="50"/>
        <v>#DIV/0!</v>
      </c>
      <c r="L807" s="146" t="e">
        <f t="shared" si="51"/>
        <v>#DIV/0!</v>
      </c>
      <c r="M807" t="e">
        <f t="shared" si="52"/>
        <v>#DIV/0!</v>
      </c>
      <c r="N807" s="222">
        <f t="shared" si="53"/>
        <v>0</v>
      </c>
    </row>
    <row r="808" spans="11:14" x14ac:dyDescent="0.25">
      <c r="K808" s="146" t="e">
        <f t="shared" si="50"/>
        <v>#DIV/0!</v>
      </c>
      <c r="L808" s="146" t="e">
        <f t="shared" si="51"/>
        <v>#DIV/0!</v>
      </c>
      <c r="M808" t="e">
        <f t="shared" si="52"/>
        <v>#DIV/0!</v>
      </c>
      <c r="N808" s="222">
        <f t="shared" si="53"/>
        <v>0</v>
      </c>
    </row>
    <row r="809" spans="11:14" x14ac:dyDescent="0.25">
      <c r="K809" s="146" t="e">
        <f t="shared" si="50"/>
        <v>#DIV/0!</v>
      </c>
      <c r="L809" s="146" t="e">
        <f t="shared" si="51"/>
        <v>#DIV/0!</v>
      </c>
      <c r="M809" t="e">
        <f t="shared" si="52"/>
        <v>#DIV/0!</v>
      </c>
      <c r="N809" s="222">
        <f t="shared" si="53"/>
        <v>0</v>
      </c>
    </row>
    <row r="810" spans="11:14" x14ac:dyDescent="0.25">
      <c r="K810" s="146" t="e">
        <f t="shared" si="50"/>
        <v>#DIV/0!</v>
      </c>
      <c r="L810" s="146" t="e">
        <f t="shared" si="51"/>
        <v>#DIV/0!</v>
      </c>
      <c r="M810" t="e">
        <f t="shared" si="52"/>
        <v>#DIV/0!</v>
      </c>
      <c r="N810" s="222">
        <f t="shared" si="53"/>
        <v>0</v>
      </c>
    </row>
    <row r="811" spans="11:14" x14ac:dyDescent="0.25">
      <c r="K811" s="146" t="e">
        <f t="shared" si="50"/>
        <v>#DIV/0!</v>
      </c>
      <c r="L811" s="146" t="e">
        <f t="shared" si="51"/>
        <v>#DIV/0!</v>
      </c>
      <c r="M811" t="e">
        <f t="shared" si="52"/>
        <v>#DIV/0!</v>
      </c>
      <c r="N811" s="222">
        <f t="shared" si="53"/>
        <v>0</v>
      </c>
    </row>
    <row r="812" spans="11:14" x14ac:dyDescent="0.25">
      <c r="K812" s="146" t="e">
        <f t="shared" si="50"/>
        <v>#DIV/0!</v>
      </c>
      <c r="L812" s="146" t="e">
        <f t="shared" si="51"/>
        <v>#DIV/0!</v>
      </c>
      <c r="M812" t="e">
        <f t="shared" si="52"/>
        <v>#DIV/0!</v>
      </c>
      <c r="N812" s="222">
        <f t="shared" si="53"/>
        <v>0</v>
      </c>
    </row>
    <row r="813" spans="11:14" x14ac:dyDescent="0.25">
      <c r="K813" s="146" t="e">
        <f t="shared" si="50"/>
        <v>#DIV/0!</v>
      </c>
      <c r="L813" s="146" t="e">
        <f t="shared" si="51"/>
        <v>#DIV/0!</v>
      </c>
      <c r="M813" t="e">
        <f t="shared" si="52"/>
        <v>#DIV/0!</v>
      </c>
      <c r="N813" s="222">
        <f t="shared" si="53"/>
        <v>0</v>
      </c>
    </row>
    <row r="814" spans="11:14" x14ac:dyDescent="0.25">
      <c r="K814" s="146" t="e">
        <f t="shared" si="50"/>
        <v>#DIV/0!</v>
      </c>
      <c r="L814" s="146" t="e">
        <f t="shared" si="51"/>
        <v>#DIV/0!</v>
      </c>
      <c r="M814" t="e">
        <f t="shared" si="52"/>
        <v>#DIV/0!</v>
      </c>
      <c r="N814" s="222">
        <f t="shared" si="53"/>
        <v>0</v>
      </c>
    </row>
    <row r="815" spans="11:14" x14ac:dyDescent="0.25">
      <c r="K815" s="146" t="e">
        <f t="shared" si="50"/>
        <v>#DIV/0!</v>
      </c>
      <c r="L815" s="146" t="e">
        <f t="shared" si="51"/>
        <v>#DIV/0!</v>
      </c>
      <c r="M815" t="e">
        <f t="shared" si="52"/>
        <v>#DIV/0!</v>
      </c>
      <c r="N815" s="222">
        <f t="shared" si="53"/>
        <v>0</v>
      </c>
    </row>
    <row r="816" spans="11:14" x14ac:dyDescent="0.25">
      <c r="K816" s="146" t="e">
        <f t="shared" si="50"/>
        <v>#DIV/0!</v>
      </c>
      <c r="L816" s="146" t="e">
        <f t="shared" si="51"/>
        <v>#DIV/0!</v>
      </c>
      <c r="M816" t="e">
        <f t="shared" si="52"/>
        <v>#DIV/0!</v>
      </c>
      <c r="N816" s="222">
        <f t="shared" si="53"/>
        <v>0</v>
      </c>
    </row>
    <row r="817" spans="11:14" x14ac:dyDescent="0.25">
      <c r="K817" s="146" t="e">
        <f t="shared" si="50"/>
        <v>#DIV/0!</v>
      </c>
      <c r="L817" s="146" t="e">
        <f t="shared" si="51"/>
        <v>#DIV/0!</v>
      </c>
      <c r="M817" t="e">
        <f t="shared" si="52"/>
        <v>#DIV/0!</v>
      </c>
      <c r="N817" s="222">
        <f t="shared" si="53"/>
        <v>0</v>
      </c>
    </row>
    <row r="818" spans="11:14" x14ac:dyDescent="0.25">
      <c r="K818" s="146" t="e">
        <f t="shared" si="50"/>
        <v>#DIV/0!</v>
      </c>
      <c r="L818" s="146" t="e">
        <f t="shared" si="51"/>
        <v>#DIV/0!</v>
      </c>
      <c r="M818" t="e">
        <f t="shared" si="52"/>
        <v>#DIV/0!</v>
      </c>
      <c r="N818" s="222">
        <f t="shared" si="53"/>
        <v>0</v>
      </c>
    </row>
    <row r="819" spans="11:14" x14ac:dyDescent="0.25">
      <c r="K819" s="146" t="e">
        <f t="shared" si="50"/>
        <v>#DIV/0!</v>
      </c>
      <c r="L819" s="146" t="e">
        <f t="shared" si="51"/>
        <v>#DIV/0!</v>
      </c>
      <c r="M819" t="e">
        <f t="shared" si="52"/>
        <v>#DIV/0!</v>
      </c>
      <c r="N819" s="222">
        <f t="shared" si="53"/>
        <v>0</v>
      </c>
    </row>
    <row r="820" spans="11:14" x14ac:dyDescent="0.25">
      <c r="K820" s="146" t="e">
        <f t="shared" si="50"/>
        <v>#DIV/0!</v>
      </c>
      <c r="L820" s="146" t="e">
        <f t="shared" si="51"/>
        <v>#DIV/0!</v>
      </c>
      <c r="M820" t="e">
        <f t="shared" si="52"/>
        <v>#DIV/0!</v>
      </c>
      <c r="N820" s="222">
        <f t="shared" si="53"/>
        <v>0</v>
      </c>
    </row>
    <row r="821" spans="11:14" x14ac:dyDescent="0.25">
      <c r="K821" s="146" t="e">
        <f t="shared" si="50"/>
        <v>#DIV/0!</v>
      </c>
      <c r="L821" s="146" t="e">
        <f t="shared" si="51"/>
        <v>#DIV/0!</v>
      </c>
      <c r="M821" t="e">
        <f t="shared" si="52"/>
        <v>#DIV/0!</v>
      </c>
      <c r="N821" s="222">
        <f t="shared" si="53"/>
        <v>0</v>
      </c>
    </row>
    <row r="822" spans="11:14" x14ac:dyDescent="0.25">
      <c r="K822" s="146" t="e">
        <f t="shared" si="50"/>
        <v>#DIV/0!</v>
      </c>
      <c r="L822" s="146" t="e">
        <f t="shared" si="51"/>
        <v>#DIV/0!</v>
      </c>
      <c r="M822" t="e">
        <f t="shared" si="52"/>
        <v>#DIV/0!</v>
      </c>
      <c r="N822" s="222">
        <f t="shared" si="53"/>
        <v>0</v>
      </c>
    </row>
    <row r="823" spans="11:14" x14ac:dyDescent="0.25">
      <c r="K823" s="146" t="e">
        <f t="shared" si="50"/>
        <v>#DIV/0!</v>
      </c>
      <c r="L823" s="146" t="e">
        <f t="shared" si="51"/>
        <v>#DIV/0!</v>
      </c>
      <c r="M823" t="e">
        <f t="shared" si="52"/>
        <v>#DIV/0!</v>
      </c>
      <c r="N823" s="222">
        <f t="shared" si="53"/>
        <v>0</v>
      </c>
    </row>
    <row r="824" spans="11:14" x14ac:dyDescent="0.25">
      <c r="K824" s="146" t="e">
        <f t="shared" si="50"/>
        <v>#DIV/0!</v>
      </c>
      <c r="L824" s="146" t="e">
        <f t="shared" si="51"/>
        <v>#DIV/0!</v>
      </c>
      <c r="M824" t="e">
        <f t="shared" si="52"/>
        <v>#DIV/0!</v>
      </c>
      <c r="N824" s="222">
        <f t="shared" si="53"/>
        <v>0</v>
      </c>
    </row>
    <row r="825" spans="11:14" x14ac:dyDescent="0.25">
      <c r="K825" s="146" t="e">
        <f t="shared" si="50"/>
        <v>#DIV/0!</v>
      </c>
      <c r="L825" s="146" t="e">
        <f t="shared" si="51"/>
        <v>#DIV/0!</v>
      </c>
      <c r="M825" t="e">
        <f t="shared" si="52"/>
        <v>#DIV/0!</v>
      </c>
      <c r="N825" s="222">
        <f t="shared" si="53"/>
        <v>0</v>
      </c>
    </row>
    <row r="826" spans="11:14" x14ac:dyDescent="0.25">
      <c r="K826" s="146" t="e">
        <f t="shared" si="50"/>
        <v>#DIV/0!</v>
      </c>
      <c r="L826" s="146" t="e">
        <f t="shared" si="51"/>
        <v>#DIV/0!</v>
      </c>
      <c r="M826" t="e">
        <f t="shared" si="52"/>
        <v>#DIV/0!</v>
      </c>
      <c r="N826" s="222">
        <f t="shared" si="53"/>
        <v>0</v>
      </c>
    </row>
    <row r="827" spans="11:14" x14ac:dyDescent="0.25">
      <c r="K827" s="146" t="e">
        <f t="shared" si="50"/>
        <v>#DIV/0!</v>
      </c>
      <c r="L827" s="146" t="e">
        <f t="shared" si="51"/>
        <v>#DIV/0!</v>
      </c>
      <c r="M827" t="e">
        <f t="shared" si="52"/>
        <v>#DIV/0!</v>
      </c>
      <c r="N827" s="222">
        <f t="shared" si="53"/>
        <v>0</v>
      </c>
    </row>
    <row r="828" spans="11:14" x14ac:dyDescent="0.25">
      <c r="K828" s="146" t="e">
        <f t="shared" si="50"/>
        <v>#DIV/0!</v>
      </c>
      <c r="L828" s="146" t="e">
        <f t="shared" si="51"/>
        <v>#DIV/0!</v>
      </c>
      <c r="M828" t="e">
        <f t="shared" si="52"/>
        <v>#DIV/0!</v>
      </c>
      <c r="N828" s="222">
        <f t="shared" si="53"/>
        <v>0</v>
      </c>
    </row>
    <row r="829" spans="11:14" x14ac:dyDescent="0.25">
      <c r="K829" s="146" t="e">
        <f t="shared" si="50"/>
        <v>#DIV/0!</v>
      </c>
      <c r="L829" s="146" t="e">
        <f t="shared" si="51"/>
        <v>#DIV/0!</v>
      </c>
      <c r="M829" t="e">
        <f t="shared" si="52"/>
        <v>#DIV/0!</v>
      </c>
      <c r="N829" s="222">
        <f t="shared" si="53"/>
        <v>0</v>
      </c>
    </row>
    <row r="830" spans="11:14" x14ac:dyDescent="0.25">
      <c r="K830" s="146" t="e">
        <f t="shared" si="50"/>
        <v>#DIV/0!</v>
      </c>
      <c r="L830" s="146" t="e">
        <f t="shared" si="51"/>
        <v>#DIV/0!</v>
      </c>
      <c r="M830" t="e">
        <f t="shared" si="52"/>
        <v>#DIV/0!</v>
      </c>
      <c r="N830" s="222">
        <f t="shared" si="53"/>
        <v>0</v>
      </c>
    </row>
    <row r="831" spans="11:14" x14ac:dyDescent="0.25">
      <c r="K831" s="146" t="e">
        <f t="shared" si="50"/>
        <v>#DIV/0!</v>
      </c>
      <c r="L831" s="146" t="e">
        <f t="shared" si="51"/>
        <v>#DIV/0!</v>
      </c>
      <c r="M831" t="e">
        <f t="shared" si="52"/>
        <v>#DIV/0!</v>
      </c>
      <c r="N831" s="222">
        <f t="shared" si="53"/>
        <v>0</v>
      </c>
    </row>
    <row r="832" spans="11:14" x14ac:dyDescent="0.25">
      <c r="K832" s="146" t="e">
        <f t="shared" si="50"/>
        <v>#DIV/0!</v>
      </c>
      <c r="L832" s="146" t="e">
        <f t="shared" si="51"/>
        <v>#DIV/0!</v>
      </c>
      <c r="M832" t="e">
        <f t="shared" si="52"/>
        <v>#DIV/0!</v>
      </c>
      <c r="N832" s="222">
        <f t="shared" si="53"/>
        <v>0</v>
      </c>
    </row>
    <row r="833" spans="11:14" x14ac:dyDescent="0.25">
      <c r="K833" s="146" t="e">
        <f t="shared" si="50"/>
        <v>#DIV/0!</v>
      </c>
      <c r="L833" s="146" t="e">
        <f t="shared" si="51"/>
        <v>#DIV/0!</v>
      </c>
      <c r="M833" t="e">
        <f t="shared" si="52"/>
        <v>#DIV/0!</v>
      </c>
      <c r="N833" s="222">
        <f t="shared" si="53"/>
        <v>0</v>
      </c>
    </row>
    <row r="834" spans="11:14" x14ac:dyDescent="0.25">
      <c r="K834" s="146" t="e">
        <f t="shared" ref="K834:K897" si="54">D834/E834</f>
        <v>#DIV/0!</v>
      </c>
      <c r="L834" s="146" t="e">
        <f t="shared" ref="L834:L897" si="55">D834/(C834+D834)</f>
        <v>#DIV/0!</v>
      </c>
      <c r="M834" t="e">
        <f t="shared" ref="M834:M897" si="56">IF(OR(IF(K834&lt;0.2,1,0),IF(L834&lt;0.5,1,0)),1,0)</f>
        <v>#DIV/0!</v>
      </c>
      <c r="N834" s="222">
        <f t="shared" ref="N834:N897" si="57">G834+H834+I834+J834</f>
        <v>0</v>
      </c>
    </row>
    <row r="835" spans="11:14" x14ac:dyDescent="0.25">
      <c r="K835" s="146" t="e">
        <f t="shared" si="54"/>
        <v>#DIV/0!</v>
      </c>
      <c r="L835" s="146" t="e">
        <f t="shared" si="55"/>
        <v>#DIV/0!</v>
      </c>
      <c r="M835" t="e">
        <f t="shared" si="56"/>
        <v>#DIV/0!</v>
      </c>
      <c r="N835" s="222">
        <f t="shared" si="57"/>
        <v>0</v>
      </c>
    </row>
    <row r="836" spans="11:14" x14ac:dyDescent="0.25">
      <c r="K836" s="146" t="e">
        <f t="shared" si="54"/>
        <v>#DIV/0!</v>
      </c>
      <c r="L836" s="146" t="e">
        <f t="shared" si="55"/>
        <v>#DIV/0!</v>
      </c>
      <c r="M836" t="e">
        <f t="shared" si="56"/>
        <v>#DIV/0!</v>
      </c>
      <c r="N836" s="222">
        <f t="shared" si="57"/>
        <v>0</v>
      </c>
    </row>
    <row r="837" spans="11:14" x14ac:dyDescent="0.25">
      <c r="K837" s="146" t="e">
        <f t="shared" si="54"/>
        <v>#DIV/0!</v>
      </c>
      <c r="L837" s="146" t="e">
        <f t="shared" si="55"/>
        <v>#DIV/0!</v>
      </c>
      <c r="M837" t="e">
        <f t="shared" si="56"/>
        <v>#DIV/0!</v>
      </c>
      <c r="N837" s="222">
        <f t="shared" si="57"/>
        <v>0</v>
      </c>
    </row>
    <row r="838" spans="11:14" x14ac:dyDescent="0.25">
      <c r="K838" s="146" t="e">
        <f t="shared" si="54"/>
        <v>#DIV/0!</v>
      </c>
      <c r="L838" s="146" t="e">
        <f t="shared" si="55"/>
        <v>#DIV/0!</v>
      </c>
      <c r="M838" t="e">
        <f t="shared" si="56"/>
        <v>#DIV/0!</v>
      </c>
      <c r="N838" s="222">
        <f t="shared" si="57"/>
        <v>0</v>
      </c>
    </row>
    <row r="839" spans="11:14" x14ac:dyDescent="0.25">
      <c r="K839" s="146" t="e">
        <f t="shared" si="54"/>
        <v>#DIV/0!</v>
      </c>
      <c r="L839" s="146" t="e">
        <f t="shared" si="55"/>
        <v>#DIV/0!</v>
      </c>
      <c r="M839" t="e">
        <f t="shared" si="56"/>
        <v>#DIV/0!</v>
      </c>
      <c r="N839" s="222">
        <f t="shared" si="57"/>
        <v>0</v>
      </c>
    </row>
    <row r="840" spans="11:14" x14ac:dyDescent="0.25">
      <c r="K840" s="146" t="e">
        <f t="shared" si="54"/>
        <v>#DIV/0!</v>
      </c>
      <c r="L840" s="146" t="e">
        <f t="shared" si="55"/>
        <v>#DIV/0!</v>
      </c>
      <c r="M840" t="e">
        <f t="shared" si="56"/>
        <v>#DIV/0!</v>
      </c>
      <c r="N840" s="222">
        <f t="shared" si="57"/>
        <v>0</v>
      </c>
    </row>
    <row r="841" spans="11:14" x14ac:dyDescent="0.25">
      <c r="K841" s="146" t="e">
        <f t="shared" si="54"/>
        <v>#DIV/0!</v>
      </c>
      <c r="L841" s="146" t="e">
        <f t="shared" si="55"/>
        <v>#DIV/0!</v>
      </c>
      <c r="M841" t="e">
        <f t="shared" si="56"/>
        <v>#DIV/0!</v>
      </c>
      <c r="N841" s="222">
        <f t="shared" si="57"/>
        <v>0</v>
      </c>
    </row>
    <row r="842" spans="11:14" x14ac:dyDescent="0.25">
      <c r="K842" s="146" t="e">
        <f t="shared" si="54"/>
        <v>#DIV/0!</v>
      </c>
      <c r="L842" s="146" t="e">
        <f t="shared" si="55"/>
        <v>#DIV/0!</v>
      </c>
      <c r="M842" t="e">
        <f t="shared" si="56"/>
        <v>#DIV/0!</v>
      </c>
      <c r="N842" s="222">
        <f t="shared" si="57"/>
        <v>0</v>
      </c>
    </row>
    <row r="843" spans="11:14" x14ac:dyDescent="0.25">
      <c r="K843" s="146" t="e">
        <f t="shared" si="54"/>
        <v>#DIV/0!</v>
      </c>
      <c r="L843" s="146" t="e">
        <f t="shared" si="55"/>
        <v>#DIV/0!</v>
      </c>
      <c r="M843" t="e">
        <f t="shared" si="56"/>
        <v>#DIV/0!</v>
      </c>
      <c r="N843" s="222">
        <f t="shared" si="57"/>
        <v>0</v>
      </c>
    </row>
    <row r="844" spans="11:14" x14ac:dyDescent="0.25">
      <c r="K844" s="146" t="e">
        <f t="shared" si="54"/>
        <v>#DIV/0!</v>
      </c>
      <c r="L844" s="146" t="e">
        <f t="shared" si="55"/>
        <v>#DIV/0!</v>
      </c>
      <c r="M844" t="e">
        <f t="shared" si="56"/>
        <v>#DIV/0!</v>
      </c>
      <c r="N844" s="222">
        <f t="shared" si="57"/>
        <v>0</v>
      </c>
    </row>
    <row r="845" spans="11:14" x14ac:dyDescent="0.25">
      <c r="K845" s="146" t="e">
        <f t="shared" si="54"/>
        <v>#DIV/0!</v>
      </c>
      <c r="L845" s="146" t="e">
        <f t="shared" si="55"/>
        <v>#DIV/0!</v>
      </c>
      <c r="M845" t="e">
        <f t="shared" si="56"/>
        <v>#DIV/0!</v>
      </c>
      <c r="N845" s="222">
        <f t="shared" si="57"/>
        <v>0</v>
      </c>
    </row>
    <row r="846" spans="11:14" x14ac:dyDescent="0.25">
      <c r="K846" s="146" t="e">
        <f t="shared" si="54"/>
        <v>#DIV/0!</v>
      </c>
      <c r="L846" s="146" t="e">
        <f t="shared" si="55"/>
        <v>#DIV/0!</v>
      </c>
      <c r="M846" t="e">
        <f t="shared" si="56"/>
        <v>#DIV/0!</v>
      </c>
      <c r="N846" s="222">
        <f t="shared" si="57"/>
        <v>0</v>
      </c>
    </row>
    <row r="847" spans="11:14" x14ac:dyDescent="0.25">
      <c r="K847" s="146" t="e">
        <f t="shared" si="54"/>
        <v>#DIV/0!</v>
      </c>
      <c r="L847" s="146" t="e">
        <f t="shared" si="55"/>
        <v>#DIV/0!</v>
      </c>
      <c r="M847" t="e">
        <f t="shared" si="56"/>
        <v>#DIV/0!</v>
      </c>
      <c r="N847" s="222">
        <f t="shared" si="57"/>
        <v>0</v>
      </c>
    </row>
    <row r="848" spans="11:14" x14ac:dyDescent="0.25">
      <c r="K848" s="146" t="e">
        <f t="shared" si="54"/>
        <v>#DIV/0!</v>
      </c>
      <c r="L848" s="146" t="e">
        <f t="shared" si="55"/>
        <v>#DIV/0!</v>
      </c>
      <c r="M848" t="e">
        <f t="shared" si="56"/>
        <v>#DIV/0!</v>
      </c>
      <c r="N848" s="222">
        <f t="shared" si="57"/>
        <v>0</v>
      </c>
    </row>
    <row r="849" spans="11:14" x14ac:dyDescent="0.25">
      <c r="K849" s="146" t="e">
        <f t="shared" si="54"/>
        <v>#DIV/0!</v>
      </c>
      <c r="L849" s="146" t="e">
        <f t="shared" si="55"/>
        <v>#DIV/0!</v>
      </c>
      <c r="M849" t="e">
        <f t="shared" si="56"/>
        <v>#DIV/0!</v>
      </c>
      <c r="N849" s="222">
        <f t="shared" si="57"/>
        <v>0</v>
      </c>
    </row>
    <row r="850" spans="11:14" x14ac:dyDescent="0.25">
      <c r="K850" s="146" t="e">
        <f t="shared" si="54"/>
        <v>#DIV/0!</v>
      </c>
      <c r="L850" s="146" t="e">
        <f t="shared" si="55"/>
        <v>#DIV/0!</v>
      </c>
      <c r="M850" t="e">
        <f t="shared" si="56"/>
        <v>#DIV/0!</v>
      </c>
      <c r="N850" s="222">
        <f t="shared" si="57"/>
        <v>0</v>
      </c>
    </row>
    <row r="851" spans="11:14" x14ac:dyDescent="0.25">
      <c r="K851" s="146" t="e">
        <f t="shared" si="54"/>
        <v>#DIV/0!</v>
      </c>
      <c r="L851" s="146" t="e">
        <f t="shared" si="55"/>
        <v>#DIV/0!</v>
      </c>
      <c r="M851" t="e">
        <f t="shared" si="56"/>
        <v>#DIV/0!</v>
      </c>
      <c r="N851" s="222">
        <f t="shared" si="57"/>
        <v>0</v>
      </c>
    </row>
    <row r="852" spans="11:14" x14ac:dyDescent="0.25">
      <c r="K852" s="146" t="e">
        <f t="shared" si="54"/>
        <v>#DIV/0!</v>
      </c>
      <c r="L852" s="146" t="e">
        <f t="shared" si="55"/>
        <v>#DIV/0!</v>
      </c>
      <c r="M852" t="e">
        <f t="shared" si="56"/>
        <v>#DIV/0!</v>
      </c>
      <c r="N852" s="222">
        <f t="shared" si="57"/>
        <v>0</v>
      </c>
    </row>
    <row r="853" spans="11:14" x14ac:dyDescent="0.25">
      <c r="K853" s="146" t="e">
        <f t="shared" si="54"/>
        <v>#DIV/0!</v>
      </c>
      <c r="L853" s="146" t="e">
        <f t="shared" si="55"/>
        <v>#DIV/0!</v>
      </c>
      <c r="M853" t="e">
        <f t="shared" si="56"/>
        <v>#DIV/0!</v>
      </c>
      <c r="N853" s="222">
        <f t="shared" si="57"/>
        <v>0</v>
      </c>
    </row>
    <row r="854" spans="11:14" x14ac:dyDescent="0.25">
      <c r="K854" s="146" t="e">
        <f t="shared" si="54"/>
        <v>#DIV/0!</v>
      </c>
      <c r="L854" s="146" t="e">
        <f t="shared" si="55"/>
        <v>#DIV/0!</v>
      </c>
      <c r="M854" t="e">
        <f t="shared" si="56"/>
        <v>#DIV/0!</v>
      </c>
      <c r="N854" s="222">
        <f t="shared" si="57"/>
        <v>0</v>
      </c>
    </row>
    <row r="855" spans="11:14" x14ac:dyDescent="0.25">
      <c r="K855" s="146" t="e">
        <f t="shared" si="54"/>
        <v>#DIV/0!</v>
      </c>
      <c r="L855" s="146" t="e">
        <f t="shared" si="55"/>
        <v>#DIV/0!</v>
      </c>
      <c r="M855" t="e">
        <f t="shared" si="56"/>
        <v>#DIV/0!</v>
      </c>
      <c r="N855" s="222">
        <f t="shared" si="57"/>
        <v>0</v>
      </c>
    </row>
    <row r="856" spans="11:14" x14ac:dyDescent="0.25">
      <c r="K856" s="146" t="e">
        <f t="shared" si="54"/>
        <v>#DIV/0!</v>
      </c>
      <c r="L856" s="146" t="e">
        <f t="shared" si="55"/>
        <v>#DIV/0!</v>
      </c>
      <c r="M856" t="e">
        <f t="shared" si="56"/>
        <v>#DIV/0!</v>
      </c>
      <c r="N856" s="222">
        <f t="shared" si="57"/>
        <v>0</v>
      </c>
    </row>
    <row r="857" spans="11:14" x14ac:dyDescent="0.25">
      <c r="K857" s="146" t="e">
        <f t="shared" si="54"/>
        <v>#DIV/0!</v>
      </c>
      <c r="L857" s="146" t="e">
        <f t="shared" si="55"/>
        <v>#DIV/0!</v>
      </c>
      <c r="M857" t="e">
        <f t="shared" si="56"/>
        <v>#DIV/0!</v>
      </c>
      <c r="N857" s="222">
        <f t="shared" si="57"/>
        <v>0</v>
      </c>
    </row>
    <row r="858" spans="11:14" x14ac:dyDescent="0.25">
      <c r="K858" s="146" t="e">
        <f t="shared" si="54"/>
        <v>#DIV/0!</v>
      </c>
      <c r="L858" s="146" t="e">
        <f t="shared" si="55"/>
        <v>#DIV/0!</v>
      </c>
      <c r="M858" t="e">
        <f t="shared" si="56"/>
        <v>#DIV/0!</v>
      </c>
      <c r="N858" s="222">
        <f t="shared" si="57"/>
        <v>0</v>
      </c>
    </row>
    <row r="859" spans="11:14" x14ac:dyDescent="0.25">
      <c r="K859" s="146" t="e">
        <f t="shared" si="54"/>
        <v>#DIV/0!</v>
      </c>
      <c r="L859" s="146" t="e">
        <f t="shared" si="55"/>
        <v>#DIV/0!</v>
      </c>
      <c r="M859" t="e">
        <f t="shared" si="56"/>
        <v>#DIV/0!</v>
      </c>
      <c r="N859" s="222">
        <f t="shared" si="57"/>
        <v>0</v>
      </c>
    </row>
    <row r="860" spans="11:14" x14ac:dyDescent="0.25">
      <c r="K860" s="146" t="e">
        <f t="shared" si="54"/>
        <v>#DIV/0!</v>
      </c>
      <c r="L860" s="146" t="e">
        <f t="shared" si="55"/>
        <v>#DIV/0!</v>
      </c>
      <c r="M860" t="e">
        <f t="shared" si="56"/>
        <v>#DIV/0!</v>
      </c>
      <c r="N860" s="222">
        <f t="shared" si="57"/>
        <v>0</v>
      </c>
    </row>
    <row r="861" spans="11:14" x14ac:dyDescent="0.25">
      <c r="K861" s="146" t="e">
        <f t="shared" si="54"/>
        <v>#DIV/0!</v>
      </c>
      <c r="L861" s="146" t="e">
        <f t="shared" si="55"/>
        <v>#DIV/0!</v>
      </c>
      <c r="M861" t="e">
        <f t="shared" si="56"/>
        <v>#DIV/0!</v>
      </c>
      <c r="N861" s="222">
        <f t="shared" si="57"/>
        <v>0</v>
      </c>
    </row>
    <row r="862" spans="11:14" x14ac:dyDescent="0.25">
      <c r="K862" s="146" t="e">
        <f t="shared" si="54"/>
        <v>#DIV/0!</v>
      </c>
      <c r="L862" s="146" t="e">
        <f t="shared" si="55"/>
        <v>#DIV/0!</v>
      </c>
      <c r="M862" t="e">
        <f t="shared" si="56"/>
        <v>#DIV/0!</v>
      </c>
      <c r="N862" s="222">
        <f t="shared" si="57"/>
        <v>0</v>
      </c>
    </row>
    <row r="863" spans="11:14" x14ac:dyDescent="0.25">
      <c r="K863" s="146" t="e">
        <f t="shared" si="54"/>
        <v>#DIV/0!</v>
      </c>
      <c r="L863" s="146" t="e">
        <f t="shared" si="55"/>
        <v>#DIV/0!</v>
      </c>
      <c r="M863" t="e">
        <f t="shared" si="56"/>
        <v>#DIV/0!</v>
      </c>
      <c r="N863" s="222">
        <f t="shared" si="57"/>
        <v>0</v>
      </c>
    </row>
    <row r="864" spans="11:14" x14ac:dyDescent="0.25">
      <c r="K864" s="146" t="e">
        <f t="shared" si="54"/>
        <v>#DIV/0!</v>
      </c>
      <c r="L864" s="146" t="e">
        <f t="shared" si="55"/>
        <v>#DIV/0!</v>
      </c>
      <c r="M864" t="e">
        <f t="shared" si="56"/>
        <v>#DIV/0!</v>
      </c>
      <c r="N864" s="222">
        <f t="shared" si="57"/>
        <v>0</v>
      </c>
    </row>
    <row r="865" spans="11:14" x14ac:dyDescent="0.25">
      <c r="K865" s="146" t="e">
        <f t="shared" si="54"/>
        <v>#DIV/0!</v>
      </c>
      <c r="L865" s="146" t="e">
        <f t="shared" si="55"/>
        <v>#DIV/0!</v>
      </c>
      <c r="M865" t="e">
        <f t="shared" si="56"/>
        <v>#DIV/0!</v>
      </c>
      <c r="N865" s="222">
        <f t="shared" si="57"/>
        <v>0</v>
      </c>
    </row>
    <row r="866" spans="11:14" x14ac:dyDescent="0.25">
      <c r="K866" s="146" t="e">
        <f t="shared" si="54"/>
        <v>#DIV/0!</v>
      </c>
      <c r="L866" s="146" t="e">
        <f t="shared" si="55"/>
        <v>#DIV/0!</v>
      </c>
      <c r="M866" t="e">
        <f t="shared" si="56"/>
        <v>#DIV/0!</v>
      </c>
      <c r="N866" s="222">
        <f t="shared" si="57"/>
        <v>0</v>
      </c>
    </row>
    <row r="867" spans="11:14" x14ac:dyDescent="0.25">
      <c r="K867" s="146" t="e">
        <f t="shared" si="54"/>
        <v>#DIV/0!</v>
      </c>
      <c r="L867" s="146" t="e">
        <f t="shared" si="55"/>
        <v>#DIV/0!</v>
      </c>
      <c r="M867" t="e">
        <f t="shared" si="56"/>
        <v>#DIV/0!</v>
      </c>
      <c r="N867" s="222">
        <f t="shared" si="57"/>
        <v>0</v>
      </c>
    </row>
    <row r="868" spans="11:14" x14ac:dyDescent="0.25">
      <c r="K868" s="146" t="e">
        <f t="shared" si="54"/>
        <v>#DIV/0!</v>
      </c>
      <c r="L868" s="146" t="e">
        <f t="shared" si="55"/>
        <v>#DIV/0!</v>
      </c>
      <c r="M868" t="e">
        <f t="shared" si="56"/>
        <v>#DIV/0!</v>
      </c>
      <c r="N868" s="222">
        <f t="shared" si="57"/>
        <v>0</v>
      </c>
    </row>
    <row r="869" spans="11:14" x14ac:dyDescent="0.25">
      <c r="K869" s="146" t="e">
        <f t="shared" si="54"/>
        <v>#DIV/0!</v>
      </c>
      <c r="L869" s="146" t="e">
        <f t="shared" si="55"/>
        <v>#DIV/0!</v>
      </c>
      <c r="M869" t="e">
        <f t="shared" si="56"/>
        <v>#DIV/0!</v>
      </c>
      <c r="N869" s="222">
        <f t="shared" si="57"/>
        <v>0</v>
      </c>
    </row>
    <row r="870" spans="11:14" x14ac:dyDescent="0.25">
      <c r="K870" s="146" t="e">
        <f t="shared" si="54"/>
        <v>#DIV/0!</v>
      </c>
      <c r="L870" s="146" t="e">
        <f t="shared" si="55"/>
        <v>#DIV/0!</v>
      </c>
      <c r="M870" t="e">
        <f t="shared" si="56"/>
        <v>#DIV/0!</v>
      </c>
      <c r="N870" s="222">
        <f t="shared" si="57"/>
        <v>0</v>
      </c>
    </row>
    <row r="871" spans="11:14" x14ac:dyDescent="0.25">
      <c r="K871" s="146" t="e">
        <f t="shared" si="54"/>
        <v>#DIV/0!</v>
      </c>
      <c r="L871" s="146" t="e">
        <f t="shared" si="55"/>
        <v>#DIV/0!</v>
      </c>
      <c r="M871" t="e">
        <f t="shared" si="56"/>
        <v>#DIV/0!</v>
      </c>
      <c r="N871" s="222">
        <f t="shared" si="57"/>
        <v>0</v>
      </c>
    </row>
    <row r="872" spans="11:14" x14ac:dyDescent="0.25">
      <c r="K872" s="146" t="e">
        <f t="shared" si="54"/>
        <v>#DIV/0!</v>
      </c>
      <c r="L872" s="146" t="e">
        <f t="shared" si="55"/>
        <v>#DIV/0!</v>
      </c>
      <c r="M872" t="e">
        <f t="shared" si="56"/>
        <v>#DIV/0!</v>
      </c>
      <c r="N872" s="222">
        <f t="shared" si="57"/>
        <v>0</v>
      </c>
    </row>
    <row r="873" spans="11:14" x14ac:dyDescent="0.25">
      <c r="K873" s="146" t="e">
        <f t="shared" si="54"/>
        <v>#DIV/0!</v>
      </c>
      <c r="L873" s="146" t="e">
        <f t="shared" si="55"/>
        <v>#DIV/0!</v>
      </c>
      <c r="M873" t="e">
        <f t="shared" si="56"/>
        <v>#DIV/0!</v>
      </c>
      <c r="N873" s="222">
        <f t="shared" si="57"/>
        <v>0</v>
      </c>
    </row>
    <row r="874" spans="11:14" x14ac:dyDescent="0.25">
      <c r="K874" s="146" t="e">
        <f t="shared" si="54"/>
        <v>#DIV/0!</v>
      </c>
      <c r="L874" s="146" t="e">
        <f t="shared" si="55"/>
        <v>#DIV/0!</v>
      </c>
      <c r="M874" t="e">
        <f t="shared" si="56"/>
        <v>#DIV/0!</v>
      </c>
      <c r="N874" s="222">
        <f t="shared" si="57"/>
        <v>0</v>
      </c>
    </row>
    <row r="875" spans="11:14" x14ac:dyDescent="0.25">
      <c r="K875" s="146" t="e">
        <f t="shared" si="54"/>
        <v>#DIV/0!</v>
      </c>
      <c r="L875" s="146" t="e">
        <f t="shared" si="55"/>
        <v>#DIV/0!</v>
      </c>
      <c r="M875" t="e">
        <f t="shared" si="56"/>
        <v>#DIV/0!</v>
      </c>
      <c r="N875" s="222">
        <f t="shared" si="57"/>
        <v>0</v>
      </c>
    </row>
    <row r="876" spans="11:14" x14ac:dyDescent="0.25">
      <c r="K876" s="146" t="e">
        <f t="shared" si="54"/>
        <v>#DIV/0!</v>
      </c>
      <c r="L876" s="146" t="e">
        <f t="shared" si="55"/>
        <v>#DIV/0!</v>
      </c>
      <c r="M876" t="e">
        <f t="shared" si="56"/>
        <v>#DIV/0!</v>
      </c>
      <c r="N876" s="222">
        <f t="shared" si="57"/>
        <v>0</v>
      </c>
    </row>
    <row r="877" spans="11:14" x14ac:dyDescent="0.25">
      <c r="K877" s="146" t="e">
        <f t="shared" si="54"/>
        <v>#DIV/0!</v>
      </c>
      <c r="L877" s="146" t="e">
        <f t="shared" si="55"/>
        <v>#DIV/0!</v>
      </c>
      <c r="M877" t="e">
        <f t="shared" si="56"/>
        <v>#DIV/0!</v>
      </c>
      <c r="N877" s="222">
        <f t="shared" si="57"/>
        <v>0</v>
      </c>
    </row>
    <row r="878" spans="11:14" x14ac:dyDescent="0.25">
      <c r="K878" s="146" t="e">
        <f t="shared" si="54"/>
        <v>#DIV/0!</v>
      </c>
      <c r="L878" s="146" t="e">
        <f t="shared" si="55"/>
        <v>#DIV/0!</v>
      </c>
      <c r="M878" t="e">
        <f t="shared" si="56"/>
        <v>#DIV/0!</v>
      </c>
      <c r="N878" s="222">
        <f t="shared" si="57"/>
        <v>0</v>
      </c>
    </row>
    <row r="879" spans="11:14" x14ac:dyDescent="0.25">
      <c r="K879" s="146" t="e">
        <f t="shared" si="54"/>
        <v>#DIV/0!</v>
      </c>
      <c r="L879" s="146" t="e">
        <f t="shared" si="55"/>
        <v>#DIV/0!</v>
      </c>
      <c r="M879" t="e">
        <f t="shared" si="56"/>
        <v>#DIV/0!</v>
      </c>
      <c r="N879" s="222">
        <f t="shared" si="57"/>
        <v>0</v>
      </c>
    </row>
    <row r="880" spans="11:14" x14ac:dyDescent="0.25">
      <c r="K880" s="146" t="e">
        <f t="shared" si="54"/>
        <v>#DIV/0!</v>
      </c>
      <c r="L880" s="146" t="e">
        <f t="shared" si="55"/>
        <v>#DIV/0!</v>
      </c>
      <c r="M880" t="e">
        <f t="shared" si="56"/>
        <v>#DIV/0!</v>
      </c>
      <c r="N880" s="222">
        <f t="shared" si="57"/>
        <v>0</v>
      </c>
    </row>
    <row r="881" spans="11:14" x14ac:dyDescent="0.25">
      <c r="K881" s="146" t="e">
        <f t="shared" si="54"/>
        <v>#DIV/0!</v>
      </c>
      <c r="L881" s="146" t="e">
        <f t="shared" si="55"/>
        <v>#DIV/0!</v>
      </c>
      <c r="M881" t="e">
        <f t="shared" si="56"/>
        <v>#DIV/0!</v>
      </c>
      <c r="N881" s="222">
        <f t="shared" si="57"/>
        <v>0</v>
      </c>
    </row>
    <row r="882" spans="11:14" x14ac:dyDescent="0.25">
      <c r="K882" s="146" t="e">
        <f t="shared" si="54"/>
        <v>#DIV/0!</v>
      </c>
      <c r="L882" s="146" t="e">
        <f t="shared" si="55"/>
        <v>#DIV/0!</v>
      </c>
      <c r="M882" t="e">
        <f t="shared" si="56"/>
        <v>#DIV/0!</v>
      </c>
      <c r="N882" s="222">
        <f t="shared" si="57"/>
        <v>0</v>
      </c>
    </row>
    <row r="883" spans="11:14" x14ac:dyDescent="0.25">
      <c r="K883" s="146" t="e">
        <f t="shared" si="54"/>
        <v>#DIV/0!</v>
      </c>
      <c r="L883" s="146" t="e">
        <f t="shared" si="55"/>
        <v>#DIV/0!</v>
      </c>
      <c r="M883" t="e">
        <f t="shared" si="56"/>
        <v>#DIV/0!</v>
      </c>
      <c r="N883" s="222">
        <f t="shared" si="57"/>
        <v>0</v>
      </c>
    </row>
    <row r="884" spans="11:14" x14ac:dyDescent="0.25">
      <c r="K884" s="146" t="e">
        <f t="shared" si="54"/>
        <v>#DIV/0!</v>
      </c>
      <c r="L884" s="146" t="e">
        <f t="shared" si="55"/>
        <v>#DIV/0!</v>
      </c>
      <c r="M884" t="e">
        <f t="shared" si="56"/>
        <v>#DIV/0!</v>
      </c>
      <c r="N884" s="222">
        <f t="shared" si="57"/>
        <v>0</v>
      </c>
    </row>
    <row r="885" spans="11:14" x14ac:dyDescent="0.25">
      <c r="K885" s="146" t="e">
        <f t="shared" si="54"/>
        <v>#DIV/0!</v>
      </c>
      <c r="L885" s="146" t="e">
        <f t="shared" si="55"/>
        <v>#DIV/0!</v>
      </c>
      <c r="M885" t="e">
        <f t="shared" si="56"/>
        <v>#DIV/0!</v>
      </c>
      <c r="N885" s="222">
        <f t="shared" si="57"/>
        <v>0</v>
      </c>
    </row>
    <row r="886" spans="11:14" x14ac:dyDescent="0.25">
      <c r="K886" s="146" t="e">
        <f t="shared" si="54"/>
        <v>#DIV/0!</v>
      </c>
      <c r="L886" s="146" t="e">
        <f t="shared" si="55"/>
        <v>#DIV/0!</v>
      </c>
      <c r="M886" t="e">
        <f t="shared" si="56"/>
        <v>#DIV/0!</v>
      </c>
      <c r="N886" s="222">
        <f t="shared" si="57"/>
        <v>0</v>
      </c>
    </row>
    <row r="887" spans="11:14" x14ac:dyDescent="0.25">
      <c r="K887" s="146" t="e">
        <f t="shared" si="54"/>
        <v>#DIV/0!</v>
      </c>
      <c r="L887" s="146" t="e">
        <f t="shared" si="55"/>
        <v>#DIV/0!</v>
      </c>
      <c r="M887" t="e">
        <f t="shared" si="56"/>
        <v>#DIV/0!</v>
      </c>
      <c r="N887" s="222">
        <f t="shared" si="57"/>
        <v>0</v>
      </c>
    </row>
    <row r="888" spans="11:14" x14ac:dyDescent="0.25">
      <c r="K888" s="146" t="e">
        <f t="shared" si="54"/>
        <v>#DIV/0!</v>
      </c>
      <c r="L888" s="146" t="e">
        <f t="shared" si="55"/>
        <v>#DIV/0!</v>
      </c>
      <c r="M888" t="e">
        <f t="shared" si="56"/>
        <v>#DIV/0!</v>
      </c>
      <c r="N888" s="222">
        <f t="shared" si="57"/>
        <v>0</v>
      </c>
    </row>
    <row r="889" spans="11:14" x14ac:dyDescent="0.25">
      <c r="K889" s="146" t="e">
        <f t="shared" si="54"/>
        <v>#DIV/0!</v>
      </c>
      <c r="L889" s="146" t="e">
        <f t="shared" si="55"/>
        <v>#DIV/0!</v>
      </c>
      <c r="M889" t="e">
        <f t="shared" si="56"/>
        <v>#DIV/0!</v>
      </c>
      <c r="N889" s="222">
        <f t="shared" si="57"/>
        <v>0</v>
      </c>
    </row>
    <row r="890" spans="11:14" x14ac:dyDescent="0.25">
      <c r="K890" s="146" t="e">
        <f t="shared" si="54"/>
        <v>#DIV/0!</v>
      </c>
      <c r="L890" s="146" t="e">
        <f t="shared" si="55"/>
        <v>#DIV/0!</v>
      </c>
      <c r="M890" t="e">
        <f t="shared" si="56"/>
        <v>#DIV/0!</v>
      </c>
      <c r="N890" s="222">
        <f t="shared" si="57"/>
        <v>0</v>
      </c>
    </row>
    <row r="891" spans="11:14" x14ac:dyDescent="0.25">
      <c r="K891" s="146" t="e">
        <f t="shared" si="54"/>
        <v>#DIV/0!</v>
      </c>
      <c r="L891" s="146" t="e">
        <f t="shared" si="55"/>
        <v>#DIV/0!</v>
      </c>
      <c r="M891" t="e">
        <f t="shared" si="56"/>
        <v>#DIV/0!</v>
      </c>
      <c r="N891" s="222">
        <f t="shared" si="57"/>
        <v>0</v>
      </c>
    </row>
    <row r="892" spans="11:14" x14ac:dyDescent="0.25">
      <c r="K892" s="146" t="e">
        <f t="shared" si="54"/>
        <v>#DIV/0!</v>
      </c>
      <c r="L892" s="146" t="e">
        <f t="shared" si="55"/>
        <v>#DIV/0!</v>
      </c>
      <c r="M892" t="e">
        <f t="shared" si="56"/>
        <v>#DIV/0!</v>
      </c>
      <c r="N892" s="222">
        <f t="shared" si="57"/>
        <v>0</v>
      </c>
    </row>
    <row r="893" spans="11:14" x14ac:dyDescent="0.25">
      <c r="K893" s="146" t="e">
        <f t="shared" si="54"/>
        <v>#DIV/0!</v>
      </c>
      <c r="L893" s="146" t="e">
        <f t="shared" si="55"/>
        <v>#DIV/0!</v>
      </c>
      <c r="M893" t="e">
        <f t="shared" si="56"/>
        <v>#DIV/0!</v>
      </c>
      <c r="N893" s="222">
        <f t="shared" si="57"/>
        <v>0</v>
      </c>
    </row>
    <row r="894" spans="11:14" x14ac:dyDescent="0.25">
      <c r="K894" s="146" t="e">
        <f t="shared" si="54"/>
        <v>#DIV/0!</v>
      </c>
      <c r="L894" s="146" t="e">
        <f t="shared" si="55"/>
        <v>#DIV/0!</v>
      </c>
      <c r="M894" t="e">
        <f t="shared" si="56"/>
        <v>#DIV/0!</v>
      </c>
      <c r="N894" s="222">
        <f t="shared" si="57"/>
        <v>0</v>
      </c>
    </row>
    <row r="895" spans="11:14" x14ac:dyDescent="0.25">
      <c r="K895" s="146" t="e">
        <f t="shared" si="54"/>
        <v>#DIV/0!</v>
      </c>
      <c r="L895" s="146" t="e">
        <f t="shared" si="55"/>
        <v>#DIV/0!</v>
      </c>
      <c r="M895" t="e">
        <f t="shared" si="56"/>
        <v>#DIV/0!</v>
      </c>
      <c r="N895" s="222">
        <f t="shared" si="57"/>
        <v>0</v>
      </c>
    </row>
    <row r="896" spans="11:14" x14ac:dyDescent="0.25">
      <c r="K896" s="146" t="e">
        <f t="shared" si="54"/>
        <v>#DIV/0!</v>
      </c>
      <c r="L896" s="146" t="e">
        <f t="shared" si="55"/>
        <v>#DIV/0!</v>
      </c>
      <c r="M896" t="e">
        <f t="shared" si="56"/>
        <v>#DIV/0!</v>
      </c>
      <c r="N896" s="222">
        <f t="shared" si="57"/>
        <v>0</v>
      </c>
    </row>
    <row r="897" spans="11:14" x14ac:dyDescent="0.25">
      <c r="K897" s="146" t="e">
        <f t="shared" si="54"/>
        <v>#DIV/0!</v>
      </c>
      <c r="L897" s="146" t="e">
        <f t="shared" si="55"/>
        <v>#DIV/0!</v>
      </c>
      <c r="M897" t="e">
        <f t="shared" si="56"/>
        <v>#DIV/0!</v>
      </c>
      <c r="N897" s="222">
        <f t="shared" si="57"/>
        <v>0</v>
      </c>
    </row>
    <row r="898" spans="11:14" x14ac:dyDescent="0.25">
      <c r="K898" s="146" t="e">
        <f t="shared" ref="K898:K961" si="58">D898/E898</f>
        <v>#DIV/0!</v>
      </c>
      <c r="L898" s="146" t="e">
        <f t="shared" ref="L898:L961" si="59">D898/(C898+D898)</f>
        <v>#DIV/0!</v>
      </c>
      <c r="M898" t="e">
        <f t="shared" ref="M898:M961" si="60">IF(OR(IF(K898&lt;0.2,1,0),IF(L898&lt;0.5,1,0)),1,0)</f>
        <v>#DIV/0!</v>
      </c>
      <c r="N898" s="222">
        <f t="shared" ref="N898:N961" si="61">G898+H898+I898+J898</f>
        <v>0</v>
      </c>
    </row>
    <row r="899" spans="11:14" x14ac:dyDescent="0.25">
      <c r="K899" s="146" t="e">
        <f t="shared" si="58"/>
        <v>#DIV/0!</v>
      </c>
      <c r="L899" s="146" t="e">
        <f t="shared" si="59"/>
        <v>#DIV/0!</v>
      </c>
      <c r="M899" t="e">
        <f t="shared" si="60"/>
        <v>#DIV/0!</v>
      </c>
      <c r="N899" s="222">
        <f t="shared" si="61"/>
        <v>0</v>
      </c>
    </row>
    <row r="900" spans="11:14" x14ac:dyDescent="0.25">
      <c r="K900" s="146" t="e">
        <f t="shared" si="58"/>
        <v>#DIV/0!</v>
      </c>
      <c r="L900" s="146" t="e">
        <f t="shared" si="59"/>
        <v>#DIV/0!</v>
      </c>
      <c r="M900" t="e">
        <f t="shared" si="60"/>
        <v>#DIV/0!</v>
      </c>
      <c r="N900" s="222">
        <f t="shared" si="61"/>
        <v>0</v>
      </c>
    </row>
    <row r="901" spans="11:14" x14ac:dyDescent="0.25">
      <c r="K901" s="146" t="e">
        <f t="shared" si="58"/>
        <v>#DIV/0!</v>
      </c>
      <c r="L901" s="146" t="e">
        <f t="shared" si="59"/>
        <v>#DIV/0!</v>
      </c>
      <c r="M901" t="e">
        <f t="shared" si="60"/>
        <v>#DIV/0!</v>
      </c>
      <c r="N901" s="222">
        <f t="shared" si="61"/>
        <v>0</v>
      </c>
    </row>
    <row r="902" spans="11:14" x14ac:dyDescent="0.25">
      <c r="K902" s="146" t="e">
        <f t="shared" si="58"/>
        <v>#DIV/0!</v>
      </c>
      <c r="L902" s="146" t="e">
        <f t="shared" si="59"/>
        <v>#DIV/0!</v>
      </c>
      <c r="M902" t="e">
        <f t="shared" si="60"/>
        <v>#DIV/0!</v>
      </c>
      <c r="N902" s="222">
        <f t="shared" si="61"/>
        <v>0</v>
      </c>
    </row>
    <row r="903" spans="11:14" x14ac:dyDescent="0.25">
      <c r="K903" s="146" t="e">
        <f t="shared" si="58"/>
        <v>#DIV/0!</v>
      </c>
      <c r="L903" s="146" t="e">
        <f t="shared" si="59"/>
        <v>#DIV/0!</v>
      </c>
      <c r="M903" t="e">
        <f t="shared" si="60"/>
        <v>#DIV/0!</v>
      </c>
      <c r="N903" s="222">
        <f t="shared" si="61"/>
        <v>0</v>
      </c>
    </row>
    <row r="904" spans="11:14" x14ac:dyDescent="0.25">
      <c r="K904" s="146" t="e">
        <f t="shared" si="58"/>
        <v>#DIV/0!</v>
      </c>
      <c r="L904" s="146" t="e">
        <f t="shared" si="59"/>
        <v>#DIV/0!</v>
      </c>
      <c r="M904" t="e">
        <f t="shared" si="60"/>
        <v>#DIV/0!</v>
      </c>
      <c r="N904" s="222">
        <f t="shared" si="61"/>
        <v>0</v>
      </c>
    </row>
    <row r="905" spans="11:14" x14ac:dyDescent="0.25">
      <c r="K905" s="146" t="e">
        <f t="shared" si="58"/>
        <v>#DIV/0!</v>
      </c>
      <c r="L905" s="146" t="e">
        <f t="shared" si="59"/>
        <v>#DIV/0!</v>
      </c>
      <c r="M905" t="e">
        <f t="shared" si="60"/>
        <v>#DIV/0!</v>
      </c>
      <c r="N905" s="222">
        <f t="shared" si="61"/>
        <v>0</v>
      </c>
    </row>
    <row r="906" spans="11:14" x14ac:dyDescent="0.25">
      <c r="K906" s="146" t="e">
        <f t="shared" si="58"/>
        <v>#DIV/0!</v>
      </c>
      <c r="L906" s="146" t="e">
        <f t="shared" si="59"/>
        <v>#DIV/0!</v>
      </c>
      <c r="M906" t="e">
        <f t="shared" si="60"/>
        <v>#DIV/0!</v>
      </c>
      <c r="N906" s="222">
        <f t="shared" si="61"/>
        <v>0</v>
      </c>
    </row>
    <row r="907" spans="11:14" x14ac:dyDescent="0.25">
      <c r="K907" s="146" t="e">
        <f t="shared" si="58"/>
        <v>#DIV/0!</v>
      </c>
      <c r="L907" s="146" t="e">
        <f t="shared" si="59"/>
        <v>#DIV/0!</v>
      </c>
      <c r="M907" t="e">
        <f t="shared" si="60"/>
        <v>#DIV/0!</v>
      </c>
      <c r="N907" s="222">
        <f t="shared" si="61"/>
        <v>0</v>
      </c>
    </row>
    <row r="908" spans="11:14" x14ac:dyDescent="0.25">
      <c r="K908" s="146" t="e">
        <f t="shared" si="58"/>
        <v>#DIV/0!</v>
      </c>
      <c r="L908" s="146" t="e">
        <f t="shared" si="59"/>
        <v>#DIV/0!</v>
      </c>
      <c r="M908" t="e">
        <f t="shared" si="60"/>
        <v>#DIV/0!</v>
      </c>
      <c r="N908" s="222">
        <f t="shared" si="61"/>
        <v>0</v>
      </c>
    </row>
    <row r="909" spans="11:14" x14ac:dyDescent="0.25">
      <c r="K909" s="146" t="e">
        <f t="shared" si="58"/>
        <v>#DIV/0!</v>
      </c>
      <c r="L909" s="146" t="e">
        <f t="shared" si="59"/>
        <v>#DIV/0!</v>
      </c>
      <c r="M909" t="e">
        <f t="shared" si="60"/>
        <v>#DIV/0!</v>
      </c>
      <c r="N909" s="222">
        <f t="shared" si="61"/>
        <v>0</v>
      </c>
    </row>
    <row r="910" spans="11:14" x14ac:dyDescent="0.25">
      <c r="K910" s="146" t="e">
        <f t="shared" si="58"/>
        <v>#DIV/0!</v>
      </c>
      <c r="L910" s="146" t="e">
        <f t="shared" si="59"/>
        <v>#DIV/0!</v>
      </c>
      <c r="M910" t="e">
        <f t="shared" si="60"/>
        <v>#DIV/0!</v>
      </c>
      <c r="N910" s="222">
        <f t="shared" si="61"/>
        <v>0</v>
      </c>
    </row>
    <row r="911" spans="11:14" x14ac:dyDescent="0.25">
      <c r="K911" s="146" t="e">
        <f t="shared" si="58"/>
        <v>#DIV/0!</v>
      </c>
      <c r="L911" s="146" t="e">
        <f t="shared" si="59"/>
        <v>#DIV/0!</v>
      </c>
      <c r="M911" t="e">
        <f t="shared" si="60"/>
        <v>#DIV/0!</v>
      </c>
      <c r="N911" s="222">
        <f t="shared" si="61"/>
        <v>0</v>
      </c>
    </row>
    <row r="912" spans="11:14" x14ac:dyDescent="0.25">
      <c r="K912" s="146" t="e">
        <f t="shared" si="58"/>
        <v>#DIV/0!</v>
      </c>
      <c r="L912" s="146" t="e">
        <f t="shared" si="59"/>
        <v>#DIV/0!</v>
      </c>
      <c r="M912" t="e">
        <f t="shared" si="60"/>
        <v>#DIV/0!</v>
      </c>
      <c r="N912" s="222">
        <f t="shared" si="61"/>
        <v>0</v>
      </c>
    </row>
    <row r="913" spans="11:14" x14ac:dyDescent="0.25">
      <c r="K913" s="146" t="e">
        <f t="shared" si="58"/>
        <v>#DIV/0!</v>
      </c>
      <c r="L913" s="146" t="e">
        <f t="shared" si="59"/>
        <v>#DIV/0!</v>
      </c>
      <c r="M913" t="e">
        <f t="shared" si="60"/>
        <v>#DIV/0!</v>
      </c>
      <c r="N913" s="222">
        <f t="shared" si="61"/>
        <v>0</v>
      </c>
    </row>
    <row r="914" spans="11:14" x14ac:dyDescent="0.25">
      <c r="K914" s="146" t="e">
        <f t="shared" si="58"/>
        <v>#DIV/0!</v>
      </c>
      <c r="L914" s="146" t="e">
        <f t="shared" si="59"/>
        <v>#DIV/0!</v>
      </c>
      <c r="M914" t="e">
        <f t="shared" si="60"/>
        <v>#DIV/0!</v>
      </c>
      <c r="N914" s="222">
        <f t="shared" si="61"/>
        <v>0</v>
      </c>
    </row>
    <row r="915" spans="11:14" x14ac:dyDescent="0.25">
      <c r="K915" s="146" t="e">
        <f t="shared" si="58"/>
        <v>#DIV/0!</v>
      </c>
      <c r="L915" s="146" t="e">
        <f t="shared" si="59"/>
        <v>#DIV/0!</v>
      </c>
      <c r="M915" t="e">
        <f t="shared" si="60"/>
        <v>#DIV/0!</v>
      </c>
      <c r="N915" s="222">
        <f t="shared" si="61"/>
        <v>0</v>
      </c>
    </row>
    <row r="916" spans="11:14" x14ac:dyDescent="0.25">
      <c r="K916" s="146" t="e">
        <f t="shared" si="58"/>
        <v>#DIV/0!</v>
      </c>
      <c r="L916" s="146" t="e">
        <f t="shared" si="59"/>
        <v>#DIV/0!</v>
      </c>
      <c r="M916" t="e">
        <f t="shared" si="60"/>
        <v>#DIV/0!</v>
      </c>
      <c r="N916" s="222">
        <f t="shared" si="61"/>
        <v>0</v>
      </c>
    </row>
    <row r="917" spans="11:14" x14ac:dyDescent="0.25">
      <c r="K917" s="146" t="e">
        <f t="shared" si="58"/>
        <v>#DIV/0!</v>
      </c>
      <c r="L917" s="146" t="e">
        <f t="shared" si="59"/>
        <v>#DIV/0!</v>
      </c>
      <c r="M917" t="e">
        <f t="shared" si="60"/>
        <v>#DIV/0!</v>
      </c>
      <c r="N917" s="222">
        <f t="shared" si="61"/>
        <v>0</v>
      </c>
    </row>
    <row r="918" spans="11:14" x14ac:dyDescent="0.25">
      <c r="K918" s="146" t="e">
        <f t="shared" si="58"/>
        <v>#DIV/0!</v>
      </c>
      <c r="L918" s="146" t="e">
        <f t="shared" si="59"/>
        <v>#DIV/0!</v>
      </c>
      <c r="M918" t="e">
        <f t="shared" si="60"/>
        <v>#DIV/0!</v>
      </c>
      <c r="N918" s="222">
        <f t="shared" si="61"/>
        <v>0</v>
      </c>
    </row>
    <row r="919" spans="11:14" x14ac:dyDescent="0.25">
      <c r="K919" s="146" t="e">
        <f t="shared" si="58"/>
        <v>#DIV/0!</v>
      </c>
      <c r="L919" s="146" t="e">
        <f t="shared" si="59"/>
        <v>#DIV/0!</v>
      </c>
      <c r="M919" t="e">
        <f t="shared" si="60"/>
        <v>#DIV/0!</v>
      </c>
      <c r="N919" s="222">
        <f t="shared" si="61"/>
        <v>0</v>
      </c>
    </row>
    <row r="920" spans="11:14" x14ac:dyDescent="0.25">
      <c r="K920" s="146" t="e">
        <f t="shared" si="58"/>
        <v>#DIV/0!</v>
      </c>
      <c r="L920" s="146" t="e">
        <f t="shared" si="59"/>
        <v>#DIV/0!</v>
      </c>
      <c r="M920" t="e">
        <f t="shared" si="60"/>
        <v>#DIV/0!</v>
      </c>
      <c r="N920" s="222">
        <f t="shared" si="61"/>
        <v>0</v>
      </c>
    </row>
    <row r="921" spans="11:14" x14ac:dyDescent="0.25">
      <c r="K921" s="146" t="e">
        <f t="shared" si="58"/>
        <v>#DIV/0!</v>
      </c>
      <c r="L921" s="146" t="e">
        <f t="shared" si="59"/>
        <v>#DIV/0!</v>
      </c>
      <c r="M921" t="e">
        <f t="shared" si="60"/>
        <v>#DIV/0!</v>
      </c>
      <c r="N921" s="222">
        <f t="shared" si="61"/>
        <v>0</v>
      </c>
    </row>
    <row r="922" spans="11:14" x14ac:dyDescent="0.25">
      <c r="K922" s="146" t="e">
        <f t="shared" si="58"/>
        <v>#DIV/0!</v>
      </c>
      <c r="L922" s="146" t="e">
        <f t="shared" si="59"/>
        <v>#DIV/0!</v>
      </c>
      <c r="M922" t="e">
        <f t="shared" si="60"/>
        <v>#DIV/0!</v>
      </c>
      <c r="N922" s="222">
        <f t="shared" si="61"/>
        <v>0</v>
      </c>
    </row>
    <row r="923" spans="11:14" x14ac:dyDescent="0.25">
      <c r="K923" s="146" t="e">
        <f t="shared" si="58"/>
        <v>#DIV/0!</v>
      </c>
      <c r="L923" s="146" t="e">
        <f t="shared" si="59"/>
        <v>#DIV/0!</v>
      </c>
      <c r="M923" t="e">
        <f t="shared" si="60"/>
        <v>#DIV/0!</v>
      </c>
      <c r="N923" s="222">
        <f t="shared" si="61"/>
        <v>0</v>
      </c>
    </row>
    <row r="924" spans="11:14" x14ac:dyDescent="0.25">
      <c r="K924" s="146" t="e">
        <f t="shared" si="58"/>
        <v>#DIV/0!</v>
      </c>
      <c r="L924" s="146" t="e">
        <f t="shared" si="59"/>
        <v>#DIV/0!</v>
      </c>
      <c r="M924" t="e">
        <f t="shared" si="60"/>
        <v>#DIV/0!</v>
      </c>
      <c r="N924" s="222">
        <f t="shared" si="61"/>
        <v>0</v>
      </c>
    </row>
    <row r="925" spans="11:14" x14ac:dyDescent="0.25">
      <c r="K925" s="146" t="e">
        <f t="shared" si="58"/>
        <v>#DIV/0!</v>
      </c>
      <c r="L925" s="146" t="e">
        <f t="shared" si="59"/>
        <v>#DIV/0!</v>
      </c>
      <c r="M925" t="e">
        <f t="shared" si="60"/>
        <v>#DIV/0!</v>
      </c>
      <c r="N925" s="222">
        <f t="shared" si="61"/>
        <v>0</v>
      </c>
    </row>
    <row r="926" spans="11:14" x14ac:dyDescent="0.25">
      <c r="K926" s="146" t="e">
        <f t="shared" si="58"/>
        <v>#DIV/0!</v>
      </c>
      <c r="L926" s="146" t="e">
        <f t="shared" si="59"/>
        <v>#DIV/0!</v>
      </c>
      <c r="M926" t="e">
        <f t="shared" si="60"/>
        <v>#DIV/0!</v>
      </c>
      <c r="N926" s="222">
        <f t="shared" si="61"/>
        <v>0</v>
      </c>
    </row>
    <row r="927" spans="11:14" x14ac:dyDescent="0.25">
      <c r="K927" s="146" t="e">
        <f t="shared" si="58"/>
        <v>#DIV/0!</v>
      </c>
      <c r="L927" s="146" t="e">
        <f t="shared" si="59"/>
        <v>#DIV/0!</v>
      </c>
      <c r="M927" t="e">
        <f t="shared" si="60"/>
        <v>#DIV/0!</v>
      </c>
      <c r="N927" s="222">
        <f t="shared" si="61"/>
        <v>0</v>
      </c>
    </row>
    <row r="928" spans="11:14" x14ac:dyDescent="0.25">
      <c r="K928" s="146" t="e">
        <f t="shared" si="58"/>
        <v>#DIV/0!</v>
      </c>
      <c r="L928" s="146" t="e">
        <f t="shared" si="59"/>
        <v>#DIV/0!</v>
      </c>
      <c r="M928" t="e">
        <f t="shared" si="60"/>
        <v>#DIV/0!</v>
      </c>
      <c r="N928" s="222">
        <f t="shared" si="61"/>
        <v>0</v>
      </c>
    </row>
    <row r="929" spans="11:14" x14ac:dyDescent="0.25">
      <c r="K929" s="146" t="e">
        <f t="shared" si="58"/>
        <v>#DIV/0!</v>
      </c>
      <c r="L929" s="146" t="e">
        <f t="shared" si="59"/>
        <v>#DIV/0!</v>
      </c>
      <c r="M929" t="e">
        <f t="shared" si="60"/>
        <v>#DIV/0!</v>
      </c>
      <c r="N929" s="222">
        <f t="shared" si="61"/>
        <v>0</v>
      </c>
    </row>
    <row r="930" spans="11:14" x14ac:dyDescent="0.25">
      <c r="K930" s="146" t="e">
        <f t="shared" si="58"/>
        <v>#DIV/0!</v>
      </c>
      <c r="L930" s="146" t="e">
        <f t="shared" si="59"/>
        <v>#DIV/0!</v>
      </c>
      <c r="M930" t="e">
        <f t="shared" si="60"/>
        <v>#DIV/0!</v>
      </c>
      <c r="N930" s="222">
        <f t="shared" si="61"/>
        <v>0</v>
      </c>
    </row>
    <row r="931" spans="11:14" x14ac:dyDescent="0.25">
      <c r="K931" s="146" t="e">
        <f t="shared" si="58"/>
        <v>#DIV/0!</v>
      </c>
      <c r="L931" s="146" t="e">
        <f t="shared" si="59"/>
        <v>#DIV/0!</v>
      </c>
      <c r="M931" t="e">
        <f t="shared" si="60"/>
        <v>#DIV/0!</v>
      </c>
      <c r="N931" s="222">
        <f t="shared" si="61"/>
        <v>0</v>
      </c>
    </row>
    <row r="932" spans="11:14" x14ac:dyDescent="0.25">
      <c r="K932" s="146" t="e">
        <f t="shared" si="58"/>
        <v>#DIV/0!</v>
      </c>
      <c r="L932" s="146" t="e">
        <f t="shared" si="59"/>
        <v>#DIV/0!</v>
      </c>
      <c r="M932" t="e">
        <f t="shared" si="60"/>
        <v>#DIV/0!</v>
      </c>
      <c r="N932" s="222">
        <f t="shared" si="61"/>
        <v>0</v>
      </c>
    </row>
    <row r="933" spans="11:14" x14ac:dyDescent="0.25">
      <c r="K933" s="146" t="e">
        <f t="shared" si="58"/>
        <v>#DIV/0!</v>
      </c>
      <c r="L933" s="146" t="e">
        <f t="shared" si="59"/>
        <v>#DIV/0!</v>
      </c>
      <c r="M933" t="e">
        <f t="shared" si="60"/>
        <v>#DIV/0!</v>
      </c>
      <c r="N933" s="222">
        <f t="shared" si="61"/>
        <v>0</v>
      </c>
    </row>
    <row r="934" spans="11:14" x14ac:dyDescent="0.25">
      <c r="K934" s="146" t="e">
        <f t="shared" si="58"/>
        <v>#DIV/0!</v>
      </c>
      <c r="L934" s="146" t="e">
        <f t="shared" si="59"/>
        <v>#DIV/0!</v>
      </c>
      <c r="M934" t="e">
        <f t="shared" si="60"/>
        <v>#DIV/0!</v>
      </c>
      <c r="N934" s="222">
        <f t="shared" si="61"/>
        <v>0</v>
      </c>
    </row>
    <row r="935" spans="11:14" x14ac:dyDescent="0.25">
      <c r="K935" s="146" t="e">
        <f t="shared" si="58"/>
        <v>#DIV/0!</v>
      </c>
      <c r="L935" s="146" t="e">
        <f t="shared" si="59"/>
        <v>#DIV/0!</v>
      </c>
      <c r="M935" t="e">
        <f t="shared" si="60"/>
        <v>#DIV/0!</v>
      </c>
      <c r="N935" s="222">
        <f t="shared" si="61"/>
        <v>0</v>
      </c>
    </row>
    <row r="936" spans="11:14" x14ac:dyDescent="0.25">
      <c r="K936" s="146" t="e">
        <f t="shared" si="58"/>
        <v>#DIV/0!</v>
      </c>
      <c r="L936" s="146" t="e">
        <f t="shared" si="59"/>
        <v>#DIV/0!</v>
      </c>
      <c r="M936" t="e">
        <f t="shared" si="60"/>
        <v>#DIV/0!</v>
      </c>
      <c r="N936" s="222">
        <f t="shared" si="61"/>
        <v>0</v>
      </c>
    </row>
    <row r="937" spans="11:14" x14ac:dyDescent="0.25">
      <c r="K937" s="146" t="e">
        <f t="shared" si="58"/>
        <v>#DIV/0!</v>
      </c>
      <c r="L937" s="146" t="e">
        <f t="shared" si="59"/>
        <v>#DIV/0!</v>
      </c>
      <c r="M937" t="e">
        <f t="shared" si="60"/>
        <v>#DIV/0!</v>
      </c>
      <c r="N937" s="222">
        <f t="shared" si="61"/>
        <v>0</v>
      </c>
    </row>
    <row r="938" spans="11:14" x14ac:dyDescent="0.25">
      <c r="K938" s="146" t="e">
        <f t="shared" si="58"/>
        <v>#DIV/0!</v>
      </c>
      <c r="L938" s="146" t="e">
        <f t="shared" si="59"/>
        <v>#DIV/0!</v>
      </c>
      <c r="M938" t="e">
        <f t="shared" si="60"/>
        <v>#DIV/0!</v>
      </c>
      <c r="N938" s="222">
        <f t="shared" si="61"/>
        <v>0</v>
      </c>
    </row>
    <row r="939" spans="11:14" x14ac:dyDescent="0.25">
      <c r="K939" s="146" t="e">
        <f t="shared" si="58"/>
        <v>#DIV/0!</v>
      </c>
      <c r="L939" s="146" t="e">
        <f t="shared" si="59"/>
        <v>#DIV/0!</v>
      </c>
      <c r="M939" t="e">
        <f t="shared" si="60"/>
        <v>#DIV/0!</v>
      </c>
      <c r="N939" s="222">
        <f t="shared" si="61"/>
        <v>0</v>
      </c>
    </row>
    <row r="940" spans="11:14" x14ac:dyDescent="0.25">
      <c r="K940" s="146" t="e">
        <f t="shared" si="58"/>
        <v>#DIV/0!</v>
      </c>
      <c r="L940" s="146" t="e">
        <f t="shared" si="59"/>
        <v>#DIV/0!</v>
      </c>
      <c r="M940" t="e">
        <f t="shared" si="60"/>
        <v>#DIV/0!</v>
      </c>
      <c r="N940" s="222">
        <f t="shared" si="61"/>
        <v>0</v>
      </c>
    </row>
    <row r="941" spans="11:14" x14ac:dyDescent="0.25">
      <c r="K941" s="146" t="e">
        <f t="shared" si="58"/>
        <v>#DIV/0!</v>
      </c>
      <c r="L941" s="146" t="e">
        <f t="shared" si="59"/>
        <v>#DIV/0!</v>
      </c>
      <c r="M941" t="e">
        <f t="shared" si="60"/>
        <v>#DIV/0!</v>
      </c>
      <c r="N941" s="222">
        <f t="shared" si="61"/>
        <v>0</v>
      </c>
    </row>
    <row r="942" spans="11:14" x14ac:dyDescent="0.25">
      <c r="K942" s="146" t="e">
        <f t="shared" si="58"/>
        <v>#DIV/0!</v>
      </c>
      <c r="L942" s="146" t="e">
        <f t="shared" si="59"/>
        <v>#DIV/0!</v>
      </c>
      <c r="M942" t="e">
        <f t="shared" si="60"/>
        <v>#DIV/0!</v>
      </c>
      <c r="N942" s="222">
        <f t="shared" si="61"/>
        <v>0</v>
      </c>
    </row>
    <row r="943" spans="11:14" x14ac:dyDescent="0.25">
      <c r="K943" s="146" t="e">
        <f t="shared" si="58"/>
        <v>#DIV/0!</v>
      </c>
      <c r="L943" s="146" t="e">
        <f t="shared" si="59"/>
        <v>#DIV/0!</v>
      </c>
      <c r="M943" t="e">
        <f t="shared" si="60"/>
        <v>#DIV/0!</v>
      </c>
      <c r="N943" s="222">
        <f t="shared" si="61"/>
        <v>0</v>
      </c>
    </row>
    <row r="944" spans="11:14" x14ac:dyDescent="0.25">
      <c r="K944" s="146" t="e">
        <f t="shared" si="58"/>
        <v>#DIV/0!</v>
      </c>
      <c r="L944" s="146" t="e">
        <f t="shared" si="59"/>
        <v>#DIV/0!</v>
      </c>
      <c r="M944" t="e">
        <f t="shared" si="60"/>
        <v>#DIV/0!</v>
      </c>
      <c r="N944" s="222">
        <f t="shared" si="61"/>
        <v>0</v>
      </c>
    </row>
    <row r="945" spans="11:14" x14ac:dyDescent="0.25">
      <c r="K945" s="146" t="e">
        <f t="shared" si="58"/>
        <v>#DIV/0!</v>
      </c>
      <c r="L945" s="146" t="e">
        <f t="shared" si="59"/>
        <v>#DIV/0!</v>
      </c>
      <c r="M945" t="e">
        <f t="shared" si="60"/>
        <v>#DIV/0!</v>
      </c>
      <c r="N945" s="222">
        <f t="shared" si="61"/>
        <v>0</v>
      </c>
    </row>
    <row r="946" spans="11:14" x14ac:dyDescent="0.25">
      <c r="K946" s="146" t="e">
        <f t="shared" si="58"/>
        <v>#DIV/0!</v>
      </c>
      <c r="L946" s="146" t="e">
        <f t="shared" si="59"/>
        <v>#DIV/0!</v>
      </c>
      <c r="M946" t="e">
        <f t="shared" si="60"/>
        <v>#DIV/0!</v>
      </c>
      <c r="N946" s="222">
        <f t="shared" si="61"/>
        <v>0</v>
      </c>
    </row>
    <row r="947" spans="11:14" x14ac:dyDescent="0.25">
      <c r="K947" s="146" t="e">
        <f t="shared" si="58"/>
        <v>#DIV/0!</v>
      </c>
      <c r="L947" s="146" t="e">
        <f t="shared" si="59"/>
        <v>#DIV/0!</v>
      </c>
      <c r="M947" t="e">
        <f t="shared" si="60"/>
        <v>#DIV/0!</v>
      </c>
      <c r="N947" s="222">
        <f t="shared" si="61"/>
        <v>0</v>
      </c>
    </row>
    <row r="948" spans="11:14" x14ac:dyDescent="0.25">
      <c r="K948" s="146" t="e">
        <f t="shared" si="58"/>
        <v>#DIV/0!</v>
      </c>
      <c r="L948" s="146" t="e">
        <f t="shared" si="59"/>
        <v>#DIV/0!</v>
      </c>
      <c r="M948" t="e">
        <f t="shared" si="60"/>
        <v>#DIV/0!</v>
      </c>
      <c r="N948" s="222">
        <f t="shared" si="61"/>
        <v>0</v>
      </c>
    </row>
    <row r="949" spans="11:14" x14ac:dyDescent="0.25">
      <c r="K949" s="146" t="e">
        <f t="shared" si="58"/>
        <v>#DIV/0!</v>
      </c>
      <c r="L949" s="146" t="e">
        <f t="shared" si="59"/>
        <v>#DIV/0!</v>
      </c>
      <c r="M949" t="e">
        <f t="shared" si="60"/>
        <v>#DIV/0!</v>
      </c>
      <c r="N949" s="222">
        <f t="shared" si="61"/>
        <v>0</v>
      </c>
    </row>
    <row r="950" spans="11:14" x14ac:dyDescent="0.25">
      <c r="K950" s="146" t="e">
        <f t="shared" si="58"/>
        <v>#DIV/0!</v>
      </c>
      <c r="L950" s="146" t="e">
        <f t="shared" si="59"/>
        <v>#DIV/0!</v>
      </c>
      <c r="M950" t="e">
        <f t="shared" si="60"/>
        <v>#DIV/0!</v>
      </c>
      <c r="N950" s="222">
        <f t="shared" si="61"/>
        <v>0</v>
      </c>
    </row>
    <row r="951" spans="11:14" x14ac:dyDescent="0.25">
      <c r="K951" s="146" t="e">
        <f t="shared" si="58"/>
        <v>#DIV/0!</v>
      </c>
      <c r="L951" s="146" t="e">
        <f t="shared" si="59"/>
        <v>#DIV/0!</v>
      </c>
      <c r="M951" t="e">
        <f t="shared" si="60"/>
        <v>#DIV/0!</v>
      </c>
      <c r="N951" s="222">
        <f t="shared" si="61"/>
        <v>0</v>
      </c>
    </row>
    <row r="952" spans="11:14" x14ac:dyDescent="0.25">
      <c r="K952" s="146" t="e">
        <f t="shared" si="58"/>
        <v>#DIV/0!</v>
      </c>
      <c r="L952" s="146" t="e">
        <f t="shared" si="59"/>
        <v>#DIV/0!</v>
      </c>
      <c r="M952" t="e">
        <f t="shared" si="60"/>
        <v>#DIV/0!</v>
      </c>
      <c r="N952" s="222">
        <f t="shared" si="61"/>
        <v>0</v>
      </c>
    </row>
    <row r="953" spans="11:14" x14ac:dyDescent="0.25">
      <c r="K953" s="146" t="e">
        <f t="shared" si="58"/>
        <v>#DIV/0!</v>
      </c>
      <c r="L953" s="146" t="e">
        <f t="shared" si="59"/>
        <v>#DIV/0!</v>
      </c>
      <c r="M953" t="e">
        <f t="shared" si="60"/>
        <v>#DIV/0!</v>
      </c>
      <c r="N953" s="222">
        <f t="shared" si="61"/>
        <v>0</v>
      </c>
    </row>
    <row r="954" spans="11:14" x14ac:dyDescent="0.25">
      <c r="K954" s="146" t="e">
        <f t="shared" si="58"/>
        <v>#DIV/0!</v>
      </c>
      <c r="L954" s="146" t="e">
        <f t="shared" si="59"/>
        <v>#DIV/0!</v>
      </c>
      <c r="M954" t="e">
        <f t="shared" si="60"/>
        <v>#DIV/0!</v>
      </c>
      <c r="N954" s="222">
        <f t="shared" si="61"/>
        <v>0</v>
      </c>
    </row>
    <row r="955" spans="11:14" x14ac:dyDescent="0.25">
      <c r="K955" s="146" t="e">
        <f t="shared" si="58"/>
        <v>#DIV/0!</v>
      </c>
      <c r="L955" s="146" t="e">
        <f t="shared" si="59"/>
        <v>#DIV/0!</v>
      </c>
      <c r="M955" t="e">
        <f t="shared" si="60"/>
        <v>#DIV/0!</v>
      </c>
      <c r="N955" s="222">
        <f t="shared" si="61"/>
        <v>0</v>
      </c>
    </row>
    <row r="956" spans="11:14" x14ac:dyDescent="0.25">
      <c r="K956" s="146" t="e">
        <f t="shared" si="58"/>
        <v>#DIV/0!</v>
      </c>
      <c r="L956" s="146" t="e">
        <f t="shared" si="59"/>
        <v>#DIV/0!</v>
      </c>
      <c r="M956" t="e">
        <f t="shared" si="60"/>
        <v>#DIV/0!</v>
      </c>
      <c r="N956" s="222">
        <f t="shared" si="61"/>
        <v>0</v>
      </c>
    </row>
    <row r="957" spans="11:14" x14ac:dyDescent="0.25">
      <c r="K957" s="146" t="e">
        <f t="shared" si="58"/>
        <v>#DIV/0!</v>
      </c>
      <c r="L957" s="146" t="e">
        <f t="shared" si="59"/>
        <v>#DIV/0!</v>
      </c>
      <c r="M957" t="e">
        <f t="shared" si="60"/>
        <v>#DIV/0!</v>
      </c>
      <c r="N957" s="222">
        <f t="shared" si="61"/>
        <v>0</v>
      </c>
    </row>
    <row r="958" spans="11:14" x14ac:dyDescent="0.25">
      <c r="K958" s="146" t="e">
        <f t="shared" si="58"/>
        <v>#DIV/0!</v>
      </c>
      <c r="L958" s="146" t="e">
        <f t="shared" si="59"/>
        <v>#DIV/0!</v>
      </c>
      <c r="M958" t="e">
        <f t="shared" si="60"/>
        <v>#DIV/0!</v>
      </c>
      <c r="N958" s="222">
        <f t="shared" si="61"/>
        <v>0</v>
      </c>
    </row>
    <row r="959" spans="11:14" x14ac:dyDescent="0.25">
      <c r="K959" s="146" t="e">
        <f t="shared" si="58"/>
        <v>#DIV/0!</v>
      </c>
      <c r="L959" s="146" t="e">
        <f t="shared" si="59"/>
        <v>#DIV/0!</v>
      </c>
      <c r="M959" t="e">
        <f t="shared" si="60"/>
        <v>#DIV/0!</v>
      </c>
      <c r="N959" s="222">
        <f t="shared" si="61"/>
        <v>0</v>
      </c>
    </row>
    <row r="960" spans="11:14" x14ac:dyDescent="0.25">
      <c r="K960" s="146" t="e">
        <f t="shared" si="58"/>
        <v>#DIV/0!</v>
      </c>
      <c r="L960" s="146" t="e">
        <f t="shared" si="59"/>
        <v>#DIV/0!</v>
      </c>
      <c r="M960" t="e">
        <f t="shared" si="60"/>
        <v>#DIV/0!</v>
      </c>
      <c r="N960" s="222">
        <f t="shared" si="61"/>
        <v>0</v>
      </c>
    </row>
    <row r="961" spans="11:14" x14ac:dyDescent="0.25">
      <c r="K961" s="146" t="e">
        <f t="shared" si="58"/>
        <v>#DIV/0!</v>
      </c>
      <c r="L961" s="146" t="e">
        <f t="shared" si="59"/>
        <v>#DIV/0!</v>
      </c>
      <c r="M961" t="e">
        <f t="shared" si="60"/>
        <v>#DIV/0!</v>
      </c>
      <c r="N961" s="222">
        <f t="shared" si="61"/>
        <v>0</v>
      </c>
    </row>
    <row r="962" spans="11:14" x14ac:dyDescent="0.25">
      <c r="K962" s="146" t="e">
        <f t="shared" ref="K962:K1025" si="62">D962/E962</f>
        <v>#DIV/0!</v>
      </c>
      <c r="L962" s="146" t="e">
        <f t="shared" ref="L962:L1025" si="63">D962/(C962+D962)</f>
        <v>#DIV/0!</v>
      </c>
      <c r="M962" t="e">
        <f t="shared" ref="M962:M1025" si="64">IF(OR(IF(K962&lt;0.2,1,0),IF(L962&lt;0.5,1,0)),1,0)</f>
        <v>#DIV/0!</v>
      </c>
      <c r="N962" s="222">
        <f t="shared" ref="N962:N1025" si="65">G962+H962+I962+J962</f>
        <v>0</v>
      </c>
    </row>
    <row r="963" spans="11:14" x14ac:dyDescent="0.25">
      <c r="K963" s="146" t="e">
        <f t="shared" si="62"/>
        <v>#DIV/0!</v>
      </c>
      <c r="L963" s="146" t="e">
        <f t="shared" si="63"/>
        <v>#DIV/0!</v>
      </c>
      <c r="M963" t="e">
        <f t="shared" si="64"/>
        <v>#DIV/0!</v>
      </c>
      <c r="N963" s="222">
        <f t="shared" si="65"/>
        <v>0</v>
      </c>
    </row>
    <row r="964" spans="11:14" x14ac:dyDescent="0.25">
      <c r="K964" s="146" t="e">
        <f t="shared" si="62"/>
        <v>#DIV/0!</v>
      </c>
      <c r="L964" s="146" t="e">
        <f t="shared" si="63"/>
        <v>#DIV/0!</v>
      </c>
      <c r="M964" t="e">
        <f t="shared" si="64"/>
        <v>#DIV/0!</v>
      </c>
      <c r="N964" s="222">
        <f t="shared" si="65"/>
        <v>0</v>
      </c>
    </row>
    <row r="965" spans="11:14" x14ac:dyDescent="0.25">
      <c r="K965" s="146" t="e">
        <f t="shared" si="62"/>
        <v>#DIV/0!</v>
      </c>
      <c r="L965" s="146" t="e">
        <f t="shared" si="63"/>
        <v>#DIV/0!</v>
      </c>
      <c r="M965" t="e">
        <f t="shared" si="64"/>
        <v>#DIV/0!</v>
      </c>
      <c r="N965" s="222">
        <f t="shared" si="65"/>
        <v>0</v>
      </c>
    </row>
    <row r="966" spans="11:14" x14ac:dyDescent="0.25">
      <c r="K966" s="146" t="e">
        <f t="shared" si="62"/>
        <v>#DIV/0!</v>
      </c>
      <c r="L966" s="146" t="e">
        <f t="shared" si="63"/>
        <v>#DIV/0!</v>
      </c>
      <c r="M966" t="e">
        <f t="shared" si="64"/>
        <v>#DIV/0!</v>
      </c>
      <c r="N966" s="222">
        <f t="shared" si="65"/>
        <v>0</v>
      </c>
    </row>
    <row r="967" spans="11:14" x14ac:dyDescent="0.25">
      <c r="K967" s="146" t="e">
        <f t="shared" si="62"/>
        <v>#DIV/0!</v>
      </c>
      <c r="L967" s="146" t="e">
        <f t="shared" si="63"/>
        <v>#DIV/0!</v>
      </c>
      <c r="M967" t="e">
        <f t="shared" si="64"/>
        <v>#DIV/0!</v>
      </c>
      <c r="N967" s="222">
        <f t="shared" si="65"/>
        <v>0</v>
      </c>
    </row>
    <row r="968" spans="11:14" x14ac:dyDescent="0.25">
      <c r="K968" s="146" t="e">
        <f t="shared" si="62"/>
        <v>#DIV/0!</v>
      </c>
      <c r="L968" s="146" t="e">
        <f t="shared" si="63"/>
        <v>#DIV/0!</v>
      </c>
      <c r="M968" t="e">
        <f t="shared" si="64"/>
        <v>#DIV/0!</v>
      </c>
      <c r="N968" s="222">
        <f t="shared" si="65"/>
        <v>0</v>
      </c>
    </row>
    <row r="969" spans="11:14" x14ac:dyDescent="0.25">
      <c r="K969" s="146" t="e">
        <f t="shared" si="62"/>
        <v>#DIV/0!</v>
      </c>
      <c r="L969" s="146" t="e">
        <f t="shared" si="63"/>
        <v>#DIV/0!</v>
      </c>
      <c r="M969" t="e">
        <f t="shared" si="64"/>
        <v>#DIV/0!</v>
      </c>
      <c r="N969" s="222">
        <f t="shared" si="65"/>
        <v>0</v>
      </c>
    </row>
    <row r="970" spans="11:14" x14ac:dyDescent="0.25">
      <c r="K970" s="146" t="e">
        <f t="shared" si="62"/>
        <v>#DIV/0!</v>
      </c>
      <c r="L970" s="146" t="e">
        <f t="shared" si="63"/>
        <v>#DIV/0!</v>
      </c>
      <c r="M970" t="e">
        <f t="shared" si="64"/>
        <v>#DIV/0!</v>
      </c>
      <c r="N970" s="222">
        <f t="shared" si="65"/>
        <v>0</v>
      </c>
    </row>
    <row r="971" spans="11:14" x14ac:dyDescent="0.25">
      <c r="K971" s="146" t="e">
        <f t="shared" si="62"/>
        <v>#DIV/0!</v>
      </c>
      <c r="L971" s="146" t="e">
        <f t="shared" si="63"/>
        <v>#DIV/0!</v>
      </c>
      <c r="M971" t="e">
        <f t="shared" si="64"/>
        <v>#DIV/0!</v>
      </c>
      <c r="N971" s="222">
        <f t="shared" si="65"/>
        <v>0</v>
      </c>
    </row>
    <row r="972" spans="11:14" x14ac:dyDescent="0.25">
      <c r="K972" s="146" t="e">
        <f t="shared" si="62"/>
        <v>#DIV/0!</v>
      </c>
      <c r="L972" s="146" t="e">
        <f t="shared" si="63"/>
        <v>#DIV/0!</v>
      </c>
      <c r="M972" t="e">
        <f t="shared" si="64"/>
        <v>#DIV/0!</v>
      </c>
      <c r="N972" s="222">
        <f t="shared" si="65"/>
        <v>0</v>
      </c>
    </row>
    <row r="973" spans="11:14" x14ac:dyDescent="0.25">
      <c r="K973" s="146" t="e">
        <f t="shared" si="62"/>
        <v>#DIV/0!</v>
      </c>
      <c r="L973" s="146" t="e">
        <f t="shared" si="63"/>
        <v>#DIV/0!</v>
      </c>
      <c r="M973" t="e">
        <f t="shared" si="64"/>
        <v>#DIV/0!</v>
      </c>
      <c r="N973" s="222">
        <f t="shared" si="65"/>
        <v>0</v>
      </c>
    </row>
    <row r="974" spans="11:14" x14ac:dyDescent="0.25">
      <c r="K974" s="146" t="e">
        <f t="shared" si="62"/>
        <v>#DIV/0!</v>
      </c>
      <c r="L974" s="146" t="e">
        <f t="shared" si="63"/>
        <v>#DIV/0!</v>
      </c>
      <c r="M974" t="e">
        <f t="shared" si="64"/>
        <v>#DIV/0!</v>
      </c>
      <c r="N974" s="222">
        <f t="shared" si="65"/>
        <v>0</v>
      </c>
    </row>
    <row r="975" spans="11:14" x14ac:dyDescent="0.25">
      <c r="K975" s="146" t="e">
        <f t="shared" si="62"/>
        <v>#DIV/0!</v>
      </c>
      <c r="L975" s="146" t="e">
        <f t="shared" si="63"/>
        <v>#DIV/0!</v>
      </c>
      <c r="M975" t="e">
        <f t="shared" si="64"/>
        <v>#DIV/0!</v>
      </c>
      <c r="N975" s="222">
        <f t="shared" si="65"/>
        <v>0</v>
      </c>
    </row>
    <row r="976" spans="11:14" x14ac:dyDescent="0.25">
      <c r="K976" s="146" t="e">
        <f t="shared" si="62"/>
        <v>#DIV/0!</v>
      </c>
      <c r="L976" s="146" t="e">
        <f t="shared" si="63"/>
        <v>#DIV/0!</v>
      </c>
      <c r="M976" t="e">
        <f t="shared" si="64"/>
        <v>#DIV/0!</v>
      </c>
      <c r="N976" s="222">
        <f t="shared" si="65"/>
        <v>0</v>
      </c>
    </row>
    <row r="977" spans="11:14" x14ac:dyDescent="0.25">
      <c r="K977" s="146" t="e">
        <f t="shared" si="62"/>
        <v>#DIV/0!</v>
      </c>
      <c r="L977" s="146" t="e">
        <f t="shared" si="63"/>
        <v>#DIV/0!</v>
      </c>
      <c r="M977" t="e">
        <f t="shared" si="64"/>
        <v>#DIV/0!</v>
      </c>
      <c r="N977" s="222">
        <f t="shared" si="65"/>
        <v>0</v>
      </c>
    </row>
    <row r="978" spans="11:14" x14ac:dyDescent="0.25">
      <c r="K978" s="146" t="e">
        <f t="shared" si="62"/>
        <v>#DIV/0!</v>
      </c>
      <c r="L978" s="146" t="e">
        <f t="shared" si="63"/>
        <v>#DIV/0!</v>
      </c>
      <c r="M978" t="e">
        <f t="shared" si="64"/>
        <v>#DIV/0!</v>
      </c>
      <c r="N978" s="222">
        <f t="shared" si="65"/>
        <v>0</v>
      </c>
    </row>
    <row r="979" spans="11:14" x14ac:dyDescent="0.25">
      <c r="K979" s="146" t="e">
        <f t="shared" si="62"/>
        <v>#DIV/0!</v>
      </c>
      <c r="L979" s="146" t="e">
        <f t="shared" si="63"/>
        <v>#DIV/0!</v>
      </c>
      <c r="M979" t="e">
        <f t="shared" si="64"/>
        <v>#DIV/0!</v>
      </c>
      <c r="N979" s="222">
        <f t="shared" si="65"/>
        <v>0</v>
      </c>
    </row>
    <row r="980" spans="11:14" x14ac:dyDescent="0.25">
      <c r="K980" s="146" t="e">
        <f t="shared" si="62"/>
        <v>#DIV/0!</v>
      </c>
      <c r="L980" s="146" t="e">
        <f t="shared" si="63"/>
        <v>#DIV/0!</v>
      </c>
      <c r="M980" t="e">
        <f t="shared" si="64"/>
        <v>#DIV/0!</v>
      </c>
      <c r="N980" s="222">
        <f t="shared" si="65"/>
        <v>0</v>
      </c>
    </row>
    <row r="981" spans="11:14" x14ac:dyDescent="0.25">
      <c r="K981" s="146" t="e">
        <f t="shared" si="62"/>
        <v>#DIV/0!</v>
      </c>
      <c r="L981" s="146" t="e">
        <f t="shared" si="63"/>
        <v>#DIV/0!</v>
      </c>
      <c r="M981" t="e">
        <f t="shared" si="64"/>
        <v>#DIV/0!</v>
      </c>
      <c r="N981" s="222">
        <f t="shared" si="65"/>
        <v>0</v>
      </c>
    </row>
    <row r="982" spans="11:14" x14ac:dyDescent="0.25">
      <c r="K982" s="146" t="e">
        <f t="shared" si="62"/>
        <v>#DIV/0!</v>
      </c>
      <c r="L982" s="146" t="e">
        <f t="shared" si="63"/>
        <v>#DIV/0!</v>
      </c>
      <c r="M982" t="e">
        <f t="shared" si="64"/>
        <v>#DIV/0!</v>
      </c>
      <c r="N982" s="222">
        <f t="shared" si="65"/>
        <v>0</v>
      </c>
    </row>
    <row r="983" spans="11:14" x14ac:dyDescent="0.25">
      <c r="K983" s="146" t="e">
        <f t="shared" si="62"/>
        <v>#DIV/0!</v>
      </c>
      <c r="L983" s="146" t="e">
        <f t="shared" si="63"/>
        <v>#DIV/0!</v>
      </c>
      <c r="M983" t="e">
        <f t="shared" si="64"/>
        <v>#DIV/0!</v>
      </c>
      <c r="N983" s="222">
        <f t="shared" si="65"/>
        <v>0</v>
      </c>
    </row>
    <row r="984" spans="11:14" x14ac:dyDescent="0.25">
      <c r="K984" s="146" t="e">
        <f t="shared" si="62"/>
        <v>#DIV/0!</v>
      </c>
      <c r="L984" s="146" t="e">
        <f t="shared" si="63"/>
        <v>#DIV/0!</v>
      </c>
      <c r="M984" t="e">
        <f t="shared" si="64"/>
        <v>#DIV/0!</v>
      </c>
      <c r="N984" s="222">
        <f t="shared" si="65"/>
        <v>0</v>
      </c>
    </row>
    <row r="985" spans="11:14" x14ac:dyDescent="0.25">
      <c r="K985" s="146" t="e">
        <f t="shared" si="62"/>
        <v>#DIV/0!</v>
      </c>
      <c r="L985" s="146" t="e">
        <f t="shared" si="63"/>
        <v>#DIV/0!</v>
      </c>
      <c r="M985" t="e">
        <f t="shared" si="64"/>
        <v>#DIV/0!</v>
      </c>
      <c r="N985" s="222">
        <f t="shared" si="65"/>
        <v>0</v>
      </c>
    </row>
    <row r="986" spans="11:14" x14ac:dyDescent="0.25">
      <c r="K986" s="146" t="e">
        <f t="shared" si="62"/>
        <v>#DIV/0!</v>
      </c>
      <c r="L986" s="146" t="e">
        <f t="shared" si="63"/>
        <v>#DIV/0!</v>
      </c>
      <c r="M986" t="e">
        <f t="shared" si="64"/>
        <v>#DIV/0!</v>
      </c>
      <c r="N986" s="222">
        <f t="shared" si="65"/>
        <v>0</v>
      </c>
    </row>
    <row r="987" spans="11:14" x14ac:dyDescent="0.25">
      <c r="K987" s="146" t="e">
        <f t="shared" si="62"/>
        <v>#DIV/0!</v>
      </c>
      <c r="L987" s="146" t="e">
        <f t="shared" si="63"/>
        <v>#DIV/0!</v>
      </c>
      <c r="M987" t="e">
        <f t="shared" si="64"/>
        <v>#DIV/0!</v>
      </c>
      <c r="N987" s="222">
        <f t="shared" si="65"/>
        <v>0</v>
      </c>
    </row>
    <row r="988" spans="11:14" x14ac:dyDescent="0.25">
      <c r="K988" s="146" t="e">
        <f t="shared" si="62"/>
        <v>#DIV/0!</v>
      </c>
      <c r="L988" s="146" t="e">
        <f t="shared" si="63"/>
        <v>#DIV/0!</v>
      </c>
      <c r="M988" t="e">
        <f t="shared" si="64"/>
        <v>#DIV/0!</v>
      </c>
      <c r="N988" s="222">
        <f t="shared" si="65"/>
        <v>0</v>
      </c>
    </row>
    <row r="989" spans="11:14" x14ac:dyDescent="0.25">
      <c r="K989" s="146" t="e">
        <f t="shared" si="62"/>
        <v>#DIV/0!</v>
      </c>
      <c r="L989" s="146" t="e">
        <f t="shared" si="63"/>
        <v>#DIV/0!</v>
      </c>
      <c r="M989" t="e">
        <f t="shared" si="64"/>
        <v>#DIV/0!</v>
      </c>
      <c r="N989" s="222">
        <f t="shared" si="65"/>
        <v>0</v>
      </c>
    </row>
    <row r="990" spans="11:14" x14ac:dyDescent="0.25">
      <c r="K990" s="146" t="e">
        <f t="shared" si="62"/>
        <v>#DIV/0!</v>
      </c>
      <c r="L990" s="146" t="e">
        <f t="shared" si="63"/>
        <v>#DIV/0!</v>
      </c>
      <c r="M990" t="e">
        <f t="shared" si="64"/>
        <v>#DIV/0!</v>
      </c>
      <c r="N990" s="222">
        <f t="shared" si="65"/>
        <v>0</v>
      </c>
    </row>
    <row r="991" spans="11:14" x14ac:dyDescent="0.25">
      <c r="K991" s="146" t="e">
        <f t="shared" si="62"/>
        <v>#DIV/0!</v>
      </c>
      <c r="L991" s="146" t="e">
        <f t="shared" si="63"/>
        <v>#DIV/0!</v>
      </c>
      <c r="M991" t="e">
        <f t="shared" si="64"/>
        <v>#DIV/0!</v>
      </c>
      <c r="N991" s="222">
        <f t="shared" si="65"/>
        <v>0</v>
      </c>
    </row>
    <row r="992" spans="11:14" x14ac:dyDescent="0.25">
      <c r="K992" s="146" t="e">
        <f t="shared" si="62"/>
        <v>#DIV/0!</v>
      </c>
      <c r="L992" s="146" t="e">
        <f t="shared" si="63"/>
        <v>#DIV/0!</v>
      </c>
      <c r="M992" t="e">
        <f t="shared" si="64"/>
        <v>#DIV/0!</v>
      </c>
      <c r="N992" s="222">
        <f t="shared" si="65"/>
        <v>0</v>
      </c>
    </row>
    <row r="993" spans="11:14" x14ac:dyDescent="0.25">
      <c r="K993" s="146" t="e">
        <f t="shared" si="62"/>
        <v>#DIV/0!</v>
      </c>
      <c r="L993" s="146" t="e">
        <f t="shared" si="63"/>
        <v>#DIV/0!</v>
      </c>
      <c r="M993" t="e">
        <f t="shared" si="64"/>
        <v>#DIV/0!</v>
      </c>
      <c r="N993" s="222">
        <f t="shared" si="65"/>
        <v>0</v>
      </c>
    </row>
    <row r="994" spans="11:14" x14ac:dyDescent="0.25">
      <c r="K994" s="146" t="e">
        <f t="shared" si="62"/>
        <v>#DIV/0!</v>
      </c>
      <c r="L994" s="146" t="e">
        <f t="shared" si="63"/>
        <v>#DIV/0!</v>
      </c>
      <c r="M994" t="e">
        <f t="shared" si="64"/>
        <v>#DIV/0!</v>
      </c>
      <c r="N994" s="222">
        <f t="shared" si="65"/>
        <v>0</v>
      </c>
    </row>
    <row r="995" spans="11:14" x14ac:dyDescent="0.25">
      <c r="K995" s="146" t="e">
        <f t="shared" si="62"/>
        <v>#DIV/0!</v>
      </c>
      <c r="L995" s="146" t="e">
        <f t="shared" si="63"/>
        <v>#DIV/0!</v>
      </c>
      <c r="M995" t="e">
        <f t="shared" si="64"/>
        <v>#DIV/0!</v>
      </c>
      <c r="N995" s="222">
        <f t="shared" si="65"/>
        <v>0</v>
      </c>
    </row>
    <row r="996" spans="11:14" x14ac:dyDescent="0.25">
      <c r="K996" s="146" t="e">
        <f t="shared" si="62"/>
        <v>#DIV/0!</v>
      </c>
      <c r="L996" s="146" t="e">
        <f t="shared" si="63"/>
        <v>#DIV/0!</v>
      </c>
      <c r="M996" t="e">
        <f t="shared" si="64"/>
        <v>#DIV/0!</v>
      </c>
      <c r="N996" s="222">
        <f t="shared" si="65"/>
        <v>0</v>
      </c>
    </row>
    <row r="997" spans="11:14" x14ac:dyDescent="0.25">
      <c r="K997" s="146" t="e">
        <f t="shared" si="62"/>
        <v>#DIV/0!</v>
      </c>
      <c r="L997" s="146" t="e">
        <f t="shared" si="63"/>
        <v>#DIV/0!</v>
      </c>
      <c r="M997" t="e">
        <f t="shared" si="64"/>
        <v>#DIV/0!</v>
      </c>
      <c r="N997" s="222">
        <f t="shared" si="65"/>
        <v>0</v>
      </c>
    </row>
    <row r="998" spans="11:14" x14ac:dyDescent="0.25">
      <c r="K998" s="146" t="e">
        <f t="shared" si="62"/>
        <v>#DIV/0!</v>
      </c>
      <c r="L998" s="146" t="e">
        <f t="shared" si="63"/>
        <v>#DIV/0!</v>
      </c>
      <c r="M998" t="e">
        <f t="shared" si="64"/>
        <v>#DIV/0!</v>
      </c>
      <c r="N998" s="222">
        <f t="shared" si="65"/>
        <v>0</v>
      </c>
    </row>
    <row r="999" spans="11:14" x14ac:dyDescent="0.25">
      <c r="K999" s="146" t="e">
        <f t="shared" si="62"/>
        <v>#DIV/0!</v>
      </c>
      <c r="L999" s="146" t="e">
        <f t="shared" si="63"/>
        <v>#DIV/0!</v>
      </c>
      <c r="M999" t="e">
        <f t="shared" si="64"/>
        <v>#DIV/0!</v>
      </c>
      <c r="N999" s="222">
        <f t="shared" si="65"/>
        <v>0</v>
      </c>
    </row>
    <row r="1000" spans="11:14" x14ac:dyDescent="0.25">
      <c r="K1000" s="146" t="e">
        <f t="shared" si="62"/>
        <v>#DIV/0!</v>
      </c>
      <c r="L1000" s="146" t="e">
        <f t="shared" si="63"/>
        <v>#DIV/0!</v>
      </c>
      <c r="M1000" t="e">
        <f t="shared" si="64"/>
        <v>#DIV/0!</v>
      </c>
      <c r="N1000" s="222">
        <f t="shared" si="65"/>
        <v>0</v>
      </c>
    </row>
    <row r="1001" spans="11:14" x14ac:dyDescent="0.25">
      <c r="K1001" s="146" t="e">
        <f t="shared" si="62"/>
        <v>#DIV/0!</v>
      </c>
      <c r="L1001" s="146" t="e">
        <f t="shared" si="63"/>
        <v>#DIV/0!</v>
      </c>
      <c r="M1001" t="e">
        <f t="shared" si="64"/>
        <v>#DIV/0!</v>
      </c>
      <c r="N1001" s="222">
        <f t="shared" si="65"/>
        <v>0</v>
      </c>
    </row>
    <row r="1002" spans="11:14" x14ac:dyDescent="0.25">
      <c r="K1002" s="146" t="e">
        <f t="shared" si="62"/>
        <v>#DIV/0!</v>
      </c>
      <c r="L1002" s="146" t="e">
        <f t="shared" si="63"/>
        <v>#DIV/0!</v>
      </c>
      <c r="M1002" t="e">
        <f t="shared" si="64"/>
        <v>#DIV/0!</v>
      </c>
      <c r="N1002" s="222">
        <f t="shared" si="65"/>
        <v>0</v>
      </c>
    </row>
    <row r="1003" spans="11:14" x14ac:dyDescent="0.25">
      <c r="K1003" s="146" t="e">
        <f t="shared" si="62"/>
        <v>#DIV/0!</v>
      </c>
      <c r="L1003" s="146" t="e">
        <f t="shared" si="63"/>
        <v>#DIV/0!</v>
      </c>
      <c r="M1003" t="e">
        <f t="shared" si="64"/>
        <v>#DIV/0!</v>
      </c>
      <c r="N1003" s="222">
        <f t="shared" si="65"/>
        <v>0</v>
      </c>
    </row>
    <row r="1004" spans="11:14" x14ac:dyDescent="0.25">
      <c r="K1004" s="146" t="e">
        <f t="shared" si="62"/>
        <v>#DIV/0!</v>
      </c>
      <c r="L1004" s="146" t="e">
        <f t="shared" si="63"/>
        <v>#DIV/0!</v>
      </c>
      <c r="M1004" t="e">
        <f t="shared" si="64"/>
        <v>#DIV/0!</v>
      </c>
      <c r="N1004" s="222">
        <f t="shared" si="65"/>
        <v>0</v>
      </c>
    </row>
    <row r="1005" spans="11:14" x14ac:dyDescent="0.25">
      <c r="K1005" s="146" t="e">
        <f t="shared" si="62"/>
        <v>#DIV/0!</v>
      </c>
      <c r="L1005" s="146" t="e">
        <f t="shared" si="63"/>
        <v>#DIV/0!</v>
      </c>
      <c r="M1005" t="e">
        <f t="shared" si="64"/>
        <v>#DIV/0!</v>
      </c>
      <c r="N1005" s="222">
        <f t="shared" si="65"/>
        <v>0</v>
      </c>
    </row>
    <row r="1006" spans="11:14" x14ac:dyDescent="0.25">
      <c r="K1006" s="146" t="e">
        <f t="shared" si="62"/>
        <v>#DIV/0!</v>
      </c>
      <c r="L1006" s="146" t="e">
        <f t="shared" si="63"/>
        <v>#DIV/0!</v>
      </c>
      <c r="M1006" t="e">
        <f t="shared" si="64"/>
        <v>#DIV/0!</v>
      </c>
      <c r="N1006" s="222">
        <f t="shared" si="65"/>
        <v>0</v>
      </c>
    </row>
    <row r="1007" spans="11:14" x14ac:dyDescent="0.25">
      <c r="K1007" s="146" t="e">
        <f t="shared" si="62"/>
        <v>#DIV/0!</v>
      </c>
      <c r="L1007" s="146" t="e">
        <f t="shared" si="63"/>
        <v>#DIV/0!</v>
      </c>
      <c r="M1007" t="e">
        <f t="shared" si="64"/>
        <v>#DIV/0!</v>
      </c>
      <c r="N1007" s="222">
        <f t="shared" si="65"/>
        <v>0</v>
      </c>
    </row>
    <row r="1008" spans="11:14" x14ac:dyDescent="0.25">
      <c r="K1008" s="146" t="e">
        <f t="shared" si="62"/>
        <v>#DIV/0!</v>
      </c>
      <c r="L1008" s="146" t="e">
        <f t="shared" si="63"/>
        <v>#DIV/0!</v>
      </c>
      <c r="M1008" t="e">
        <f t="shared" si="64"/>
        <v>#DIV/0!</v>
      </c>
      <c r="N1008" s="222">
        <f t="shared" si="65"/>
        <v>0</v>
      </c>
    </row>
    <row r="1009" spans="11:14" x14ac:dyDescent="0.25">
      <c r="K1009" s="146" t="e">
        <f t="shared" si="62"/>
        <v>#DIV/0!</v>
      </c>
      <c r="L1009" s="146" t="e">
        <f t="shared" si="63"/>
        <v>#DIV/0!</v>
      </c>
      <c r="M1009" t="e">
        <f t="shared" si="64"/>
        <v>#DIV/0!</v>
      </c>
      <c r="N1009" s="222">
        <f t="shared" si="65"/>
        <v>0</v>
      </c>
    </row>
    <row r="1010" spans="11:14" x14ac:dyDescent="0.25">
      <c r="K1010" s="146" t="e">
        <f t="shared" si="62"/>
        <v>#DIV/0!</v>
      </c>
      <c r="L1010" s="146" t="e">
        <f t="shared" si="63"/>
        <v>#DIV/0!</v>
      </c>
      <c r="M1010" t="e">
        <f t="shared" si="64"/>
        <v>#DIV/0!</v>
      </c>
      <c r="N1010" s="222">
        <f t="shared" si="65"/>
        <v>0</v>
      </c>
    </row>
    <row r="1011" spans="11:14" x14ac:dyDescent="0.25">
      <c r="K1011" s="146" t="e">
        <f t="shared" si="62"/>
        <v>#DIV/0!</v>
      </c>
      <c r="L1011" s="146" t="e">
        <f t="shared" si="63"/>
        <v>#DIV/0!</v>
      </c>
      <c r="M1011" t="e">
        <f t="shared" si="64"/>
        <v>#DIV/0!</v>
      </c>
      <c r="N1011" s="222">
        <f t="shared" si="65"/>
        <v>0</v>
      </c>
    </row>
    <row r="1012" spans="11:14" x14ac:dyDescent="0.25">
      <c r="K1012" s="146" t="e">
        <f t="shared" si="62"/>
        <v>#DIV/0!</v>
      </c>
      <c r="L1012" s="146" t="e">
        <f t="shared" si="63"/>
        <v>#DIV/0!</v>
      </c>
      <c r="M1012" t="e">
        <f t="shared" si="64"/>
        <v>#DIV/0!</v>
      </c>
      <c r="N1012" s="222">
        <f t="shared" si="65"/>
        <v>0</v>
      </c>
    </row>
    <row r="1013" spans="11:14" x14ac:dyDescent="0.25">
      <c r="K1013" s="146" t="e">
        <f t="shared" si="62"/>
        <v>#DIV/0!</v>
      </c>
      <c r="L1013" s="146" t="e">
        <f t="shared" si="63"/>
        <v>#DIV/0!</v>
      </c>
      <c r="M1013" t="e">
        <f t="shared" si="64"/>
        <v>#DIV/0!</v>
      </c>
      <c r="N1013" s="222">
        <f t="shared" si="65"/>
        <v>0</v>
      </c>
    </row>
    <row r="1014" spans="11:14" x14ac:dyDescent="0.25">
      <c r="K1014" s="146" t="e">
        <f t="shared" si="62"/>
        <v>#DIV/0!</v>
      </c>
      <c r="L1014" s="146" t="e">
        <f t="shared" si="63"/>
        <v>#DIV/0!</v>
      </c>
      <c r="M1014" t="e">
        <f t="shared" si="64"/>
        <v>#DIV/0!</v>
      </c>
      <c r="N1014" s="222">
        <f t="shared" si="65"/>
        <v>0</v>
      </c>
    </row>
    <row r="1015" spans="11:14" x14ac:dyDescent="0.25">
      <c r="K1015" s="146" t="e">
        <f t="shared" si="62"/>
        <v>#DIV/0!</v>
      </c>
      <c r="L1015" s="146" t="e">
        <f t="shared" si="63"/>
        <v>#DIV/0!</v>
      </c>
      <c r="M1015" t="e">
        <f t="shared" si="64"/>
        <v>#DIV/0!</v>
      </c>
      <c r="N1015" s="222">
        <f t="shared" si="65"/>
        <v>0</v>
      </c>
    </row>
    <row r="1016" spans="11:14" x14ac:dyDescent="0.25">
      <c r="K1016" s="146" t="e">
        <f t="shared" si="62"/>
        <v>#DIV/0!</v>
      </c>
      <c r="L1016" s="146" t="e">
        <f t="shared" si="63"/>
        <v>#DIV/0!</v>
      </c>
      <c r="M1016" t="e">
        <f t="shared" si="64"/>
        <v>#DIV/0!</v>
      </c>
      <c r="N1016" s="222">
        <f t="shared" si="65"/>
        <v>0</v>
      </c>
    </row>
    <row r="1017" spans="11:14" x14ac:dyDescent="0.25">
      <c r="K1017" s="146" t="e">
        <f t="shared" si="62"/>
        <v>#DIV/0!</v>
      </c>
      <c r="L1017" s="146" t="e">
        <f t="shared" si="63"/>
        <v>#DIV/0!</v>
      </c>
      <c r="M1017" t="e">
        <f t="shared" si="64"/>
        <v>#DIV/0!</v>
      </c>
      <c r="N1017" s="222">
        <f t="shared" si="65"/>
        <v>0</v>
      </c>
    </row>
    <row r="1018" spans="11:14" x14ac:dyDescent="0.25">
      <c r="K1018" s="146" t="e">
        <f t="shared" si="62"/>
        <v>#DIV/0!</v>
      </c>
      <c r="L1018" s="146" t="e">
        <f t="shared" si="63"/>
        <v>#DIV/0!</v>
      </c>
      <c r="M1018" t="e">
        <f t="shared" si="64"/>
        <v>#DIV/0!</v>
      </c>
      <c r="N1018" s="222">
        <f t="shared" si="65"/>
        <v>0</v>
      </c>
    </row>
    <row r="1019" spans="11:14" x14ac:dyDescent="0.25">
      <c r="K1019" s="146" t="e">
        <f t="shared" si="62"/>
        <v>#DIV/0!</v>
      </c>
      <c r="L1019" s="146" t="e">
        <f t="shared" si="63"/>
        <v>#DIV/0!</v>
      </c>
      <c r="M1019" t="e">
        <f t="shared" si="64"/>
        <v>#DIV/0!</v>
      </c>
      <c r="N1019" s="222">
        <f t="shared" si="65"/>
        <v>0</v>
      </c>
    </row>
    <row r="1020" spans="11:14" x14ac:dyDescent="0.25">
      <c r="K1020" s="146" t="e">
        <f t="shared" si="62"/>
        <v>#DIV/0!</v>
      </c>
      <c r="L1020" s="146" t="e">
        <f t="shared" si="63"/>
        <v>#DIV/0!</v>
      </c>
      <c r="M1020" t="e">
        <f t="shared" si="64"/>
        <v>#DIV/0!</v>
      </c>
      <c r="N1020" s="222">
        <f t="shared" si="65"/>
        <v>0</v>
      </c>
    </row>
    <row r="1021" spans="11:14" x14ac:dyDescent="0.25">
      <c r="K1021" s="146" t="e">
        <f t="shared" si="62"/>
        <v>#DIV/0!</v>
      </c>
      <c r="L1021" s="146" t="e">
        <f t="shared" si="63"/>
        <v>#DIV/0!</v>
      </c>
      <c r="M1021" t="e">
        <f t="shared" si="64"/>
        <v>#DIV/0!</v>
      </c>
      <c r="N1021" s="222">
        <f t="shared" si="65"/>
        <v>0</v>
      </c>
    </row>
    <row r="1022" spans="11:14" x14ac:dyDescent="0.25">
      <c r="K1022" s="146" t="e">
        <f t="shared" si="62"/>
        <v>#DIV/0!</v>
      </c>
      <c r="L1022" s="146" t="e">
        <f t="shared" si="63"/>
        <v>#DIV/0!</v>
      </c>
      <c r="M1022" t="e">
        <f t="shared" si="64"/>
        <v>#DIV/0!</v>
      </c>
      <c r="N1022" s="222">
        <f t="shared" si="65"/>
        <v>0</v>
      </c>
    </row>
    <row r="1023" spans="11:14" x14ac:dyDescent="0.25">
      <c r="K1023" s="146" t="e">
        <f t="shared" si="62"/>
        <v>#DIV/0!</v>
      </c>
      <c r="L1023" s="146" t="e">
        <f t="shared" si="63"/>
        <v>#DIV/0!</v>
      </c>
      <c r="M1023" t="e">
        <f t="shared" si="64"/>
        <v>#DIV/0!</v>
      </c>
      <c r="N1023" s="222">
        <f t="shared" si="65"/>
        <v>0</v>
      </c>
    </row>
    <row r="1024" spans="11:14" x14ac:dyDescent="0.25">
      <c r="K1024" s="146" t="e">
        <f t="shared" si="62"/>
        <v>#DIV/0!</v>
      </c>
      <c r="L1024" s="146" t="e">
        <f t="shared" si="63"/>
        <v>#DIV/0!</v>
      </c>
      <c r="M1024" t="e">
        <f t="shared" si="64"/>
        <v>#DIV/0!</v>
      </c>
      <c r="N1024" s="222">
        <f t="shared" si="65"/>
        <v>0</v>
      </c>
    </row>
    <row r="1025" spans="11:14" x14ac:dyDescent="0.25">
      <c r="K1025" s="146" t="e">
        <f t="shared" si="62"/>
        <v>#DIV/0!</v>
      </c>
      <c r="L1025" s="146" t="e">
        <f t="shared" si="63"/>
        <v>#DIV/0!</v>
      </c>
      <c r="M1025" t="e">
        <f t="shared" si="64"/>
        <v>#DIV/0!</v>
      </c>
      <c r="N1025" s="222">
        <f t="shared" si="65"/>
        <v>0</v>
      </c>
    </row>
    <row r="1026" spans="11:14" x14ac:dyDescent="0.25">
      <c r="K1026" s="146" t="e">
        <f t="shared" ref="K1026:K1089" si="66">D1026/E1026</f>
        <v>#DIV/0!</v>
      </c>
      <c r="L1026" s="146" t="e">
        <f t="shared" ref="L1026:L1089" si="67">D1026/(C1026+D1026)</f>
        <v>#DIV/0!</v>
      </c>
      <c r="M1026" t="e">
        <f t="shared" ref="M1026:M1089" si="68">IF(OR(IF(K1026&lt;0.2,1,0),IF(L1026&lt;0.5,1,0)),1,0)</f>
        <v>#DIV/0!</v>
      </c>
      <c r="N1026" s="222">
        <f t="shared" ref="N1026:N1089" si="69">G1026+H1026+I1026+J1026</f>
        <v>0</v>
      </c>
    </row>
    <row r="1027" spans="11:14" x14ac:dyDescent="0.25">
      <c r="K1027" s="146" t="e">
        <f t="shared" si="66"/>
        <v>#DIV/0!</v>
      </c>
      <c r="L1027" s="146" t="e">
        <f t="shared" si="67"/>
        <v>#DIV/0!</v>
      </c>
      <c r="M1027" t="e">
        <f t="shared" si="68"/>
        <v>#DIV/0!</v>
      </c>
      <c r="N1027" s="222">
        <f t="shared" si="69"/>
        <v>0</v>
      </c>
    </row>
    <row r="1028" spans="11:14" x14ac:dyDescent="0.25">
      <c r="K1028" s="146" t="e">
        <f t="shared" si="66"/>
        <v>#DIV/0!</v>
      </c>
      <c r="L1028" s="146" t="e">
        <f t="shared" si="67"/>
        <v>#DIV/0!</v>
      </c>
      <c r="M1028" t="e">
        <f t="shared" si="68"/>
        <v>#DIV/0!</v>
      </c>
      <c r="N1028" s="222">
        <f t="shared" si="69"/>
        <v>0</v>
      </c>
    </row>
    <row r="1029" spans="11:14" x14ac:dyDescent="0.25">
      <c r="K1029" s="146" t="e">
        <f t="shared" si="66"/>
        <v>#DIV/0!</v>
      </c>
      <c r="L1029" s="146" t="e">
        <f t="shared" si="67"/>
        <v>#DIV/0!</v>
      </c>
      <c r="M1029" t="e">
        <f t="shared" si="68"/>
        <v>#DIV/0!</v>
      </c>
      <c r="N1029" s="222">
        <f t="shared" si="69"/>
        <v>0</v>
      </c>
    </row>
    <row r="1030" spans="11:14" x14ac:dyDescent="0.25">
      <c r="K1030" s="146" t="e">
        <f t="shared" si="66"/>
        <v>#DIV/0!</v>
      </c>
      <c r="L1030" s="146" t="e">
        <f t="shared" si="67"/>
        <v>#DIV/0!</v>
      </c>
      <c r="M1030" t="e">
        <f t="shared" si="68"/>
        <v>#DIV/0!</v>
      </c>
      <c r="N1030" s="222">
        <f t="shared" si="69"/>
        <v>0</v>
      </c>
    </row>
    <row r="1031" spans="11:14" x14ac:dyDescent="0.25">
      <c r="K1031" s="146" t="e">
        <f t="shared" si="66"/>
        <v>#DIV/0!</v>
      </c>
      <c r="L1031" s="146" t="e">
        <f t="shared" si="67"/>
        <v>#DIV/0!</v>
      </c>
      <c r="M1031" t="e">
        <f t="shared" si="68"/>
        <v>#DIV/0!</v>
      </c>
      <c r="N1031" s="222">
        <f t="shared" si="69"/>
        <v>0</v>
      </c>
    </row>
    <row r="1032" spans="11:14" x14ac:dyDescent="0.25">
      <c r="K1032" s="146" t="e">
        <f t="shared" si="66"/>
        <v>#DIV/0!</v>
      </c>
      <c r="L1032" s="146" t="e">
        <f t="shared" si="67"/>
        <v>#DIV/0!</v>
      </c>
      <c r="M1032" t="e">
        <f t="shared" si="68"/>
        <v>#DIV/0!</v>
      </c>
      <c r="N1032" s="222">
        <f t="shared" si="69"/>
        <v>0</v>
      </c>
    </row>
    <row r="1033" spans="11:14" x14ac:dyDescent="0.25">
      <c r="K1033" s="146" t="e">
        <f t="shared" si="66"/>
        <v>#DIV/0!</v>
      </c>
      <c r="L1033" s="146" t="e">
        <f t="shared" si="67"/>
        <v>#DIV/0!</v>
      </c>
      <c r="M1033" t="e">
        <f t="shared" si="68"/>
        <v>#DIV/0!</v>
      </c>
      <c r="N1033" s="222">
        <f t="shared" si="69"/>
        <v>0</v>
      </c>
    </row>
    <row r="1034" spans="11:14" x14ac:dyDescent="0.25">
      <c r="K1034" s="146" t="e">
        <f t="shared" si="66"/>
        <v>#DIV/0!</v>
      </c>
      <c r="L1034" s="146" t="e">
        <f t="shared" si="67"/>
        <v>#DIV/0!</v>
      </c>
      <c r="M1034" t="e">
        <f t="shared" si="68"/>
        <v>#DIV/0!</v>
      </c>
      <c r="N1034" s="222">
        <f t="shared" si="69"/>
        <v>0</v>
      </c>
    </row>
    <row r="1035" spans="11:14" x14ac:dyDescent="0.25">
      <c r="K1035" s="146" t="e">
        <f t="shared" si="66"/>
        <v>#DIV/0!</v>
      </c>
      <c r="L1035" s="146" t="e">
        <f t="shared" si="67"/>
        <v>#DIV/0!</v>
      </c>
      <c r="M1035" t="e">
        <f t="shared" si="68"/>
        <v>#DIV/0!</v>
      </c>
      <c r="N1035" s="222">
        <f t="shared" si="69"/>
        <v>0</v>
      </c>
    </row>
    <row r="1036" spans="11:14" x14ac:dyDescent="0.25">
      <c r="K1036" s="146" t="e">
        <f t="shared" si="66"/>
        <v>#DIV/0!</v>
      </c>
      <c r="L1036" s="146" t="e">
        <f t="shared" si="67"/>
        <v>#DIV/0!</v>
      </c>
      <c r="M1036" t="e">
        <f t="shared" si="68"/>
        <v>#DIV/0!</v>
      </c>
      <c r="N1036" s="222">
        <f t="shared" si="69"/>
        <v>0</v>
      </c>
    </row>
    <row r="1037" spans="11:14" x14ac:dyDescent="0.25">
      <c r="K1037" s="146" t="e">
        <f t="shared" si="66"/>
        <v>#DIV/0!</v>
      </c>
      <c r="L1037" s="146" t="e">
        <f t="shared" si="67"/>
        <v>#DIV/0!</v>
      </c>
      <c r="M1037" t="e">
        <f t="shared" si="68"/>
        <v>#DIV/0!</v>
      </c>
      <c r="N1037" s="222">
        <f t="shared" si="69"/>
        <v>0</v>
      </c>
    </row>
    <row r="1038" spans="11:14" x14ac:dyDescent="0.25">
      <c r="K1038" s="146" t="e">
        <f t="shared" si="66"/>
        <v>#DIV/0!</v>
      </c>
      <c r="L1038" s="146" t="e">
        <f t="shared" si="67"/>
        <v>#DIV/0!</v>
      </c>
      <c r="M1038" t="e">
        <f t="shared" si="68"/>
        <v>#DIV/0!</v>
      </c>
      <c r="N1038" s="222">
        <f t="shared" si="69"/>
        <v>0</v>
      </c>
    </row>
    <row r="1039" spans="11:14" x14ac:dyDescent="0.25">
      <c r="K1039" s="146" t="e">
        <f t="shared" si="66"/>
        <v>#DIV/0!</v>
      </c>
      <c r="L1039" s="146" t="e">
        <f t="shared" si="67"/>
        <v>#DIV/0!</v>
      </c>
      <c r="M1039" t="e">
        <f t="shared" si="68"/>
        <v>#DIV/0!</v>
      </c>
      <c r="N1039" s="222">
        <f t="shared" si="69"/>
        <v>0</v>
      </c>
    </row>
    <row r="1040" spans="11:14" x14ac:dyDescent="0.25">
      <c r="K1040" s="146" t="e">
        <f t="shared" si="66"/>
        <v>#DIV/0!</v>
      </c>
      <c r="L1040" s="146" t="e">
        <f t="shared" si="67"/>
        <v>#DIV/0!</v>
      </c>
      <c r="M1040" t="e">
        <f t="shared" si="68"/>
        <v>#DIV/0!</v>
      </c>
      <c r="N1040" s="222">
        <f t="shared" si="69"/>
        <v>0</v>
      </c>
    </row>
    <row r="1041" spans="11:14" x14ac:dyDescent="0.25">
      <c r="K1041" s="146" t="e">
        <f t="shared" si="66"/>
        <v>#DIV/0!</v>
      </c>
      <c r="L1041" s="146" t="e">
        <f t="shared" si="67"/>
        <v>#DIV/0!</v>
      </c>
      <c r="M1041" t="e">
        <f t="shared" si="68"/>
        <v>#DIV/0!</v>
      </c>
      <c r="N1041" s="222">
        <f t="shared" si="69"/>
        <v>0</v>
      </c>
    </row>
    <row r="1042" spans="11:14" x14ac:dyDescent="0.25">
      <c r="K1042" s="146" t="e">
        <f t="shared" si="66"/>
        <v>#DIV/0!</v>
      </c>
      <c r="L1042" s="146" t="e">
        <f t="shared" si="67"/>
        <v>#DIV/0!</v>
      </c>
      <c r="M1042" t="e">
        <f t="shared" si="68"/>
        <v>#DIV/0!</v>
      </c>
      <c r="N1042" s="222">
        <f t="shared" si="69"/>
        <v>0</v>
      </c>
    </row>
    <row r="1043" spans="11:14" x14ac:dyDescent="0.25">
      <c r="K1043" s="146" t="e">
        <f t="shared" si="66"/>
        <v>#DIV/0!</v>
      </c>
      <c r="L1043" s="146" t="e">
        <f t="shared" si="67"/>
        <v>#DIV/0!</v>
      </c>
      <c r="M1043" t="e">
        <f t="shared" si="68"/>
        <v>#DIV/0!</v>
      </c>
      <c r="N1043" s="222">
        <f t="shared" si="69"/>
        <v>0</v>
      </c>
    </row>
    <row r="1044" spans="11:14" x14ac:dyDescent="0.25">
      <c r="K1044" s="146" t="e">
        <f t="shared" si="66"/>
        <v>#DIV/0!</v>
      </c>
      <c r="L1044" s="146" t="e">
        <f t="shared" si="67"/>
        <v>#DIV/0!</v>
      </c>
      <c r="M1044" t="e">
        <f t="shared" si="68"/>
        <v>#DIV/0!</v>
      </c>
      <c r="N1044" s="222">
        <f t="shared" si="69"/>
        <v>0</v>
      </c>
    </row>
    <row r="1045" spans="11:14" x14ac:dyDescent="0.25">
      <c r="K1045" s="146" t="e">
        <f t="shared" si="66"/>
        <v>#DIV/0!</v>
      </c>
      <c r="L1045" s="146" t="e">
        <f t="shared" si="67"/>
        <v>#DIV/0!</v>
      </c>
      <c r="M1045" t="e">
        <f t="shared" si="68"/>
        <v>#DIV/0!</v>
      </c>
      <c r="N1045" s="222">
        <f t="shared" si="69"/>
        <v>0</v>
      </c>
    </row>
    <row r="1046" spans="11:14" x14ac:dyDescent="0.25">
      <c r="K1046" s="146" t="e">
        <f t="shared" si="66"/>
        <v>#DIV/0!</v>
      </c>
      <c r="L1046" s="146" t="e">
        <f t="shared" si="67"/>
        <v>#DIV/0!</v>
      </c>
      <c r="M1046" t="e">
        <f t="shared" si="68"/>
        <v>#DIV/0!</v>
      </c>
      <c r="N1046" s="222">
        <f t="shared" si="69"/>
        <v>0</v>
      </c>
    </row>
    <row r="1047" spans="11:14" x14ac:dyDescent="0.25">
      <c r="K1047" s="146" t="e">
        <f t="shared" si="66"/>
        <v>#DIV/0!</v>
      </c>
      <c r="L1047" s="146" t="e">
        <f t="shared" si="67"/>
        <v>#DIV/0!</v>
      </c>
      <c r="M1047" t="e">
        <f t="shared" si="68"/>
        <v>#DIV/0!</v>
      </c>
      <c r="N1047" s="222">
        <f t="shared" si="69"/>
        <v>0</v>
      </c>
    </row>
    <row r="1048" spans="11:14" x14ac:dyDescent="0.25">
      <c r="K1048" s="146" t="e">
        <f t="shared" si="66"/>
        <v>#DIV/0!</v>
      </c>
      <c r="L1048" s="146" t="e">
        <f t="shared" si="67"/>
        <v>#DIV/0!</v>
      </c>
      <c r="M1048" t="e">
        <f t="shared" si="68"/>
        <v>#DIV/0!</v>
      </c>
      <c r="N1048" s="222">
        <f t="shared" si="69"/>
        <v>0</v>
      </c>
    </row>
    <row r="1049" spans="11:14" x14ac:dyDescent="0.25">
      <c r="K1049" s="146" t="e">
        <f t="shared" si="66"/>
        <v>#DIV/0!</v>
      </c>
      <c r="L1049" s="146" t="e">
        <f t="shared" si="67"/>
        <v>#DIV/0!</v>
      </c>
      <c r="M1049" t="e">
        <f t="shared" si="68"/>
        <v>#DIV/0!</v>
      </c>
      <c r="N1049" s="222">
        <f t="shared" si="69"/>
        <v>0</v>
      </c>
    </row>
    <row r="1050" spans="11:14" x14ac:dyDescent="0.25">
      <c r="K1050" s="146" t="e">
        <f t="shared" si="66"/>
        <v>#DIV/0!</v>
      </c>
      <c r="L1050" s="146" t="e">
        <f t="shared" si="67"/>
        <v>#DIV/0!</v>
      </c>
      <c r="M1050" t="e">
        <f t="shared" si="68"/>
        <v>#DIV/0!</v>
      </c>
      <c r="N1050" s="222">
        <f t="shared" si="69"/>
        <v>0</v>
      </c>
    </row>
    <row r="1051" spans="11:14" x14ac:dyDescent="0.25">
      <c r="K1051" s="146" t="e">
        <f t="shared" si="66"/>
        <v>#DIV/0!</v>
      </c>
      <c r="L1051" s="146" t="e">
        <f t="shared" si="67"/>
        <v>#DIV/0!</v>
      </c>
      <c r="M1051" t="e">
        <f t="shared" si="68"/>
        <v>#DIV/0!</v>
      </c>
      <c r="N1051" s="222">
        <f t="shared" si="69"/>
        <v>0</v>
      </c>
    </row>
    <row r="1052" spans="11:14" x14ac:dyDescent="0.25">
      <c r="K1052" s="146" t="e">
        <f t="shared" si="66"/>
        <v>#DIV/0!</v>
      </c>
      <c r="L1052" s="146" t="e">
        <f t="shared" si="67"/>
        <v>#DIV/0!</v>
      </c>
      <c r="M1052" t="e">
        <f t="shared" si="68"/>
        <v>#DIV/0!</v>
      </c>
      <c r="N1052" s="222">
        <f t="shared" si="69"/>
        <v>0</v>
      </c>
    </row>
    <row r="1053" spans="11:14" x14ac:dyDescent="0.25">
      <c r="K1053" s="146" t="e">
        <f t="shared" si="66"/>
        <v>#DIV/0!</v>
      </c>
      <c r="L1053" s="146" t="e">
        <f t="shared" si="67"/>
        <v>#DIV/0!</v>
      </c>
      <c r="M1053" t="e">
        <f t="shared" si="68"/>
        <v>#DIV/0!</v>
      </c>
      <c r="N1053" s="222">
        <f t="shared" si="69"/>
        <v>0</v>
      </c>
    </row>
    <row r="1054" spans="11:14" x14ac:dyDescent="0.25">
      <c r="K1054" s="146" t="e">
        <f t="shared" si="66"/>
        <v>#DIV/0!</v>
      </c>
      <c r="L1054" s="146" t="e">
        <f t="shared" si="67"/>
        <v>#DIV/0!</v>
      </c>
      <c r="M1054" t="e">
        <f t="shared" si="68"/>
        <v>#DIV/0!</v>
      </c>
      <c r="N1054" s="222">
        <f t="shared" si="69"/>
        <v>0</v>
      </c>
    </row>
    <row r="1055" spans="11:14" x14ac:dyDescent="0.25">
      <c r="K1055" s="146" t="e">
        <f t="shared" si="66"/>
        <v>#DIV/0!</v>
      </c>
      <c r="L1055" s="146" t="e">
        <f t="shared" si="67"/>
        <v>#DIV/0!</v>
      </c>
      <c r="M1055" t="e">
        <f t="shared" si="68"/>
        <v>#DIV/0!</v>
      </c>
      <c r="N1055" s="222">
        <f t="shared" si="69"/>
        <v>0</v>
      </c>
    </row>
    <row r="1056" spans="11:14" x14ac:dyDescent="0.25">
      <c r="K1056" s="146" t="e">
        <f t="shared" si="66"/>
        <v>#DIV/0!</v>
      </c>
      <c r="L1056" s="146" t="e">
        <f t="shared" si="67"/>
        <v>#DIV/0!</v>
      </c>
      <c r="M1056" t="e">
        <f t="shared" si="68"/>
        <v>#DIV/0!</v>
      </c>
      <c r="N1056" s="222">
        <f t="shared" si="69"/>
        <v>0</v>
      </c>
    </row>
    <row r="1057" spans="11:14" x14ac:dyDescent="0.25">
      <c r="K1057" s="146" t="e">
        <f t="shared" si="66"/>
        <v>#DIV/0!</v>
      </c>
      <c r="L1057" s="146" t="e">
        <f t="shared" si="67"/>
        <v>#DIV/0!</v>
      </c>
      <c r="M1057" t="e">
        <f t="shared" si="68"/>
        <v>#DIV/0!</v>
      </c>
      <c r="N1057" s="222">
        <f t="shared" si="69"/>
        <v>0</v>
      </c>
    </row>
    <row r="1058" spans="11:14" x14ac:dyDescent="0.25">
      <c r="K1058" s="146" t="e">
        <f t="shared" si="66"/>
        <v>#DIV/0!</v>
      </c>
      <c r="L1058" s="146" t="e">
        <f t="shared" si="67"/>
        <v>#DIV/0!</v>
      </c>
      <c r="M1058" t="e">
        <f t="shared" si="68"/>
        <v>#DIV/0!</v>
      </c>
      <c r="N1058" s="222">
        <f t="shared" si="69"/>
        <v>0</v>
      </c>
    </row>
    <row r="1059" spans="11:14" x14ac:dyDescent="0.25">
      <c r="K1059" s="146" t="e">
        <f t="shared" si="66"/>
        <v>#DIV/0!</v>
      </c>
      <c r="L1059" s="146" t="e">
        <f t="shared" si="67"/>
        <v>#DIV/0!</v>
      </c>
      <c r="M1059" t="e">
        <f t="shared" si="68"/>
        <v>#DIV/0!</v>
      </c>
      <c r="N1059" s="222">
        <f t="shared" si="69"/>
        <v>0</v>
      </c>
    </row>
    <row r="1060" spans="11:14" x14ac:dyDescent="0.25">
      <c r="K1060" s="146" t="e">
        <f t="shared" si="66"/>
        <v>#DIV/0!</v>
      </c>
      <c r="L1060" s="146" t="e">
        <f t="shared" si="67"/>
        <v>#DIV/0!</v>
      </c>
      <c r="M1060" t="e">
        <f t="shared" si="68"/>
        <v>#DIV/0!</v>
      </c>
      <c r="N1060" s="222">
        <f t="shared" si="69"/>
        <v>0</v>
      </c>
    </row>
    <row r="1061" spans="11:14" x14ac:dyDescent="0.25">
      <c r="K1061" s="146" t="e">
        <f t="shared" si="66"/>
        <v>#DIV/0!</v>
      </c>
      <c r="L1061" s="146" t="e">
        <f t="shared" si="67"/>
        <v>#DIV/0!</v>
      </c>
      <c r="M1061" t="e">
        <f t="shared" si="68"/>
        <v>#DIV/0!</v>
      </c>
      <c r="N1061" s="222">
        <f t="shared" si="69"/>
        <v>0</v>
      </c>
    </row>
    <row r="1062" spans="11:14" x14ac:dyDescent="0.25">
      <c r="K1062" s="146" t="e">
        <f t="shared" si="66"/>
        <v>#DIV/0!</v>
      </c>
      <c r="L1062" s="146" t="e">
        <f t="shared" si="67"/>
        <v>#DIV/0!</v>
      </c>
      <c r="M1062" t="e">
        <f t="shared" si="68"/>
        <v>#DIV/0!</v>
      </c>
      <c r="N1062" s="222">
        <f t="shared" si="69"/>
        <v>0</v>
      </c>
    </row>
    <row r="1063" spans="11:14" x14ac:dyDescent="0.25">
      <c r="K1063" s="146" t="e">
        <f t="shared" si="66"/>
        <v>#DIV/0!</v>
      </c>
      <c r="L1063" s="146" t="e">
        <f t="shared" si="67"/>
        <v>#DIV/0!</v>
      </c>
      <c r="M1063" t="e">
        <f t="shared" si="68"/>
        <v>#DIV/0!</v>
      </c>
      <c r="N1063" s="222">
        <f t="shared" si="69"/>
        <v>0</v>
      </c>
    </row>
    <row r="1064" spans="11:14" x14ac:dyDescent="0.25">
      <c r="K1064" s="146" t="e">
        <f t="shared" si="66"/>
        <v>#DIV/0!</v>
      </c>
      <c r="L1064" s="146" t="e">
        <f t="shared" si="67"/>
        <v>#DIV/0!</v>
      </c>
      <c r="M1064" t="e">
        <f t="shared" si="68"/>
        <v>#DIV/0!</v>
      </c>
      <c r="N1064" s="222">
        <f t="shared" si="69"/>
        <v>0</v>
      </c>
    </row>
    <row r="1065" spans="11:14" x14ac:dyDescent="0.25">
      <c r="K1065" s="146" t="e">
        <f t="shared" si="66"/>
        <v>#DIV/0!</v>
      </c>
      <c r="L1065" s="146" t="e">
        <f t="shared" si="67"/>
        <v>#DIV/0!</v>
      </c>
      <c r="M1065" t="e">
        <f t="shared" si="68"/>
        <v>#DIV/0!</v>
      </c>
      <c r="N1065" s="222">
        <f t="shared" si="69"/>
        <v>0</v>
      </c>
    </row>
    <row r="1066" spans="11:14" x14ac:dyDescent="0.25">
      <c r="K1066" s="146" t="e">
        <f t="shared" si="66"/>
        <v>#DIV/0!</v>
      </c>
      <c r="L1066" s="146" t="e">
        <f t="shared" si="67"/>
        <v>#DIV/0!</v>
      </c>
      <c r="M1066" t="e">
        <f t="shared" si="68"/>
        <v>#DIV/0!</v>
      </c>
      <c r="N1066" s="222">
        <f t="shared" si="69"/>
        <v>0</v>
      </c>
    </row>
    <row r="1067" spans="11:14" x14ac:dyDescent="0.25">
      <c r="K1067" s="146" t="e">
        <f t="shared" si="66"/>
        <v>#DIV/0!</v>
      </c>
      <c r="L1067" s="146" t="e">
        <f t="shared" si="67"/>
        <v>#DIV/0!</v>
      </c>
      <c r="M1067" t="e">
        <f t="shared" si="68"/>
        <v>#DIV/0!</v>
      </c>
      <c r="N1067" s="222">
        <f t="shared" si="69"/>
        <v>0</v>
      </c>
    </row>
    <row r="1068" spans="11:14" x14ac:dyDescent="0.25">
      <c r="K1068" s="146" t="e">
        <f t="shared" si="66"/>
        <v>#DIV/0!</v>
      </c>
      <c r="L1068" s="146" t="e">
        <f t="shared" si="67"/>
        <v>#DIV/0!</v>
      </c>
      <c r="M1068" t="e">
        <f t="shared" si="68"/>
        <v>#DIV/0!</v>
      </c>
      <c r="N1068" s="222">
        <f t="shared" si="69"/>
        <v>0</v>
      </c>
    </row>
    <row r="1069" spans="11:14" x14ac:dyDescent="0.25">
      <c r="K1069" s="146" t="e">
        <f t="shared" si="66"/>
        <v>#DIV/0!</v>
      </c>
      <c r="L1069" s="146" t="e">
        <f t="shared" si="67"/>
        <v>#DIV/0!</v>
      </c>
      <c r="M1069" t="e">
        <f t="shared" si="68"/>
        <v>#DIV/0!</v>
      </c>
      <c r="N1069" s="222">
        <f t="shared" si="69"/>
        <v>0</v>
      </c>
    </row>
    <row r="1070" spans="11:14" x14ac:dyDescent="0.25">
      <c r="K1070" s="146" t="e">
        <f t="shared" si="66"/>
        <v>#DIV/0!</v>
      </c>
      <c r="L1070" s="146" t="e">
        <f t="shared" si="67"/>
        <v>#DIV/0!</v>
      </c>
      <c r="M1070" t="e">
        <f t="shared" si="68"/>
        <v>#DIV/0!</v>
      </c>
      <c r="N1070" s="222">
        <f t="shared" si="69"/>
        <v>0</v>
      </c>
    </row>
    <row r="1071" spans="11:14" x14ac:dyDescent="0.25">
      <c r="K1071" s="146" t="e">
        <f t="shared" si="66"/>
        <v>#DIV/0!</v>
      </c>
      <c r="L1071" s="146" t="e">
        <f t="shared" si="67"/>
        <v>#DIV/0!</v>
      </c>
      <c r="M1071" t="e">
        <f t="shared" si="68"/>
        <v>#DIV/0!</v>
      </c>
      <c r="N1071" s="222">
        <f t="shared" si="69"/>
        <v>0</v>
      </c>
    </row>
    <row r="1072" spans="11:14" x14ac:dyDescent="0.25">
      <c r="K1072" s="146" t="e">
        <f t="shared" si="66"/>
        <v>#DIV/0!</v>
      </c>
      <c r="L1072" s="146" t="e">
        <f t="shared" si="67"/>
        <v>#DIV/0!</v>
      </c>
      <c r="M1072" t="e">
        <f t="shared" si="68"/>
        <v>#DIV/0!</v>
      </c>
      <c r="N1072" s="222">
        <f t="shared" si="69"/>
        <v>0</v>
      </c>
    </row>
    <row r="1073" spans="11:14" x14ac:dyDescent="0.25">
      <c r="K1073" s="146" t="e">
        <f t="shared" si="66"/>
        <v>#DIV/0!</v>
      </c>
      <c r="L1073" s="146" t="e">
        <f t="shared" si="67"/>
        <v>#DIV/0!</v>
      </c>
      <c r="M1073" t="e">
        <f t="shared" si="68"/>
        <v>#DIV/0!</v>
      </c>
      <c r="N1073" s="222">
        <f t="shared" si="69"/>
        <v>0</v>
      </c>
    </row>
    <row r="1074" spans="11:14" x14ac:dyDescent="0.25">
      <c r="K1074" s="146" t="e">
        <f t="shared" si="66"/>
        <v>#DIV/0!</v>
      </c>
      <c r="L1074" s="146" t="e">
        <f t="shared" si="67"/>
        <v>#DIV/0!</v>
      </c>
      <c r="M1074" t="e">
        <f t="shared" si="68"/>
        <v>#DIV/0!</v>
      </c>
      <c r="N1074" s="222">
        <f t="shared" si="69"/>
        <v>0</v>
      </c>
    </row>
    <row r="1075" spans="11:14" x14ac:dyDescent="0.25">
      <c r="K1075" s="146" t="e">
        <f t="shared" si="66"/>
        <v>#DIV/0!</v>
      </c>
      <c r="L1075" s="146" t="e">
        <f t="shared" si="67"/>
        <v>#DIV/0!</v>
      </c>
      <c r="M1075" t="e">
        <f t="shared" si="68"/>
        <v>#DIV/0!</v>
      </c>
      <c r="N1075" s="222">
        <f t="shared" si="69"/>
        <v>0</v>
      </c>
    </row>
    <row r="1076" spans="11:14" x14ac:dyDescent="0.25">
      <c r="K1076" s="146" t="e">
        <f t="shared" si="66"/>
        <v>#DIV/0!</v>
      </c>
      <c r="L1076" s="146" t="e">
        <f t="shared" si="67"/>
        <v>#DIV/0!</v>
      </c>
      <c r="M1076" t="e">
        <f t="shared" si="68"/>
        <v>#DIV/0!</v>
      </c>
      <c r="N1076" s="222">
        <f t="shared" si="69"/>
        <v>0</v>
      </c>
    </row>
    <row r="1077" spans="11:14" x14ac:dyDescent="0.25">
      <c r="K1077" s="146" t="e">
        <f t="shared" si="66"/>
        <v>#DIV/0!</v>
      </c>
      <c r="L1077" s="146" t="e">
        <f t="shared" si="67"/>
        <v>#DIV/0!</v>
      </c>
      <c r="M1077" t="e">
        <f t="shared" si="68"/>
        <v>#DIV/0!</v>
      </c>
      <c r="N1077" s="222">
        <f t="shared" si="69"/>
        <v>0</v>
      </c>
    </row>
    <row r="1078" spans="11:14" x14ac:dyDescent="0.25">
      <c r="K1078" s="146" t="e">
        <f t="shared" si="66"/>
        <v>#DIV/0!</v>
      </c>
      <c r="L1078" s="146" t="e">
        <f t="shared" si="67"/>
        <v>#DIV/0!</v>
      </c>
      <c r="M1078" t="e">
        <f t="shared" si="68"/>
        <v>#DIV/0!</v>
      </c>
      <c r="N1078" s="222">
        <f t="shared" si="69"/>
        <v>0</v>
      </c>
    </row>
    <row r="1079" spans="11:14" x14ac:dyDescent="0.25">
      <c r="K1079" s="146" t="e">
        <f t="shared" si="66"/>
        <v>#DIV/0!</v>
      </c>
      <c r="L1079" s="146" t="e">
        <f t="shared" si="67"/>
        <v>#DIV/0!</v>
      </c>
      <c r="M1079" t="e">
        <f t="shared" si="68"/>
        <v>#DIV/0!</v>
      </c>
      <c r="N1079" s="222">
        <f t="shared" si="69"/>
        <v>0</v>
      </c>
    </row>
    <row r="1080" spans="11:14" x14ac:dyDescent="0.25">
      <c r="K1080" s="146" t="e">
        <f t="shared" si="66"/>
        <v>#DIV/0!</v>
      </c>
      <c r="L1080" s="146" t="e">
        <f t="shared" si="67"/>
        <v>#DIV/0!</v>
      </c>
      <c r="M1080" t="e">
        <f t="shared" si="68"/>
        <v>#DIV/0!</v>
      </c>
      <c r="N1080" s="222">
        <f t="shared" si="69"/>
        <v>0</v>
      </c>
    </row>
    <row r="1081" spans="11:14" x14ac:dyDescent="0.25">
      <c r="K1081" s="146" t="e">
        <f t="shared" si="66"/>
        <v>#DIV/0!</v>
      </c>
      <c r="L1081" s="146" t="e">
        <f t="shared" si="67"/>
        <v>#DIV/0!</v>
      </c>
      <c r="M1081" t="e">
        <f t="shared" si="68"/>
        <v>#DIV/0!</v>
      </c>
      <c r="N1081" s="222">
        <f t="shared" si="69"/>
        <v>0</v>
      </c>
    </row>
    <row r="1082" spans="11:14" x14ac:dyDescent="0.25">
      <c r="K1082" s="146" t="e">
        <f t="shared" si="66"/>
        <v>#DIV/0!</v>
      </c>
      <c r="L1082" s="146" t="e">
        <f t="shared" si="67"/>
        <v>#DIV/0!</v>
      </c>
      <c r="M1082" t="e">
        <f t="shared" si="68"/>
        <v>#DIV/0!</v>
      </c>
      <c r="N1082" s="222">
        <f t="shared" si="69"/>
        <v>0</v>
      </c>
    </row>
    <row r="1083" spans="11:14" x14ac:dyDescent="0.25">
      <c r="K1083" s="146" t="e">
        <f t="shared" si="66"/>
        <v>#DIV/0!</v>
      </c>
      <c r="L1083" s="146" t="e">
        <f t="shared" si="67"/>
        <v>#DIV/0!</v>
      </c>
      <c r="M1083" t="e">
        <f t="shared" si="68"/>
        <v>#DIV/0!</v>
      </c>
      <c r="N1083" s="222">
        <f t="shared" si="69"/>
        <v>0</v>
      </c>
    </row>
    <row r="1084" spans="11:14" x14ac:dyDescent="0.25">
      <c r="K1084" s="146" t="e">
        <f t="shared" si="66"/>
        <v>#DIV/0!</v>
      </c>
      <c r="L1084" s="146" t="e">
        <f t="shared" si="67"/>
        <v>#DIV/0!</v>
      </c>
      <c r="M1084" t="e">
        <f t="shared" si="68"/>
        <v>#DIV/0!</v>
      </c>
      <c r="N1084" s="222">
        <f t="shared" si="69"/>
        <v>0</v>
      </c>
    </row>
    <row r="1085" spans="11:14" x14ac:dyDescent="0.25">
      <c r="K1085" s="146" t="e">
        <f t="shared" si="66"/>
        <v>#DIV/0!</v>
      </c>
      <c r="L1085" s="146" t="e">
        <f t="shared" si="67"/>
        <v>#DIV/0!</v>
      </c>
      <c r="M1085" t="e">
        <f t="shared" si="68"/>
        <v>#DIV/0!</v>
      </c>
      <c r="N1085" s="222">
        <f t="shared" si="69"/>
        <v>0</v>
      </c>
    </row>
    <row r="1086" spans="11:14" x14ac:dyDescent="0.25">
      <c r="K1086" s="146" t="e">
        <f t="shared" si="66"/>
        <v>#DIV/0!</v>
      </c>
      <c r="L1086" s="146" t="e">
        <f t="shared" si="67"/>
        <v>#DIV/0!</v>
      </c>
      <c r="M1086" t="e">
        <f t="shared" si="68"/>
        <v>#DIV/0!</v>
      </c>
      <c r="N1086" s="222">
        <f t="shared" si="69"/>
        <v>0</v>
      </c>
    </row>
    <row r="1087" spans="11:14" x14ac:dyDescent="0.25">
      <c r="K1087" s="146" t="e">
        <f t="shared" si="66"/>
        <v>#DIV/0!</v>
      </c>
      <c r="L1087" s="146" t="e">
        <f t="shared" si="67"/>
        <v>#DIV/0!</v>
      </c>
      <c r="M1087" t="e">
        <f t="shared" si="68"/>
        <v>#DIV/0!</v>
      </c>
      <c r="N1087" s="222">
        <f t="shared" si="69"/>
        <v>0</v>
      </c>
    </row>
    <row r="1088" spans="11:14" x14ac:dyDescent="0.25">
      <c r="K1088" s="146" t="e">
        <f t="shared" si="66"/>
        <v>#DIV/0!</v>
      </c>
      <c r="L1088" s="146" t="e">
        <f t="shared" si="67"/>
        <v>#DIV/0!</v>
      </c>
      <c r="M1088" t="e">
        <f t="shared" si="68"/>
        <v>#DIV/0!</v>
      </c>
      <c r="N1088" s="222">
        <f t="shared" si="69"/>
        <v>0</v>
      </c>
    </row>
    <row r="1089" spans="11:14" x14ac:dyDescent="0.25">
      <c r="K1089" s="146" t="e">
        <f t="shared" si="66"/>
        <v>#DIV/0!</v>
      </c>
      <c r="L1089" s="146" t="e">
        <f t="shared" si="67"/>
        <v>#DIV/0!</v>
      </c>
      <c r="M1089" t="e">
        <f t="shared" si="68"/>
        <v>#DIV/0!</v>
      </c>
      <c r="N1089" s="222">
        <f t="shared" si="69"/>
        <v>0</v>
      </c>
    </row>
    <row r="1090" spans="11:14" x14ac:dyDescent="0.25">
      <c r="K1090" s="146" t="e">
        <f t="shared" ref="K1090:K1110" si="70">D1090/E1090</f>
        <v>#DIV/0!</v>
      </c>
      <c r="L1090" s="146" t="e">
        <f t="shared" ref="L1090:L1110" si="71">D1090/(C1090+D1090)</f>
        <v>#DIV/0!</v>
      </c>
      <c r="M1090" t="e">
        <f t="shared" ref="M1090:M1153" si="72">IF(OR(IF(K1090&lt;0.2,1,0),IF(L1090&lt;0.5,1,0)),1,0)</f>
        <v>#DIV/0!</v>
      </c>
      <c r="N1090" s="222">
        <f t="shared" ref="N1090:N1110" si="73">G1090+H1090+I1090+J1090</f>
        <v>0</v>
      </c>
    </row>
    <row r="1091" spans="11:14" x14ac:dyDescent="0.25">
      <c r="K1091" s="146" t="e">
        <f t="shared" si="70"/>
        <v>#DIV/0!</v>
      </c>
      <c r="L1091" s="146" t="e">
        <f t="shared" si="71"/>
        <v>#DIV/0!</v>
      </c>
      <c r="M1091" t="e">
        <f t="shared" si="72"/>
        <v>#DIV/0!</v>
      </c>
      <c r="N1091" s="222">
        <f t="shared" si="73"/>
        <v>0</v>
      </c>
    </row>
    <row r="1092" spans="11:14" x14ac:dyDescent="0.25">
      <c r="K1092" s="146" t="e">
        <f t="shared" si="70"/>
        <v>#DIV/0!</v>
      </c>
      <c r="L1092" s="146" t="e">
        <f t="shared" si="71"/>
        <v>#DIV/0!</v>
      </c>
      <c r="M1092" t="e">
        <f t="shared" si="72"/>
        <v>#DIV/0!</v>
      </c>
      <c r="N1092" s="222">
        <f t="shared" si="73"/>
        <v>0</v>
      </c>
    </row>
    <row r="1093" spans="11:14" x14ac:dyDescent="0.25">
      <c r="K1093" s="146" t="e">
        <f t="shared" si="70"/>
        <v>#DIV/0!</v>
      </c>
      <c r="L1093" s="146" t="e">
        <f t="shared" si="71"/>
        <v>#DIV/0!</v>
      </c>
      <c r="M1093" t="e">
        <f t="shared" si="72"/>
        <v>#DIV/0!</v>
      </c>
      <c r="N1093" s="222">
        <f t="shared" si="73"/>
        <v>0</v>
      </c>
    </row>
    <row r="1094" spans="11:14" x14ac:dyDescent="0.25">
      <c r="K1094" s="146" t="e">
        <f t="shared" si="70"/>
        <v>#DIV/0!</v>
      </c>
      <c r="L1094" s="146" t="e">
        <f t="shared" si="71"/>
        <v>#DIV/0!</v>
      </c>
      <c r="M1094" t="e">
        <f t="shared" si="72"/>
        <v>#DIV/0!</v>
      </c>
      <c r="N1094" s="222">
        <f t="shared" si="73"/>
        <v>0</v>
      </c>
    </row>
    <row r="1095" spans="11:14" x14ac:dyDescent="0.25">
      <c r="K1095" s="146" t="e">
        <f t="shared" si="70"/>
        <v>#DIV/0!</v>
      </c>
      <c r="L1095" s="146" t="e">
        <f t="shared" si="71"/>
        <v>#DIV/0!</v>
      </c>
      <c r="M1095" t="e">
        <f t="shared" si="72"/>
        <v>#DIV/0!</v>
      </c>
      <c r="N1095" s="222">
        <f t="shared" si="73"/>
        <v>0</v>
      </c>
    </row>
    <row r="1096" spans="11:14" x14ac:dyDescent="0.25">
      <c r="K1096" s="146" t="e">
        <f t="shared" si="70"/>
        <v>#DIV/0!</v>
      </c>
      <c r="L1096" s="146" t="e">
        <f t="shared" si="71"/>
        <v>#DIV/0!</v>
      </c>
      <c r="M1096" t="e">
        <f t="shared" si="72"/>
        <v>#DIV/0!</v>
      </c>
      <c r="N1096" s="222">
        <f t="shared" si="73"/>
        <v>0</v>
      </c>
    </row>
    <row r="1097" spans="11:14" x14ac:dyDescent="0.25">
      <c r="K1097" s="146" t="e">
        <f t="shared" si="70"/>
        <v>#DIV/0!</v>
      </c>
      <c r="L1097" s="146" t="e">
        <f t="shared" si="71"/>
        <v>#DIV/0!</v>
      </c>
      <c r="M1097" t="e">
        <f t="shared" si="72"/>
        <v>#DIV/0!</v>
      </c>
      <c r="N1097" s="222">
        <f t="shared" si="73"/>
        <v>0</v>
      </c>
    </row>
    <row r="1098" spans="11:14" x14ac:dyDescent="0.25">
      <c r="K1098" s="146" t="e">
        <f t="shared" si="70"/>
        <v>#DIV/0!</v>
      </c>
      <c r="L1098" s="146" t="e">
        <f t="shared" si="71"/>
        <v>#DIV/0!</v>
      </c>
      <c r="M1098" t="e">
        <f t="shared" si="72"/>
        <v>#DIV/0!</v>
      </c>
      <c r="N1098" s="222">
        <f t="shared" si="73"/>
        <v>0</v>
      </c>
    </row>
    <row r="1099" spans="11:14" x14ac:dyDescent="0.25">
      <c r="K1099" s="146" t="e">
        <f t="shared" si="70"/>
        <v>#DIV/0!</v>
      </c>
      <c r="L1099" s="146" t="e">
        <f t="shared" si="71"/>
        <v>#DIV/0!</v>
      </c>
      <c r="M1099" t="e">
        <f t="shared" si="72"/>
        <v>#DIV/0!</v>
      </c>
      <c r="N1099" s="222">
        <f t="shared" si="73"/>
        <v>0</v>
      </c>
    </row>
    <row r="1100" spans="11:14" x14ac:dyDescent="0.25">
      <c r="K1100" s="146" t="e">
        <f t="shared" si="70"/>
        <v>#DIV/0!</v>
      </c>
      <c r="L1100" s="146" t="e">
        <f t="shared" si="71"/>
        <v>#DIV/0!</v>
      </c>
      <c r="M1100" t="e">
        <f t="shared" si="72"/>
        <v>#DIV/0!</v>
      </c>
      <c r="N1100" s="222">
        <f t="shared" si="73"/>
        <v>0</v>
      </c>
    </row>
    <row r="1101" spans="11:14" x14ac:dyDescent="0.25">
      <c r="K1101" s="146" t="e">
        <f t="shared" si="70"/>
        <v>#DIV/0!</v>
      </c>
      <c r="L1101" s="146" t="e">
        <f t="shared" si="71"/>
        <v>#DIV/0!</v>
      </c>
      <c r="M1101" t="e">
        <f t="shared" si="72"/>
        <v>#DIV/0!</v>
      </c>
      <c r="N1101" s="222">
        <f t="shared" si="73"/>
        <v>0</v>
      </c>
    </row>
    <row r="1102" spans="11:14" x14ac:dyDescent="0.25">
      <c r="K1102" s="146" t="e">
        <f t="shared" si="70"/>
        <v>#DIV/0!</v>
      </c>
      <c r="L1102" s="146" t="e">
        <f t="shared" si="71"/>
        <v>#DIV/0!</v>
      </c>
      <c r="M1102" t="e">
        <f t="shared" si="72"/>
        <v>#DIV/0!</v>
      </c>
      <c r="N1102" s="222">
        <f t="shared" si="73"/>
        <v>0</v>
      </c>
    </row>
    <row r="1103" spans="11:14" x14ac:dyDescent="0.25">
      <c r="K1103" s="146" t="e">
        <f t="shared" si="70"/>
        <v>#DIV/0!</v>
      </c>
      <c r="L1103" s="146" t="e">
        <f t="shared" si="71"/>
        <v>#DIV/0!</v>
      </c>
      <c r="M1103" t="e">
        <f t="shared" si="72"/>
        <v>#DIV/0!</v>
      </c>
      <c r="N1103" s="222">
        <f t="shared" si="73"/>
        <v>0</v>
      </c>
    </row>
    <row r="1104" spans="11:14" x14ac:dyDescent="0.25">
      <c r="K1104" s="146" t="e">
        <f t="shared" si="70"/>
        <v>#DIV/0!</v>
      </c>
      <c r="L1104" s="146" t="e">
        <f t="shared" si="71"/>
        <v>#DIV/0!</v>
      </c>
      <c r="M1104" t="e">
        <f t="shared" si="72"/>
        <v>#DIV/0!</v>
      </c>
      <c r="N1104" s="222">
        <f t="shared" si="73"/>
        <v>0</v>
      </c>
    </row>
    <row r="1105" spans="11:14" x14ac:dyDescent="0.25">
      <c r="K1105" s="146" t="e">
        <f t="shared" si="70"/>
        <v>#DIV/0!</v>
      </c>
      <c r="L1105" s="146" t="e">
        <f t="shared" si="71"/>
        <v>#DIV/0!</v>
      </c>
      <c r="M1105" t="e">
        <f t="shared" si="72"/>
        <v>#DIV/0!</v>
      </c>
      <c r="N1105" s="222">
        <f t="shared" si="73"/>
        <v>0</v>
      </c>
    </row>
    <row r="1106" spans="11:14" x14ac:dyDescent="0.25">
      <c r="K1106" s="146" t="e">
        <f t="shared" si="70"/>
        <v>#DIV/0!</v>
      </c>
      <c r="L1106" s="146" t="e">
        <f t="shared" si="71"/>
        <v>#DIV/0!</v>
      </c>
      <c r="M1106" t="e">
        <f t="shared" si="72"/>
        <v>#DIV/0!</v>
      </c>
      <c r="N1106" s="222">
        <f t="shared" si="73"/>
        <v>0</v>
      </c>
    </row>
    <row r="1107" spans="11:14" x14ac:dyDescent="0.25">
      <c r="K1107" s="146" t="e">
        <f t="shared" si="70"/>
        <v>#DIV/0!</v>
      </c>
      <c r="L1107" s="146" t="e">
        <f t="shared" si="71"/>
        <v>#DIV/0!</v>
      </c>
      <c r="M1107" t="e">
        <f t="shared" si="72"/>
        <v>#DIV/0!</v>
      </c>
      <c r="N1107" s="222">
        <f t="shared" si="73"/>
        <v>0</v>
      </c>
    </row>
    <row r="1108" spans="11:14" x14ac:dyDescent="0.25">
      <c r="K1108" s="146" t="e">
        <f t="shared" si="70"/>
        <v>#DIV/0!</v>
      </c>
      <c r="L1108" s="146" t="e">
        <f t="shared" si="71"/>
        <v>#DIV/0!</v>
      </c>
      <c r="M1108" t="e">
        <f t="shared" si="72"/>
        <v>#DIV/0!</v>
      </c>
      <c r="N1108" s="222">
        <f t="shared" si="73"/>
        <v>0</v>
      </c>
    </row>
    <row r="1109" spans="11:14" x14ac:dyDescent="0.25">
      <c r="K1109" s="146" t="e">
        <f t="shared" si="70"/>
        <v>#DIV/0!</v>
      </c>
      <c r="L1109" s="146" t="e">
        <f t="shared" si="71"/>
        <v>#DIV/0!</v>
      </c>
      <c r="M1109" t="e">
        <f t="shared" si="72"/>
        <v>#DIV/0!</v>
      </c>
      <c r="N1109" s="222">
        <f t="shared" si="73"/>
        <v>0</v>
      </c>
    </row>
    <row r="1110" spans="11:14" x14ac:dyDescent="0.25">
      <c r="K1110" s="146" t="e">
        <f t="shared" si="70"/>
        <v>#DIV/0!</v>
      </c>
      <c r="L1110" s="146" t="e">
        <f t="shared" si="71"/>
        <v>#DIV/0!</v>
      </c>
      <c r="M1110" t="e">
        <f t="shared" si="72"/>
        <v>#DIV/0!</v>
      </c>
      <c r="N1110" s="222">
        <f t="shared" si="73"/>
        <v>0</v>
      </c>
    </row>
    <row r="1111" spans="11:14" x14ac:dyDescent="0.25">
      <c r="M1111">
        <f t="shared" si="72"/>
        <v>1</v>
      </c>
    </row>
    <row r="1112" spans="11:14" x14ac:dyDescent="0.25">
      <c r="M1112">
        <f t="shared" si="72"/>
        <v>1</v>
      </c>
    </row>
    <row r="1113" spans="11:14" x14ac:dyDescent="0.25">
      <c r="M1113">
        <f t="shared" si="72"/>
        <v>1</v>
      </c>
    </row>
    <row r="1114" spans="11:14" x14ac:dyDescent="0.25">
      <c r="M1114">
        <f t="shared" si="72"/>
        <v>1</v>
      </c>
    </row>
    <row r="1115" spans="11:14" x14ac:dyDescent="0.25">
      <c r="M1115">
        <f t="shared" si="72"/>
        <v>1</v>
      </c>
    </row>
    <row r="1116" spans="11:14" x14ac:dyDescent="0.25">
      <c r="M1116">
        <f t="shared" si="72"/>
        <v>1</v>
      </c>
    </row>
    <row r="1117" spans="11:14" x14ac:dyDescent="0.25">
      <c r="M1117">
        <f t="shared" si="72"/>
        <v>1</v>
      </c>
    </row>
    <row r="1118" spans="11:14" x14ac:dyDescent="0.25">
      <c r="M1118">
        <f t="shared" si="72"/>
        <v>1</v>
      </c>
    </row>
    <row r="1119" spans="11:14" x14ac:dyDescent="0.25">
      <c r="M1119">
        <f t="shared" si="72"/>
        <v>1</v>
      </c>
    </row>
    <row r="1120" spans="11:14" x14ac:dyDescent="0.25">
      <c r="M1120">
        <f t="shared" si="72"/>
        <v>1</v>
      </c>
    </row>
    <row r="1121" spans="13:13" x14ac:dyDescent="0.25">
      <c r="M1121">
        <f t="shared" si="72"/>
        <v>1</v>
      </c>
    </row>
    <row r="1122" spans="13:13" x14ac:dyDescent="0.25">
      <c r="M1122">
        <f t="shared" si="72"/>
        <v>1</v>
      </c>
    </row>
    <row r="1123" spans="13:13" x14ac:dyDescent="0.25">
      <c r="M1123">
        <f t="shared" si="72"/>
        <v>1</v>
      </c>
    </row>
    <row r="1124" spans="13:13" x14ac:dyDescent="0.25">
      <c r="M1124">
        <f t="shared" si="72"/>
        <v>1</v>
      </c>
    </row>
    <row r="1125" spans="13:13" x14ac:dyDescent="0.25">
      <c r="M1125">
        <f t="shared" si="72"/>
        <v>1</v>
      </c>
    </row>
    <row r="1126" spans="13:13" x14ac:dyDescent="0.25">
      <c r="M1126">
        <f t="shared" si="72"/>
        <v>1</v>
      </c>
    </row>
    <row r="1127" spans="13:13" x14ac:dyDescent="0.25">
      <c r="M1127">
        <f t="shared" si="72"/>
        <v>1</v>
      </c>
    </row>
    <row r="1128" spans="13:13" x14ac:dyDescent="0.25">
      <c r="M1128">
        <f t="shared" si="72"/>
        <v>1</v>
      </c>
    </row>
    <row r="1129" spans="13:13" x14ac:dyDescent="0.25">
      <c r="M1129">
        <f t="shared" si="72"/>
        <v>1</v>
      </c>
    </row>
    <row r="1130" spans="13:13" x14ac:dyDescent="0.25">
      <c r="M1130">
        <f t="shared" si="72"/>
        <v>1</v>
      </c>
    </row>
    <row r="1131" spans="13:13" x14ac:dyDescent="0.25">
      <c r="M1131">
        <f t="shared" si="72"/>
        <v>1</v>
      </c>
    </row>
    <row r="1132" spans="13:13" x14ac:dyDescent="0.25">
      <c r="M1132">
        <f t="shared" si="72"/>
        <v>1</v>
      </c>
    </row>
    <row r="1133" spans="13:13" x14ac:dyDescent="0.25">
      <c r="M1133">
        <f t="shared" si="72"/>
        <v>1</v>
      </c>
    </row>
    <row r="1134" spans="13:13" x14ac:dyDescent="0.25">
      <c r="M1134">
        <f t="shared" si="72"/>
        <v>1</v>
      </c>
    </row>
    <row r="1135" spans="13:13" x14ac:dyDescent="0.25">
      <c r="M1135">
        <f t="shared" si="72"/>
        <v>1</v>
      </c>
    </row>
    <row r="1136" spans="13:13" x14ac:dyDescent="0.25">
      <c r="M1136">
        <f t="shared" si="72"/>
        <v>1</v>
      </c>
    </row>
    <row r="1137" spans="13:13" x14ac:dyDescent="0.25">
      <c r="M1137">
        <f t="shared" si="72"/>
        <v>1</v>
      </c>
    </row>
    <row r="1138" spans="13:13" x14ac:dyDescent="0.25">
      <c r="M1138">
        <f t="shared" si="72"/>
        <v>1</v>
      </c>
    </row>
    <row r="1139" spans="13:13" x14ac:dyDescent="0.25">
      <c r="M1139">
        <f t="shared" si="72"/>
        <v>1</v>
      </c>
    </row>
    <row r="1140" spans="13:13" x14ac:dyDescent="0.25">
      <c r="M1140">
        <f t="shared" si="72"/>
        <v>1</v>
      </c>
    </row>
    <row r="1141" spans="13:13" x14ac:dyDescent="0.25">
      <c r="M1141">
        <f t="shared" si="72"/>
        <v>1</v>
      </c>
    </row>
    <row r="1142" spans="13:13" x14ac:dyDescent="0.25">
      <c r="M1142">
        <f t="shared" si="72"/>
        <v>1</v>
      </c>
    </row>
    <row r="1143" spans="13:13" x14ac:dyDescent="0.25">
      <c r="M1143">
        <f t="shared" si="72"/>
        <v>1</v>
      </c>
    </row>
    <row r="1144" spans="13:13" x14ac:dyDescent="0.25">
      <c r="M1144">
        <f t="shared" si="72"/>
        <v>1</v>
      </c>
    </row>
    <row r="1145" spans="13:13" x14ac:dyDescent="0.25">
      <c r="M1145">
        <f t="shared" si="72"/>
        <v>1</v>
      </c>
    </row>
    <row r="1146" spans="13:13" x14ac:dyDescent="0.25">
      <c r="M1146">
        <f t="shared" si="72"/>
        <v>1</v>
      </c>
    </row>
    <row r="1147" spans="13:13" x14ac:dyDescent="0.25">
      <c r="M1147">
        <f t="shared" si="72"/>
        <v>1</v>
      </c>
    </row>
    <row r="1148" spans="13:13" x14ac:dyDescent="0.25">
      <c r="M1148">
        <f t="shared" si="72"/>
        <v>1</v>
      </c>
    </row>
    <row r="1149" spans="13:13" x14ac:dyDescent="0.25">
      <c r="M1149">
        <f t="shared" si="72"/>
        <v>1</v>
      </c>
    </row>
    <row r="1150" spans="13:13" x14ac:dyDescent="0.25">
      <c r="M1150">
        <f t="shared" si="72"/>
        <v>1</v>
      </c>
    </row>
    <row r="1151" spans="13:13" x14ac:dyDescent="0.25">
      <c r="M1151">
        <f t="shared" si="72"/>
        <v>1</v>
      </c>
    </row>
    <row r="1152" spans="13:13" x14ac:dyDescent="0.25">
      <c r="M1152">
        <f t="shared" si="72"/>
        <v>1</v>
      </c>
    </row>
    <row r="1153" spans="13:13" x14ac:dyDescent="0.25">
      <c r="M1153">
        <f t="shared" si="72"/>
        <v>1</v>
      </c>
    </row>
    <row r="1154" spans="13:13" x14ac:dyDescent="0.25">
      <c r="M1154">
        <f t="shared" ref="M1154:M1217" si="74">IF(OR(IF(K1154&lt;0.2,1,0),IF(L1154&lt;0.5,1,0)),1,0)</f>
        <v>1</v>
      </c>
    </row>
    <row r="1155" spans="13:13" x14ac:dyDescent="0.25">
      <c r="M1155">
        <f t="shared" si="74"/>
        <v>1</v>
      </c>
    </row>
    <row r="1156" spans="13:13" x14ac:dyDescent="0.25">
      <c r="M1156">
        <f t="shared" si="74"/>
        <v>1</v>
      </c>
    </row>
    <row r="1157" spans="13:13" x14ac:dyDescent="0.25">
      <c r="M1157">
        <f t="shared" si="74"/>
        <v>1</v>
      </c>
    </row>
    <row r="1158" spans="13:13" x14ac:dyDescent="0.25">
      <c r="M1158">
        <f t="shared" si="74"/>
        <v>1</v>
      </c>
    </row>
    <row r="1159" spans="13:13" x14ac:dyDescent="0.25">
      <c r="M1159">
        <f t="shared" si="74"/>
        <v>1</v>
      </c>
    </row>
    <row r="1160" spans="13:13" x14ac:dyDescent="0.25">
      <c r="M1160">
        <f t="shared" si="74"/>
        <v>1</v>
      </c>
    </row>
    <row r="1161" spans="13:13" x14ac:dyDescent="0.25">
      <c r="M1161">
        <f t="shared" si="74"/>
        <v>1</v>
      </c>
    </row>
    <row r="1162" spans="13:13" x14ac:dyDescent="0.25">
      <c r="M1162">
        <f t="shared" si="74"/>
        <v>1</v>
      </c>
    </row>
    <row r="1163" spans="13:13" x14ac:dyDescent="0.25">
      <c r="M1163">
        <f t="shared" si="74"/>
        <v>1</v>
      </c>
    </row>
    <row r="1164" spans="13:13" x14ac:dyDescent="0.25">
      <c r="M1164">
        <f t="shared" si="74"/>
        <v>1</v>
      </c>
    </row>
    <row r="1165" spans="13:13" x14ac:dyDescent="0.25">
      <c r="M1165">
        <f t="shared" si="74"/>
        <v>1</v>
      </c>
    </row>
    <row r="1166" spans="13:13" x14ac:dyDescent="0.25">
      <c r="M1166">
        <f t="shared" si="74"/>
        <v>1</v>
      </c>
    </row>
    <row r="1167" spans="13:13" x14ac:dyDescent="0.25">
      <c r="M1167">
        <f t="shared" si="74"/>
        <v>1</v>
      </c>
    </row>
    <row r="1168" spans="13:13" x14ac:dyDescent="0.25">
      <c r="M1168">
        <f t="shared" si="74"/>
        <v>1</v>
      </c>
    </row>
    <row r="1169" spans="13:13" x14ac:dyDescent="0.25">
      <c r="M1169">
        <f t="shared" si="74"/>
        <v>1</v>
      </c>
    </row>
    <row r="1170" spans="13:13" x14ac:dyDescent="0.25">
      <c r="M1170">
        <f t="shared" si="74"/>
        <v>1</v>
      </c>
    </row>
    <row r="1171" spans="13:13" x14ac:dyDescent="0.25">
      <c r="M1171">
        <f t="shared" si="74"/>
        <v>1</v>
      </c>
    </row>
    <row r="1172" spans="13:13" x14ac:dyDescent="0.25">
      <c r="M1172">
        <f t="shared" si="74"/>
        <v>1</v>
      </c>
    </row>
    <row r="1173" spans="13:13" x14ac:dyDescent="0.25">
      <c r="M1173">
        <f t="shared" si="74"/>
        <v>1</v>
      </c>
    </row>
    <row r="1174" spans="13:13" x14ac:dyDescent="0.25">
      <c r="M1174">
        <f t="shared" si="74"/>
        <v>1</v>
      </c>
    </row>
    <row r="1175" spans="13:13" x14ac:dyDescent="0.25">
      <c r="M1175">
        <f t="shared" si="74"/>
        <v>1</v>
      </c>
    </row>
    <row r="1176" spans="13:13" x14ac:dyDescent="0.25">
      <c r="M1176">
        <f t="shared" si="74"/>
        <v>1</v>
      </c>
    </row>
    <row r="1177" spans="13:13" x14ac:dyDescent="0.25">
      <c r="M1177">
        <f t="shared" si="74"/>
        <v>1</v>
      </c>
    </row>
    <row r="1178" spans="13:13" x14ac:dyDescent="0.25">
      <c r="M1178">
        <f t="shared" si="74"/>
        <v>1</v>
      </c>
    </row>
    <row r="1179" spans="13:13" x14ac:dyDescent="0.25">
      <c r="M1179">
        <f t="shared" si="74"/>
        <v>1</v>
      </c>
    </row>
    <row r="1180" spans="13:13" x14ac:dyDescent="0.25">
      <c r="M1180">
        <f t="shared" si="74"/>
        <v>1</v>
      </c>
    </row>
    <row r="1181" spans="13:13" x14ac:dyDescent="0.25">
      <c r="M1181">
        <f t="shared" si="74"/>
        <v>1</v>
      </c>
    </row>
    <row r="1182" spans="13:13" x14ac:dyDescent="0.25">
      <c r="M1182">
        <f t="shared" si="74"/>
        <v>1</v>
      </c>
    </row>
    <row r="1183" spans="13:13" x14ac:dyDescent="0.25">
      <c r="M1183">
        <f t="shared" si="74"/>
        <v>1</v>
      </c>
    </row>
    <row r="1184" spans="13:13" x14ac:dyDescent="0.25">
      <c r="M1184">
        <f t="shared" si="74"/>
        <v>1</v>
      </c>
    </row>
    <row r="1185" spans="13:13" x14ac:dyDescent="0.25">
      <c r="M1185">
        <f t="shared" si="74"/>
        <v>1</v>
      </c>
    </row>
    <row r="1186" spans="13:13" x14ac:dyDescent="0.25">
      <c r="M1186">
        <f t="shared" si="74"/>
        <v>1</v>
      </c>
    </row>
    <row r="1187" spans="13:13" x14ac:dyDescent="0.25">
      <c r="M1187">
        <f t="shared" si="74"/>
        <v>1</v>
      </c>
    </row>
    <row r="1188" spans="13:13" x14ac:dyDescent="0.25">
      <c r="M1188">
        <f t="shared" si="74"/>
        <v>1</v>
      </c>
    </row>
    <row r="1189" spans="13:13" x14ac:dyDescent="0.25">
      <c r="M1189">
        <f t="shared" si="74"/>
        <v>1</v>
      </c>
    </row>
    <row r="1190" spans="13:13" x14ac:dyDescent="0.25">
      <c r="M1190">
        <f t="shared" si="74"/>
        <v>1</v>
      </c>
    </row>
    <row r="1191" spans="13:13" x14ac:dyDescent="0.25">
      <c r="M1191">
        <f t="shared" si="74"/>
        <v>1</v>
      </c>
    </row>
    <row r="1192" spans="13:13" x14ac:dyDescent="0.25">
      <c r="M1192">
        <f t="shared" si="74"/>
        <v>1</v>
      </c>
    </row>
    <row r="1193" spans="13:13" x14ac:dyDescent="0.25">
      <c r="M1193">
        <f t="shared" si="74"/>
        <v>1</v>
      </c>
    </row>
    <row r="1194" spans="13:13" x14ac:dyDescent="0.25">
      <c r="M1194">
        <f t="shared" si="74"/>
        <v>1</v>
      </c>
    </row>
    <row r="1195" spans="13:13" x14ac:dyDescent="0.25">
      <c r="M1195">
        <f t="shared" si="74"/>
        <v>1</v>
      </c>
    </row>
    <row r="1196" spans="13:13" x14ac:dyDescent="0.25">
      <c r="M1196">
        <f t="shared" si="74"/>
        <v>1</v>
      </c>
    </row>
    <row r="1197" spans="13:13" x14ac:dyDescent="0.25">
      <c r="M1197">
        <f t="shared" si="74"/>
        <v>1</v>
      </c>
    </row>
    <row r="1198" spans="13:13" x14ac:dyDescent="0.25">
      <c r="M1198">
        <f t="shared" si="74"/>
        <v>1</v>
      </c>
    </row>
    <row r="1199" spans="13:13" x14ac:dyDescent="0.25">
      <c r="M1199">
        <f t="shared" si="74"/>
        <v>1</v>
      </c>
    </row>
    <row r="1200" spans="13:13" x14ac:dyDescent="0.25">
      <c r="M1200">
        <f t="shared" si="74"/>
        <v>1</v>
      </c>
    </row>
    <row r="1201" spans="13:13" x14ac:dyDescent="0.25">
      <c r="M1201">
        <f t="shared" si="74"/>
        <v>1</v>
      </c>
    </row>
    <row r="1202" spans="13:13" x14ac:dyDescent="0.25">
      <c r="M1202">
        <f t="shared" si="74"/>
        <v>1</v>
      </c>
    </row>
    <row r="1203" spans="13:13" x14ac:dyDescent="0.25">
      <c r="M1203">
        <f t="shared" si="74"/>
        <v>1</v>
      </c>
    </row>
    <row r="1204" spans="13:13" x14ac:dyDescent="0.25">
      <c r="M1204">
        <f t="shared" si="74"/>
        <v>1</v>
      </c>
    </row>
    <row r="1205" spans="13:13" x14ac:dyDescent="0.25">
      <c r="M1205">
        <f t="shared" si="74"/>
        <v>1</v>
      </c>
    </row>
    <row r="1206" spans="13:13" x14ac:dyDescent="0.25">
      <c r="M1206">
        <f t="shared" si="74"/>
        <v>1</v>
      </c>
    </row>
    <row r="1207" spans="13:13" x14ac:dyDescent="0.25">
      <c r="M1207">
        <f t="shared" si="74"/>
        <v>1</v>
      </c>
    </row>
    <row r="1208" spans="13:13" x14ac:dyDescent="0.25">
      <c r="M1208">
        <f t="shared" si="74"/>
        <v>1</v>
      </c>
    </row>
    <row r="1209" spans="13:13" x14ac:dyDescent="0.25">
      <c r="M1209">
        <f t="shared" si="74"/>
        <v>1</v>
      </c>
    </row>
    <row r="1210" spans="13:13" x14ac:dyDescent="0.25">
      <c r="M1210">
        <f t="shared" si="74"/>
        <v>1</v>
      </c>
    </row>
    <row r="1211" spans="13:13" x14ac:dyDescent="0.25">
      <c r="M1211">
        <f t="shared" si="74"/>
        <v>1</v>
      </c>
    </row>
    <row r="1212" spans="13:13" x14ac:dyDescent="0.25">
      <c r="M1212">
        <f t="shared" si="74"/>
        <v>1</v>
      </c>
    </row>
    <row r="1213" spans="13:13" x14ac:dyDescent="0.25">
      <c r="M1213">
        <f t="shared" si="74"/>
        <v>1</v>
      </c>
    </row>
    <row r="1214" spans="13:13" x14ac:dyDescent="0.25">
      <c r="M1214">
        <f t="shared" si="74"/>
        <v>1</v>
      </c>
    </row>
    <row r="1215" spans="13:13" x14ac:dyDescent="0.25">
      <c r="M1215">
        <f t="shared" si="74"/>
        <v>1</v>
      </c>
    </row>
    <row r="1216" spans="13:13" x14ac:dyDescent="0.25">
      <c r="M1216">
        <f t="shared" si="74"/>
        <v>1</v>
      </c>
    </row>
    <row r="1217" spans="13:13" x14ac:dyDescent="0.25">
      <c r="M1217">
        <f t="shared" si="74"/>
        <v>1</v>
      </c>
    </row>
    <row r="1218" spans="13:13" x14ac:dyDescent="0.25">
      <c r="M1218">
        <f t="shared" ref="M1218:M1281" si="75">IF(OR(IF(K1218&lt;0.2,1,0),IF(L1218&lt;0.5,1,0)),1,0)</f>
        <v>1</v>
      </c>
    </row>
    <row r="1219" spans="13:13" x14ac:dyDescent="0.25">
      <c r="M1219">
        <f t="shared" si="75"/>
        <v>1</v>
      </c>
    </row>
    <row r="1220" spans="13:13" x14ac:dyDescent="0.25">
      <c r="M1220">
        <f t="shared" si="75"/>
        <v>1</v>
      </c>
    </row>
    <row r="1221" spans="13:13" x14ac:dyDescent="0.25">
      <c r="M1221">
        <f t="shared" si="75"/>
        <v>1</v>
      </c>
    </row>
    <row r="1222" spans="13:13" x14ac:dyDescent="0.25">
      <c r="M1222">
        <f t="shared" si="75"/>
        <v>1</v>
      </c>
    </row>
    <row r="1223" spans="13:13" x14ac:dyDescent="0.25">
      <c r="M1223">
        <f t="shared" si="75"/>
        <v>1</v>
      </c>
    </row>
    <row r="1224" spans="13:13" x14ac:dyDescent="0.25">
      <c r="M1224">
        <f t="shared" si="75"/>
        <v>1</v>
      </c>
    </row>
    <row r="1225" spans="13:13" x14ac:dyDescent="0.25">
      <c r="M1225">
        <f t="shared" si="75"/>
        <v>1</v>
      </c>
    </row>
    <row r="1226" spans="13:13" x14ac:dyDescent="0.25">
      <c r="M1226">
        <f t="shared" si="75"/>
        <v>1</v>
      </c>
    </row>
    <row r="1227" spans="13:13" x14ac:dyDescent="0.25">
      <c r="M1227">
        <f t="shared" si="75"/>
        <v>1</v>
      </c>
    </row>
    <row r="1228" spans="13:13" x14ac:dyDescent="0.25">
      <c r="M1228">
        <f t="shared" si="75"/>
        <v>1</v>
      </c>
    </row>
    <row r="1229" spans="13:13" x14ac:dyDescent="0.25">
      <c r="M1229">
        <f t="shared" si="75"/>
        <v>1</v>
      </c>
    </row>
    <row r="1230" spans="13:13" x14ac:dyDescent="0.25">
      <c r="M1230">
        <f t="shared" si="75"/>
        <v>1</v>
      </c>
    </row>
    <row r="1231" spans="13:13" x14ac:dyDescent="0.25">
      <c r="M1231">
        <f t="shared" si="75"/>
        <v>1</v>
      </c>
    </row>
    <row r="1232" spans="13:13" x14ac:dyDescent="0.25">
      <c r="M1232">
        <f t="shared" si="75"/>
        <v>1</v>
      </c>
    </row>
    <row r="1233" spans="13:13" x14ac:dyDescent="0.25">
      <c r="M1233">
        <f t="shared" si="75"/>
        <v>1</v>
      </c>
    </row>
    <row r="1234" spans="13:13" x14ac:dyDescent="0.25">
      <c r="M1234">
        <f t="shared" si="75"/>
        <v>1</v>
      </c>
    </row>
    <row r="1235" spans="13:13" x14ac:dyDescent="0.25">
      <c r="M1235">
        <f t="shared" si="75"/>
        <v>1</v>
      </c>
    </row>
    <row r="1236" spans="13:13" x14ac:dyDescent="0.25">
      <c r="M1236">
        <f t="shared" si="75"/>
        <v>1</v>
      </c>
    </row>
    <row r="1237" spans="13:13" x14ac:dyDescent="0.25">
      <c r="M1237">
        <f t="shared" si="75"/>
        <v>1</v>
      </c>
    </row>
    <row r="1238" spans="13:13" x14ac:dyDescent="0.25">
      <c r="M1238">
        <f t="shared" si="75"/>
        <v>1</v>
      </c>
    </row>
    <row r="1239" spans="13:13" x14ac:dyDescent="0.25">
      <c r="M1239">
        <f t="shared" si="75"/>
        <v>1</v>
      </c>
    </row>
    <row r="1240" spans="13:13" x14ac:dyDescent="0.25">
      <c r="M1240">
        <f t="shared" si="75"/>
        <v>1</v>
      </c>
    </row>
    <row r="1241" spans="13:13" x14ac:dyDescent="0.25">
      <c r="M1241">
        <f t="shared" si="75"/>
        <v>1</v>
      </c>
    </row>
    <row r="1242" spans="13:13" x14ac:dyDescent="0.25">
      <c r="M1242">
        <f t="shared" si="75"/>
        <v>1</v>
      </c>
    </row>
    <row r="1243" spans="13:13" x14ac:dyDescent="0.25">
      <c r="M1243">
        <f t="shared" si="75"/>
        <v>1</v>
      </c>
    </row>
    <row r="1244" spans="13:13" x14ac:dyDescent="0.25">
      <c r="M1244">
        <f t="shared" si="75"/>
        <v>1</v>
      </c>
    </row>
    <row r="1245" spans="13:13" x14ac:dyDescent="0.25">
      <c r="M1245">
        <f t="shared" si="75"/>
        <v>1</v>
      </c>
    </row>
    <row r="1246" spans="13:13" x14ac:dyDescent="0.25">
      <c r="M1246">
        <f t="shared" si="75"/>
        <v>1</v>
      </c>
    </row>
    <row r="1247" spans="13:13" x14ac:dyDescent="0.25">
      <c r="M1247">
        <f t="shared" si="75"/>
        <v>1</v>
      </c>
    </row>
    <row r="1248" spans="13:13" x14ac:dyDescent="0.25">
      <c r="M1248">
        <f t="shared" si="75"/>
        <v>1</v>
      </c>
    </row>
    <row r="1249" spans="13:13" x14ac:dyDescent="0.25">
      <c r="M1249">
        <f t="shared" si="75"/>
        <v>1</v>
      </c>
    </row>
    <row r="1250" spans="13:13" x14ac:dyDescent="0.25">
      <c r="M1250">
        <f t="shared" si="75"/>
        <v>1</v>
      </c>
    </row>
    <row r="1251" spans="13:13" x14ac:dyDescent="0.25">
      <c r="M1251">
        <f t="shared" si="75"/>
        <v>1</v>
      </c>
    </row>
    <row r="1252" spans="13:13" x14ac:dyDescent="0.25">
      <c r="M1252">
        <f t="shared" si="75"/>
        <v>1</v>
      </c>
    </row>
    <row r="1253" spans="13:13" x14ac:dyDescent="0.25">
      <c r="M1253">
        <f t="shared" si="75"/>
        <v>1</v>
      </c>
    </row>
    <row r="1254" spans="13:13" x14ac:dyDescent="0.25">
      <c r="M1254">
        <f t="shared" si="75"/>
        <v>1</v>
      </c>
    </row>
    <row r="1255" spans="13:13" x14ac:dyDescent="0.25">
      <c r="M1255">
        <f t="shared" si="75"/>
        <v>1</v>
      </c>
    </row>
    <row r="1256" spans="13:13" x14ac:dyDescent="0.25">
      <c r="M1256">
        <f t="shared" si="75"/>
        <v>1</v>
      </c>
    </row>
    <row r="1257" spans="13:13" x14ac:dyDescent="0.25">
      <c r="M1257">
        <f t="shared" si="75"/>
        <v>1</v>
      </c>
    </row>
    <row r="1258" spans="13:13" x14ac:dyDescent="0.25">
      <c r="M1258">
        <f t="shared" si="75"/>
        <v>1</v>
      </c>
    </row>
    <row r="1259" spans="13:13" x14ac:dyDescent="0.25">
      <c r="M1259">
        <f t="shared" si="75"/>
        <v>1</v>
      </c>
    </row>
    <row r="1260" spans="13:13" x14ac:dyDescent="0.25">
      <c r="M1260">
        <f t="shared" si="75"/>
        <v>1</v>
      </c>
    </row>
    <row r="1261" spans="13:13" x14ac:dyDescent="0.25">
      <c r="M1261">
        <f t="shared" si="75"/>
        <v>1</v>
      </c>
    </row>
    <row r="1262" spans="13:13" x14ac:dyDescent="0.25">
      <c r="M1262">
        <f t="shared" si="75"/>
        <v>1</v>
      </c>
    </row>
    <row r="1263" spans="13:13" x14ac:dyDescent="0.25">
      <c r="M1263">
        <f t="shared" si="75"/>
        <v>1</v>
      </c>
    </row>
    <row r="1264" spans="13:13" x14ac:dyDescent="0.25">
      <c r="M1264">
        <f t="shared" si="75"/>
        <v>1</v>
      </c>
    </row>
    <row r="1265" spans="13:13" x14ac:dyDescent="0.25">
      <c r="M1265">
        <f t="shared" si="75"/>
        <v>1</v>
      </c>
    </row>
    <row r="1266" spans="13:13" x14ac:dyDescent="0.25">
      <c r="M1266">
        <f t="shared" si="75"/>
        <v>1</v>
      </c>
    </row>
    <row r="1267" spans="13:13" x14ac:dyDescent="0.25">
      <c r="M1267">
        <f t="shared" si="75"/>
        <v>1</v>
      </c>
    </row>
    <row r="1268" spans="13:13" x14ac:dyDescent="0.25">
      <c r="M1268">
        <f t="shared" si="75"/>
        <v>1</v>
      </c>
    </row>
    <row r="1269" spans="13:13" x14ac:dyDescent="0.25">
      <c r="M1269">
        <f t="shared" si="75"/>
        <v>1</v>
      </c>
    </row>
    <row r="1270" spans="13:13" x14ac:dyDescent="0.25">
      <c r="M1270">
        <f t="shared" si="75"/>
        <v>1</v>
      </c>
    </row>
    <row r="1271" spans="13:13" x14ac:dyDescent="0.25">
      <c r="M1271">
        <f t="shared" si="75"/>
        <v>1</v>
      </c>
    </row>
    <row r="1272" spans="13:13" x14ac:dyDescent="0.25">
      <c r="M1272">
        <f t="shared" si="75"/>
        <v>1</v>
      </c>
    </row>
    <row r="1273" spans="13:13" x14ac:dyDescent="0.25">
      <c r="M1273">
        <f t="shared" si="75"/>
        <v>1</v>
      </c>
    </row>
    <row r="1274" spans="13:13" x14ac:dyDescent="0.25">
      <c r="M1274">
        <f t="shared" si="75"/>
        <v>1</v>
      </c>
    </row>
    <row r="1275" spans="13:13" x14ac:dyDescent="0.25">
      <c r="M1275">
        <f t="shared" si="75"/>
        <v>1</v>
      </c>
    </row>
    <row r="1276" spans="13:13" x14ac:dyDescent="0.25">
      <c r="M1276">
        <f t="shared" si="75"/>
        <v>1</v>
      </c>
    </row>
    <row r="1277" spans="13:13" x14ac:dyDescent="0.25">
      <c r="M1277">
        <f t="shared" si="75"/>
        <v>1</v>
      </c>
    </row>
    <row r="1278" spans="13:13" x14ac:dyDescent="0.25">
      <c r="M1278">
        <f t="shared" si="75"/>
        <v>1</v>
      </c>
    </row>
    <row r="1279" spans="13:13" x14ac:dyDescent="0.25">
      <c r="M1279">
        <f t="shared" si="75"/>
        <v>1</v>
      </c>
    </row>
    <row r="1280" spans="13:13" x14ac:dyDescent="0.25">
      <c r="M1280">
        <f t="shared" si="75"/>
        <v>1</v>
      </c>
    </row>
    <row r="1281" spans="13:13" x14ac:dyDescent="0.25">
      <c r="M1281">
        <f t="shared" si="75"/>
        <v>1</v>
      </c>
    </row>
    <row r="1282" spans="13:13" x14ac:dyDescent="0.25">
      <c r="M1282">
        <f t="shared" ref="M1282:M1345" si="76">IF(OR(IF(K1282&lt;0.2,1,0),IF(L1282&lt;0.5,1,0)),1,0)</f>
        <v>1</v>
      </c>
    </row>
    <row r="1283" spans="13:13" x14ac:dyDescent="0.25">
      <c r="M1283">
        <f t="shared" si="76"/>
        <v>1</v>
      </c>
    </row>
    <row r="1284" spans="13:13" x14ac:dyDescent="0.25">
      <c r="M1284">
        <f t="shared" si="76"/>
        <v>1</v>
      </c>
    </row>
    <row r="1285" spans="13:13" x14ac:dyDescent="0.25">
      <c r="M1285">
        <f t="shared" si="76"/>
        <v>1</v>
      </c>
    </row>
    <row r="1286" spans="13:13" x14ac:dyDescent="0.25">
      <c r="M1286">
        <f t="shared" si="76"/>
        <v>1</v>
      </c>
    </row>
    <row r="1287" spans="13:13" x14ac:dyDescent="0.25">
      <c r="M1287">
        <f t="shared" si="76"/>
        <v>1</v>
      </c>
    </row>
    <row r="1288" spans="13:13" x14ac:dyDescent="0.25">
      <c r="M1288">
        <f t="shared" si="76"/>
        <v>1</v>
      </c>
    </row>
    <row r="1289" spans="13:13" x14ac:dyDescent="0.25">
      <c r="M1289">
        <f t="shared" si="76"/>
        <v>1</v>
      </c>
    </row>
    <row r="1290" spans="13:13" x14ac:dyDescent="0.25">
      <c r="M1290">
        <f t="shared" si="76"/>
        <v>1</v>
      </c>
    </row>
    <row r="1291" spans="13:13" x14ac:dyDescent="0.25">
      <c r="M1291">
        <f t="shared" si="76"/>
        <v>1</v>
      </c>
    </row>
    <row r="1292" spans="13:13" x14ac:dyDescent="0.25">
      <c r="M1292">
        <f t="shared" si="76"/>
        <v>1</v>
      </c>
    </row>
    <row r="1293" spans="13:13" x14ac:dyDescent="0.25">
      <c r="M1293">
        <f t="shared" si="76"/>
        <v>1</v>
      </c>
    </row>
    <row r="1294" spans="13:13" x14ac:dyDescent="0.25">
      <c r="M1294">
        <f t="shared" si="76"/>
        <v>1</v>
      </c>
    </row>
    <row r="1295" spans="13:13" x14ac:dyDescent="0.25">
      <c r="M1295">
        <f t="shared" si="76"/>
        <v>1</v>
      </c>
    </row>
    <row r="1296" spans="13:13" x14ac:dyDescent="0.25">
      <c r="M1296">
        <f t="shared" si="76"/>
        <v>1</v>
      </c>
    </row>
    <row r="1297" spans="13:13" x14ac:dyDescent="0.25">
      <c r="M1297">
        <f t="shared" si="76"/>
        <v>1</v>
      </c>
    </row>
    <row r="1298" spans="13:13" x14ac:dyDescent="0.25">
      <c r="M1298">
        <f t="shared" si="76"/>
        <v>1</v>
      </c>
    </row>
    <row r="1299" spans="13:13" x14ac:dyDescent="0.25">
      <c r="M1299">
        <f t="shared" si="76"/>
        <v>1</v>
      </c>
    </row>
    <row r="1300" spans="13:13" x14ac:dyDescent="0.25">
      <c r="M1300">
        <f t="shared" si="76"/>
        <v>1</v>
      </c>
    </row>
    <row r="1301" spans="13:13" x14ac:dyDescent="0.25">
      <c r="M1301">
        <f t="shared" si="76"/>
        <v>1</v>
      </c>
    </row>
    <row r="1302" spans="13:13" x14ac:dyDescent="0.25">
      <c r="M1302">
        <f t="shared" si="76"/>
        <v>1</v>
      </c>
    </row>
    <row r="1303" spans="13:13" x14ac:dyDescent="0.25">
      <c r="M1303">
        <f t="shared" si="76"/>
        <v>1</v>
      </c>
    </row>
    <row r="1304" spans="13:13" x14ac:dyDescent="0.25">
      <c r="M1304">
        <f t="shared" si="76"/>
        <v>1</v>
      </c>
    </row>
    <row r="1305" spans="13:13" x14ac:dyDescent="0.25">
      <c r="M1305">
        <f t="shared" si="76"/>
        <v>1</v>
      </c>
    </row>
    <row r="1306" spans="13:13" x14ac:dyDescent="0.25">
      <c r="M1306">
        <f t="shared" si="76"/>
        <v>1</v>
      </c>
    </row>
    <row r="1307" spans="13:13" x14ac:dyDescent="0.25">
      <c r="M1307">
        <f t="shared" si="76"/>
        <v>1</v>
      </c>
    </row>
    <row r="1308" spans="13:13" x14ac:dyDescent="0.25">
      <c r="M1308">
        <f t="shared" si="76"/>
        <v>1</v>
      </c>
    </row>
    <row r="1309" spans="13:13" x14ac:dyDescent="0.25">
      <c r="M1309">
        <f t="shared" si="76"/>
        <v>1</v>
      </c>
    </row>
    <row r="1310" spans="13:13" x14ac:dyDescent="0.25">
      <c r="M1310">
        <f t="shared" si="76"/>
        <v>1</v>
      </c>
    </row>
    <row r="1311" spans="13:13" x14ac:dyDescent="0.25">
      <c r="M1311">
        <f t="shared" si="76"/>
        <v>1</v>
      </c>
    </row>
    <row r="1312" spans="13:13" x14ac:dyDescent="0.25">
      <c r="M1312">
        <f t="shared" si="76"/>
        <v>1</v>
      </c>
    </row>
    <row r="1313" spans="13:13" x14ac:dyDescent="0.25">
      <c r="M1313">
        <f t="shared" si="76"/>
        <v>1</v>
      </c>
    </row>
    <row r="1314" spans="13:13" x14ac:dyDescent="0.25">
      <c r="M1314">
        <f t="shared" si="76"/>
        <v>1</v>
      </c>
    </row>
    <row r="1315" spans="13:13" x14ac:dyDescent="0.25">
      <c r="M1315">
        <f t="shared" si="76"/>
        <v>1</v>
      </c>
    </row>
    <row r="1316" spans="13:13" x14ac:dyDescent="0.25">
      <c r="M1316">
        <f t="shared" si="76"/>
        <v>1</v>
      </c>
    </row>
    <row r="1317" spans="13:13" x14ac:dyDescent="0.25">
      <c r="M1317">
        <f t="shared" si="76"/>
        <v>1</v>
      </c>
    </row>
    <row r="1318" spans="13:13" x14ac:dyDescent="0.25">
      <c r="M1318">
        <f t="shared" si="76"/>
        <v>1</v>
      </c>
    </row>
    <row r="1319" spans="13:13" x14ac:dyDescent="0.25">
      <c r="M1319">
        <f t="shared" si="76"/>
        <v>1</v>
      </c>
    </row>
    <row r="1320" spans="13:13" x14ac:dyDescent="0.25">
      <c r="M1320">
        <f t="shared" si="76"/>
        <v>1</v>
      </c>
    </row>
    <row r="1321" spans="13:13" x14ac:dyDescent="0.25">
      <c r="M1321">
        <f t="shared" si="76"/>
        <v>1</v>
      </c>
    </row>
    <row r="1322" spans="13:13" x14ac:dyDescent="0.25">
      <c r="M1322">
        <f t="shared" si="76"/>
        <v>1</v>
      </c>
    </row>
    <row r="1323" spans="13:13" x14ac:dyDescent="0.25">
      <c r="M1323">
        <f t="shared" si="76"/>
        <v>1</v>
      </c>
    </row>
    <row r="1324" spans="13:13" x14ac:dyDescent="0.25">
      <c r="M1324">
        <f t="shared" si="76"/>
        <v>1</v>
      </c>
    </row>
    <row r="1325" spans="13:13" x14ac:dyDescent="0.25">
      <c r="M1325">
        <f t="shared" si="76"/>
        <v>1</v>
      </c>
    </row>
    <row r="1326" spans="13:13" x14ac:dyDescent="0.25">
      <c r="M1326">
        <f t="shared" si="76"/>
        <v>1</v>
      </c>
    </row>
    <row r="1327" spans="13:13" x14ac:dyDescent="0.25">
      <c r="M1327">
        <f t="shared" si="76"/>
        <v>1</v>
      </c>
    </row>
    <row r="1328" spans="13:13" x14ac:dyDescent="0.25">
      <c r="M1328">
        <f t="shared" si="76"/>
        <v>1</v>
      </c>
    </row>
    <row r="1329" spans="13:13" x14ac:dyDescent="0.25">
      <c r="M1329">
        <f t="shared" si="76"/>
        <v>1</v>
      </c>
    </row>
    <row r="1330" spans="13:13" x14ac:dyDescent="0.25">
      <c r="M1330">
        <f t="shared" si="76"/>
        <v>1</v>
      </c>
    </row>
    <row r="1331" spans="13:13" x14ac:dyDescent="0.25">
      <c r="M1331">
        <f t="shared" si="76"/>
        <v>1</v>
      </c>
    </row>
    <row r="1332" spans="13:13" x14ac:dyDescent="0.25">
      <c r="M1332">
        <f t="shared" si="76"/>
        <v>1</v>
      </c>
    </row>
    <row r="1333" spans="13:13" x14ac:dyDescent="0.25">
      <c r="M1333">
        <f t="shared" si="76"/>
        <v>1</v>
      </c>
    </row>
    <row r="1334" spans="13:13" x14ac:dyDescent="0.25">
      <c r="M1334">
        <f t="shared" si="76"/>
        <v>1</v>
      </c>
    </row>
    <row r="1335" spans="13:13" x14ac:dyDescent="0.25">
      <c r="M1335">
        <f t="shared" si="76"/>
        <v>1</v>
      </c>
    </row>
    <row r="1336" spans="13:13" x14ac:dyDescent="0.25">
      <c r="M1336">
        <f t="shared" si="76"/>
        <v>1</v>
      </c>
    </row>
    <row r="1337" spans="13:13" x14ac:dyDescent="0.25">
      <c r="M1337">
        <f t="shared" si="76"/>
        <v>1</v>
      </c>
    </row>
    <row r="1338" spans="13:13" x14ac:dyDescent="0.25">
      <c r="M1338">
        <f t="shared" si="76"/>
        <v>1</v>
      </c>
    </row>
    <row r="1339" spans="13:13" x14ac:dyDescent="0.25">
      <c r="M1339">
        <f t="shared" si="76"/>
        <v>1</v>
      </c>
    </row>
    <row r="1340" spans="13:13" x14ac:dyDescent="0.25">
      <c r="M1340">
        <f t="shared" si="76"/>
        <v>1</v>
      </c>
    </row>
    <row r="1341" spans="13:13" x14ac:dyDescent="0.25">
      <c r="M1341">
        <f t="shared" si="76"/>
        <v>1</v>
      </c>
    </row>
    <row r="1342" spans="13:13" x14ac:dyDescent="0.25">
      <c r="M1342">
        <f t="shared" si="76"/>
        <v>1</v>
      </c>
    </row>
    <row r="1343" spans="13:13" x14ac:dyDescent="0.25">
      <c r="M1343">
        <f t="shared" si="76"/>
        <v>1</v>
      </c>
    </row>
    <row r="1344" spans="13:13" x14ac:dyDescent="0.25">
      <c r="M1344">
        <f t="shared" si="76"/>
        <v>1</v>
      </c>
    </row>
    <row r="1345" spans="13:13" x14ac:dyDescent="0.25">
      <c r="M1345">
        <f t="shared" si="76"/>
        <v>1</v>
      </c>
    </row>
    <row r="1346" spans="13:13" x14ac:dyDescent="0.25">
      <c r="M1346">
        <f t="shared" ref="M1346:M1409" si="77">IF(OR(IF(K1346&lt;0.2,1,0),IF(L1346&lt;0.5,1,0)),1,0)</f>
        <v>1</v>
      </c>
    </row>
    <row r="1347" spans="13:13" x14ac:dyDescent="0.25">
      <c r="M1347">
        <f t="shared" si="77"/>
        <v>1</v>
      </c>
    </row>
    <row r="1348" spans="13:13" x14ac:dyDescent="0.25">
      <c r="M1348">
        <f t="shared" si="77"/>
        <v>1</v>
      </c>
    </row>
    <row r="1349" spans="13:13" x14ac:dyDescent="0.25">
      <c r="M1349">
        <f t="shared" si="77"/>
        <v>1</v>
      </c>
    </row>
    <row r="1350" spans="13:13" x14ac:dyDescent="0.25">
      <c r="M1350">
        <f t="shared" si="77"/>
        <v>1</v>
      </c>
    </row>
    <row r="1351" spans="13:13" x14ac:dyDescent="0.25">
      <c r="M1351">
        <f t="shared" si="77"/>
        <v>1</v>
      </c>
    </row>
    <row r="1352" spans="13:13" x14ac:dyDescent="0.25">
      <c r="M1352">
        <f t="shared" si="77"/>
        <v>1</v>
      </c>
    </row>
    <row r="1353" spans="13:13" x14ac:dyDescent="0.25">
      <c r="M1353">
        <f t="shared" si="77"/>
        <v>1</v>
      </c>
    </row>
    <row r="1354" spans="13:13" x14ac:dyDescent="0.25">
      <c r="M1354">
        <f t="shared" si="77"/>
        <v>1</v>
      </c>
    </row>
    <row r="1355" spans="13:13" x14ac:dyDescent="0.25">
      <c r="M1355">
        <f t="shared" si="77"/>
        <v>1</v>
      </c>
    </row>
    <row r="1356" spans="13:13" x14ac:dyDescent="0.25">
      <c r="M1356">
        <f t="shared" si="77"/>
        <v>1</v>
      </c>
    </row>
    <row r="1357" spans="13:13" x14ac:dyDescent="0.25">
      <c r="M1357">
        <f t="shared" si="77"/>
        <v>1</v>
      </c>
    </row>
    <row r="1358" spans="13:13" x14ac:dyDescent="0.25">
      <c r="M1358">
        <f t="shared" si="77"/>
        <v>1</v>
      </c>
    </row>
    <row r="1359" spans="13:13" x14ac:dyDescent="0.25">
      <c r="M1359">
        <f t="shared" si="77"/>
        <v>1</v>
      </c>
    </row>
    <row r="1360" spans="13:13" x14ac:dyDescent="0.25">
      <c r="M1360">
        <f t="shared" si="77"/>
        <v>1</v>
      </c>
    </row>
    <row r="1361" spans="13:13" x14ac:dyDescent="0.25">
      <c r="M1361">
        <f t="shared" si="77"/>
        <v>1</v>
      </c>
    </row>
    <row r="1362" spans="13:13" x14ac:dyDescent="0.25">
      <c r="M1362">
        <f t="shared" si="77"/>
        <v>1</v>
      </c>
    </row>
    <row r="1363" spans="13:13" x14ac:dyDescent="0.25">
      <c r="M1363">
        <f t="shared" si="77"/>
        <v>1</v>
      </c>
    </row>
    <row r="1364" spans="13:13" x14ac:dyDescent="0.25">
      <c r="M1364">
        <f t="shared" si="77"/>
        <v>1</v>
      </c>
    </row>
    <row r="1365" spans="13:13" x14ac:dyDescent="0.25">
      <c r="M1365">
        <f t="shared" si="77"/>
        <v>1</v>
      </c>
    </row>
    <row r="1366" spans="13:13" x14ac:dyDescent="0.25">
      <c r="M1366">
        <f t="shared" si="77"/>
        <v>1</v>
      </c>
    </row>
    <row r="1367" spans="13:13" x14ac:dyDescent="0.25">
      <c r="M1367">
        <f t="shared" si="77"/>
        <v>1</v>
      </c>
    </row>
    <row r="1368" spans="13:13" x14ac:dyDescent="0.25">
      <c r="M1368">
        <f t="shared" si="77"/>
        <v>1</v>
      </c>
    </row>
    <row r="1369" spans="13:13" x14ac:dyDescent="0.25">
      <c r="M1369">
        <f t="shared" si="77"/>
        <v>1</v>
      </c>
    </row>
    <row r="1370" spans="13:13" x14ac:dyDescent="0.25">
      <c r="M1370">
        <f t="shared" si="77"/>
        <v>1</v>
      </c>
    </row>
    <row r="1371" spans="13:13" x14ac:dyDescent="0.25">
      <c r="M1371">
        <f t="shared" si="77"/>
        <v>1</v>
      </c>
    </row>
    <row r="1372" spans="13:13" x14ac:dyDescent="0.25">
      <c r="M1372">
        <f t="shared" si="77"/>
        <v>1</v>
      </c>
    </row>
    <row r="1373" spans="13:13" x14ac:dyDescent="0.25">
      <c r="M1373">
        <f t="shared" si="77"/>
        <v>1</v>
      </c>
    </row>
    <row r="1374" spans="13:13" x14ac:dyDescent="0.25">
      <c r="M1374">
        <f t="shared" si="77"/>
        <v>1</v>
      </c>
    </row>
    <row r="1375" spans="13:13" x14ac:dyDescent="0.25">
      <c r="M1375">
        <f t="shared" si="77"/>
        <v>1</v>
      </c>
    </row>
    <row r="1376" spans="13:13" x14ac:dyDescent="0.25">
      <c r="M1376">
        <f t="shared" si="77"/>
        <v>1</v>
      </c>
    </row>
    <row r="1377" spans="13:13" x14ac:dyDescent="0.25">
      <c r="M1377">
        <f t="shared" si="77"/>
        <v>1</v>
      </c>
    </row>
    <row r="1378" spans="13:13" x14ac:dyDescent="0.25">
      <c r="M1378">
        <f t="shared" si="77"/>
        <v>1</v>
      </c>
    </row>
    <row r="1379" spans="13:13" x14ac:dyDescent="0.25">
      <c r="M1379">
        <f t="shared" si="77"/>
        <v>1</v>
      </c>
    </row>
    <row r="1380" spans="13:13" x14ac:dyDescent="0.25">
      <c r="M1380">
        <f t="shared" si="77"/>
        <v>1</v>
      </c>
    </row>
    <row r="1381" spans="13:13" x14ac:dyDescent="0.25">
      <c r="M1381">
        <f t="shared" si="77"/>
        <v>1</v>
      </c>
    </row>
    <row r="1382" spans="13:13" x14ac:dyDescent="0.25">
      <c r="M1382">
        <f t="shared" si="77"/>
        <v>1</v>
      </c>
    </row>
    <row r="1383" spans="13:13" x14ac:dyDescent="0.25">
      <c r="M1383">
        <f t="shared" si="77"/>
        <v>1</v>
      </c>
    </row>
    <row r="1384" spans="13:13" x14ac:dyDescent="0.25">
      <c r="M1384">
        <f t="shared" si="77"/>
        <v>1</v>
      </c>
    </row>
    <row r="1385" spans="13:13" x14ac:dyDescent="0.25">
      <c r="M1385">
        <f t="shared" si="77"/>
        <v>1</v>
      </c>
    </row>
    <row r="1386" spans="13:13" x14ac:dyDescent="0.25">
      <c r="M1386">
        <f t="shared" si="77"/>
        <v>1</v>
      </c>
    </row>
    <row r="1387" spans="13:13" x14ac:dyDescent="0.25">
      <c r="M1387">
        <f t="shared" si="77"/>
        <v>1</v>
      </c>
    </row>
    <row r="1388" spans="13:13" x14ac:dyDescent="0.25">
      <c r="M1388">
        <f t="shared" si="77"/>
        <v>1</v>
      </c>
    </row>
    <row r="1389" spans="13:13" x14ac:dyDescent="0.25">
      <c r="M1389">
        <f t="shared" si="77"/>
        <v>1</v>
      </c>
    </row>
    <row r="1390" spans="13:13" x14ac:dyDescent="0.25">
      <c r="M1390">
        <f t="shared" si="77"/>
        <v>1</v>
      </c>
    </row>
    <row r="1391" spans="13:13" x14ac:dyDescent="0.25">
      <c r="M1391">
        <f t="shared" si="77"/>
        <v>1</v>
      </c>
    </row>
    <row r="1392" spans="13:13" x14ac:dyDescent="0.25">
      <c r="M1392">
        <f t="shared" si="77"/>
        <v>1</v>
      </c>
    </row>
    <row r="1393" spans="13:13" x14ac:dyDescent="0.25">
      <c r="M1393">
        <f t="shared" si="77"/>
        <v>1</v>
      </c>
    </row>
    <row r="1394" spans="13:13" x14ac:dyDescent="0.25">
      <c r="M1394">
        <f t="shared" si="77"/>
        <v>1</v>
      </c>
    </row>
    <row r="1395" spans="13:13" x14ac:dyDescent="0.25">
      <c r="M1395">
        <f t="shared" si="77"/>
        <v>1</v>
      </c>
    </row>
    <row r="1396" spans="13:13" x14ac:dyDescent="0.25">
      <c r="M1396">
        <f t="shared" si="77"/>
        <v>1</v>
      </c>
    </row>
    <row r="1397" spans="13:13" x14ac:dyDescent="0.25">
      <c r="M1397">
        <f t="shared" si="77"/>
        <v>1</v>
      </c>
    </row>
    <row r="1398" spans="13:13" x14ac:dyDescent="0.25">
      <c r="M1398">
        <f t="shared" si="77"/>
        <v>1</v>
      </c>
    </row>
    <row r="1399" spans="13:13" x14ac:dyDescent="0.25">
      <c r="M1399">
        <f t="shared" si="77"/>
        <v>1</v>
      </c>
    </row>
    <row r="1400" spans="13:13" x14ac:dyDescent="0.25">
      <c r="M1400">
        <f t="shared" si="77"/>
        <v>1</v>
      </c>
    </row>
    <row r="1401" spans="13:13" x14ac:dyDescent="0.25">
      <c r="M1401">
        <f t="shared" si="77"/>
        <v>1</v>
      </c>
    </row>
    <row r="1402" spans="13:13" x14ac:dyDescent="0.25">
      <c r="M1402">
        <f t="shared" si="77"/>
        <v>1</v>
      </c>
    </row>
    <row r="1403" spans="13:13" x14ac:dyDescent="0.25">
      <c r="M1403">
        <f t="shared" si="77"/>
        <v>1</v>
      </c>
    </row>
    <row r="1404" spans="13:13" x14ac:dyDescent="0.25">
      <c r="M1404">
        <f t="shared" si="77"/>
        <v>1</v>
      </c>
    </row>
    <row r="1405" spans="13:13" x14ac:dyDescent="0.25">
      <c r="M1405">
        <f t="shared" si="77"/>
        <v>1</v>
      </c>
    </row>
    <row r="1406" spans="13:13" x14ac:dyDescent="0.25">
      <c r="M1406">
        <f t="shared" si="77"/>
        <v>1</v>
      </c>
    </row>
    <row r="1407" spans="13:13" x14ac:dyDescent="0.25">
      <c r="M1407">
        <f t="shared" si="77"/>
        <v>1</v>
      </c>
    </row>
    <row r="1408" spans="13:13" x14ac:dyDescent="0.25">
      <c r="M1408">
        <f t="shared" si="77"/>
        <v>1</v>
      </c>
    </row>
    <row r="1409" spans="13:13" x14ac:dyDescent="0.25">
      <c r="M1409">
        <f t="shared" si="77"/>
        <v>1</v>
      </c>
    </row>
    <row r="1410" spans="13:13" x14ac:dyDescent="0.25">
      <c r="M1410">
        <f t="shared" ref="M1410:M1473" si="78">IF(OR(IF(K1410&lt;0.2,1,0),IF(L1410&lt;0.5,1,0)),1,0)</f>
        <v>1</v>
      </c>
    </row>
    <row r="1411" spans="13:13" x14ac:dyDescent="0.25">
      <c r="M1411">
        <f t="shared" si="78"/>
        <v>1</v>
      </c>
    </row>
    <row r="1412" spans="13:13" x14ac:dyDescent="0.25">
      <c r="M1412">
        <f t="shared" si="78"/>
        <v>1</v>
      </c>
    </row>
    <row r="1413" spans="13:13" x14ac:dyDescent="0.25">
      <c r="M1413">
        <f t="shared" si="78"/>
        <v>1</v>
      </c>
    </row>
    <row r="1414" spans="13:13" x14ac:dyDescent="0.25">
      <c r="M1414">
        <f t="shared" si="78"/>
        <v>1</v>
      </c>
    </row>
    <row r="1415" spans="13:13" x14ac:dyDescent="0.25">
      <c r="M1415">
        <f t="shared" si="78"/>
        <v>1</v>
      </c>
    </row>
    <row r="1416" spans="13:13" x14ac:dyDescent="0.25">
      <c r="M1416">
        <f t="shared" si="78"/>
        <v>1</v>
      </c>
    </row>
    <row r="1417" spans="13:13" x14ac:dyDescent="0.25">
      <c r="M1417">
        <f t="shared" si="78"/>
        <v>1</v>
      </c>
    </row>
    <row r="1418" spans="13:13" x14ac:dyDescent="0.25">
      <c r="M1418">
        <f t="shared" si="78"/>
        <v>1</v>
      </c>
    </row>
    <row r="1419" spans="13:13" x14ac:dyDescent="0.25">
      <c r="M1419">
        <f t="shared" si="78"/>
        <v>1</v>
      </c>
    </row>
    <row r="1420" spans="13:13" x14ac:dyDescent="0.25">
      <c r="M1420">
        <f t="shared" si="78"/>
        <v>1</v>
      </c>
    </row>
    <row r="1421" spans="13:13" x14ac:dyDescent="0.25">
      <c r="M1421">
        <f t="shared" si="78"/>
        <v>1</v>
      </c>
    </row>
    <row r="1422" spans="13:13" x14ac:dyDescent="0.25">
      <c r="M1422">
        <f t="shared" si="78"/>
        <v>1</v>
      </c>
    </row>
    <row r="1423" spans="13:13" x14ac:dyDescent="0.25">
      <c r="M1423">
        <f t="shared" si="78"/>
        <v>1</v>
      </c>
    </row>
    <row r="1424" spans="13:13" x14ac:dyDescent="0.25">
      <c r="M1424">
        <f t="shared" si="78"/>
        <v>1</v>
      </c>
    </row>
    <row r="1425" spans="13:13" x14ac:dyDescent="0.25">
      <c r="M1425">
        <f t="shared" si="78"/>
        <v>1</v>
      </c>
    </row>
    <row r="1426" spans="13:13" x14ac:dyDescent="0.25">
      <c r="M1426">
        <f t="shared" si="78"/>
        <v>1</v>
      </c>
    </row>
    <row r="1427" spans="13:13" x14ac:dyDescent="0.25">
      <c r="M1427">
        <f t="shared" si="78"/>
        <v>1</v>
      </c>
    </row>
    <row r="1428" spans="13:13" x14ac:dyDescent="0.25">
      <c r="M1428">
        <f t="shared" si="78"/>
        <v>1</v>
      </c>
    </row>
    <row r="1429" spans="13:13" x14ac:dyDescent="0.25">
      <c r="M1429">
        <f t="shared" si="78"/>
        <v>1</v>
      </c>
    </row>
    <row r="1430" spans="13:13" x14ac:dyDescent="0.25">
      <c r="M1430">
        <f t="shared" si="78"/>
        <v>1</v>
      </c>
    </row>
    <row r="1431" spans="13:13" x14ac:dyDescent="0.25">
      <c r="M1431">
        <f t="shared" si="78"/>
        <v>1</v>
      </c>
    </row>
    <row r="1432" spans="13:13" x14ac:dyDescent="0.25">
      <c r="M1432">
        <f t="shared" si="78"/>
        <v>1</v>
      </c>
    </row>
    <row r="1433" spans="13:13" x14ac:dyDescent="0.25">
      <c r="M1433">
        <f t="shared" si="78"/>
        <v>1</v>
      </c>
    </row>
    <row r="1434" spans="13:13" x14ac:dyDescent="0.25">
      <c r="M1434">
        <f t="shared" si="78"/>
        <v>1</v>
      </c>
    </row>
    <row r="1435" spans="13:13" x14ac:dyDescent="0.25">
      <c r="M1435">
        <f t="shared" si="78"/>
        <v>1</v>
      </c>
    </row>
    <row r="1436" spans="13:13" x14ac:dyDescent="0.25">
      <c r="M1436">
        <f t="shared" si="78"/>
        <v>1</v>
      </c>
    </row>
    <row r="1437" spans="13:13" x14ac:dyDescent="0.25">
      <c r="M1437">
        <f t="shared" si="78"/>
        <v>1</v>
      </c>
    </row>
    <row r="1438" spans="13:13" x14ac:dyDescent="0.25">
      <c r="M1438">
        <f t="shared" si="78"/>
        <v>1</v>
      </c>
    </row>
    <row r="1439" spans="13:13" x14ac:dyDescent="0.25">
      <c r="M1439">
        <f t="shared" si="78"/>
        <v>1</v>
      </c>
    </row>
    <row r="1440" spans="13:13" x14ac:dyDescent="0.25">
      <c r="M1440">
        <f t="shared" si="78"/>
        <v>1</v>
      </c>
    </row>
    <row r="1441" spans="13:13" x14ac:dyDescent="0.25">
      <c r="M1441">
        <f t="shared" si="78"/>
        <v>1</v>
      </c>
    </row>
    <row r="1442" spans="13:13" x14ac:dyDescent="0.25">
      <c r="M1442">
        <f t="shared" si="78"/>
        <v>1</v>
      </c>
    </row>
    <row r="1443" spans="13:13" x14ac:dyDescent="0.25">
      <c r="M1443">
        <f t="shared" si="78"/>
        <v>1</v>
      </c>
    </row>
    <row r="1444" spans="13:13" x14ac:dyDescent="0.25">
      <c r="M1444">
        <f t="shared" si="78"/>
        <v>1</v>
      </c>
    </row>
    <row r="1445" spans="13:13" x14ac:dyDescent="0.25">
      <c r="M1445">
        <f t="shared" si="78"/>
        <v>1</v>
      </c>
    </row>
    <row r="1446" spans="13:13" x14ac:dyDescent="0.25">
      <c r="M1446">
        <f t="shared" si="78"/>
        <v>1</v>
      </c>
    </row>
    <row r="1447" spans="13:13" x14ac:dyDescent="0.25">
      <c r="M1447">
        <f t="shared" si="78"/>
        <v>1</v>
      </c>
    </row>
    <row r="1448" spans="13:13" x14ac:dyDescent="0.25">
      <c r="M1448">
        <f t="shared" si="78"/>
        <v>1</v>
      </c>
    </row>
    <row r="1449" spans="13:13" x14ac:dyDescent="0.25">
      <c r="M1449">
        <f t="shared" si="78"/>
        <v>1</v>
      </c>
    </row>
    <row r="1450" spans="13:13" x14ac:dyDescent="0.25">
      <c r="M1450">
        <f t="shared" si="78"/>
        <v>1</v>
      </c>
    </row>
    <row r="1451" spans="13:13" x14ac:dyDescent="0.25">
      <c r="M1451">
        <f t="shared" si="78"/>
        <v>1</v>
      </c>
    </row>
    <row r="1452" spans="13:13" x14ac:dyDescent="0.25">
      <c r="M1452">
        <f t="shared" si="78"/>
        <v>1</v>
      </c>
    </row>
    <row r="1453" spans="13:13" x14ac:dyDescent="0.25">
      <c r="M1453">
        <f t="shared" si="78"/>
        <v>1</v>
      </c>
    </row>
    <row r="1454" spans="13:13" x14ac:dyDescent="0.25">
      <c r="M1454">
        <f t="shared" si="78"/>
        <v>1</v>
      </c>
    </row>
    <row r="1455" spans="13:13" x14ac:dyDescent="0.25">
      <c r="M1455">
        <f t="shared" si="78"/>
        <v>1</v>
      </c>
    </row>
    <row r="1456" spans="13:13" x14ac:dyDescent="0.25">
      <c r="M1456">
        <f t="shared" si="78"/>
        <v>1</v>
      </c>
    </row>
    <row r="1457" spans="13:13" x14ac:dyDescent="0.25">
      <c r="M1457">
        <f t="shared" si="78"/>
        <v>1</v>
      </c>
    </row>
    <row r="1458" spans="13:13" x14ac:dyDescent="0.25">
      <c r="M1458">
        <f t="shared" si="78"/>
        <v>1</v>
      </c>
    </row>
    <row r="1459" spans="13:13" x14ac:dyDescent="0.25">
      <c r="M1459">
        <f t="shared" si="78"/>
        <v>1</v>
      </c>
    </row>
    <row r="1460" spans="13:13" x14ac:dyDescent="0.25">
      <c r="M1460">
        <f t="shared" si="78"/>
        <v>1</v>
      </c>
    </row>
    <row r="1461" spans="13:13" x14ac:dyDescent="0.25">
      <c r="M1461">
        <f t="shared" si="78"/>
        <v>1</v>
      </c>
    </row>
    <row r="1462" spans="13:13" x14ac:dyDescent="0.25">
      <c r="M1462">
        <f t="shared" si="78"/>
        <v>1</v>
      </c>
    </row>
    <row r="1463" spans="13:13" x14ac:dyDescent="0.25">
      <c r="M1463">
        <f t="shared" si="78"/>
        <v>1</v>
      </c>
    </row>
    <row r="1464" spans="13:13" x14ac:dyDescent="0.25">
      <c r="M1464">
        <f t="shared" si="78"/>
        <v>1</v>
      </c>
    </row>
    <row r="1465" spans="13:13" x14ac:dyDescent="0.25">
      <c r="M1465">
        <f t="shared" si="78"/>
        <v>1</v>
      </c>
    </row>
    <row r="1466" spans="13:13" x14ac:dyDescent="0.25">
      <c r="M1466">
        <f t="shared" si="78"/>
        <v>1</v>
      </c>
    </row>
    <row r="1467" spans="13:13" x14ac:dyDescent="0.25">
      <c r="M1467">
        <f t="shared" si="78"/>
        <v>1</v>
      </c>
    </row>
    <row r="1468" spans="13:13" x14ac:dyDescent="0.25">
      <c r="M1468">
        <f t="shared" si="78"/>
        <v>1</v>
      </c>
    </row>
    <row r="1469" spans="13:13" x14ac:dyDescent="0.25">
      <c r="M1469">
        <f t="shared" si="78"/>
        <v>1</v>
      </c>
    </row>
    <row r="1470" spans="13:13" x14ac:dyDescent="0.25">
      <c r="M1470">
        <f t="shared" si="78"/>
        <v>1</v>
      </c>
    </row>
    <row r="1471" spans="13:13" x14ac:dyDescent="0.25">
      <c r="M1471">
        <f t="shared" si="78"/>
        <v>1</v>
      </c>
    </row>
    <row r="1472" spans="13:13" x14ac:dyDescent="0.25">
      <c r="M1472">
        <f t="shared" si="78"/>
        <v>1</v>
      </c>
    </row>
    <row r="1473" spans="13:13" x14ac:dyDescent="0.25">
      <c r="M1473">
        <f t="shared" si="78"/>
        <v>1</v>
      </c>
    </row>
    <row r="1474" spans="13:13" x14ac:dyDescent="0.25">
      <c r="M1474">
        <f t="shared" ref="M1474:M1537" si="79">IF(OR(IF(K1474&lt;0.2,1,0),IF(L1474&lt;0.5,1,0)),1,0)</f>
        <v>1</v>
      </c>
    </row>
    <row r="1475" spans="13:13" x14ac:dyDescent="0.25">
      <c r="M1475">
        <f t="shared" si="79"/>
        <v>1</v>
      </c>
    </row>
    <row r="1476" spans="13:13" x14ac:dyDescent="0.25">
      <c r="M1476">
        <f t="shared" si="79"/>
        <v>1</v>
      </c>
    </row>
    <row r="1477" spans="13:13" x14ac:dyDescent="0.25">
      <c r="M1477">
        <f t="shared" si="79"/>
        <v>1</v>
      </c>
    </row>
    <row r="1478" spans="13:13" x14ac:dyDescent="0.25">
      <c r="M1478">
        <f t="shared" si="79"/>
        <v>1</v>
      </c>
    </row>
    <row r="1479" spans="13:13" x14ac:dyDescent="0.25">
      <c r="M1479">
        <f t="shared" si="79"/>
        <v>1</v>
      </c>
    </row>
    <row r="1480" spans="13:13" x14ac:dyDescent="0.25">
      <c r="M1480">
        <f t="shared" si="79"/>
        <v>1</v>
      </c>
    </row>
    <row r="1481" spans="13:13" x14ac:dyDescent="0.25">
      <c r="M1481">
        <f t="shared" si="79"/>
        <v>1</v>
      </c>
    </row>
    <row r="1482" spans="13:13" x14ac:dyDescent="0.25">
      <c r="M1482">
        <f t="shared" si="79"/>
        <v>1</v>
      </c>
    </row>
    <row r="1483" spans="13:13" x14ac:dyDescent="0.25">
      <c r="M1483">
        <f t="shared" si="79"/>
        <v>1</v>
      </c>
    </row>
    <row r="1484" spans="13:13" x14ac:dyDescent="0.25">
      <c r="M1484">
        <f t="shared" si="79"/>
        <v>1</v>
      </c>
    </row>
    <row r="1485" spans="13:13" x14ac:dyDescent="0.25">
      <c r="M1485">
        <f t="shared" si="79"/>
        <v>1</v>
      </c>
    </row>
    <row r="1486" spans="13:13" x14ac:dyDescent="0.25">
      <c r="M1486">
        <f t="shared" si="79"/>
        <v>1</v>
      </c>
    </row>
    <row r="1487" spans="13:13" x14ac:dyDescent="0.25">
      <c r="M1487">
        <f t="shared" si="79"/>
        <v>1</v>
      </c>
    </row>
    <row r="1488" spans="13:13" x14ac:dyDescent="0.25">
      <c r="M1488">
        <f t="shared" si="79"/>
        <v>1</v>
      </c>
    </row>
    <row r="1489" spans="13:13" x14ac:dyDescent="0.25">
      <c r="M1489">
        <f t="shared" si="79"/>
        <v>1</v>
      </c>
    </row>
    <row r="1490" spans="13:13" x14ac:dyDescent="0.25">
      <c r="M1490">
        <f t="shared" si="79"/>
        <v>1</v>
      </c>
    </row>
    <row r="1491" spans="13:13" x14ac:dyDescent="0.25">
      <c r="M1491">
        <f t="shared" si="79"/>
        <v>1</v>
      </c>
    </row>
    <row r="1492" spans="13:13" x14ac:dyDescent="0.25">
      <c r="M1492">
        <f t="shared" si="79"/>
        <v>1</v>
      </c>
    </row>
    <row r="1493" spans="13:13" x14ac:dyDescent="0.25">
      <c r="M1493">
        <f t="shared" si="79"/>
        <v>1</v>
      </c>
    </row>
    <row r="1494" spans="13:13" x14ac:dyDescent="0.25">
      <c r="M1494">
        <f t="shared" si="79"/>
        <v>1</v>
      </c>
    </row>
    <row r="1495" spans="13:13" x14ac:dyDescent="0.25">
      <c r="M1495">
        <f t="shared" si="79"/>
        <v>1</v>
      </c>
    </row>
    <row r="1496" spans="13:13" x14ac:dyDescent="0.25">
      <c r="M1496">
        <f t="shared" si="79"/>
        <v>1</v>
      </c>
    </row>
    <row r="1497" spans="13:13" x14ac:dyDescent="0.25">
      <c r="M1497">
        <f t="shared" si="79"/>
        <v>1</v>
      </c>
    </row>
    <row r="1498" spans="13:13" x14ac:dyDescent="0.25">
      <c r="M1498">
        <f t="shared" si="79"/>
        <v>1</v>
      </c>
    </row>
    <row r="1499" spans="13:13" x14ac:dyDescent="0.25">
      <c r="M1499">
        <f t="shared" si="79"/>
        <v>1</v>
      </c>
    </row>
    <row r="1500" spans="13:13" x14ac:dyDescent="0.25">
      <c r="M1500">
        <f t="shared" si="79"/>
        <v>1</v>
      </c>
    </row>
    <row r="1501" spans="13:13" x14ac:dyDescent="0.25">
      <c r="M1501">
        <f t="shared" si="79"/>
        <v>1</v>
      </c>
    </row>
    <row r="1502" spans="13:13" x14ac:dyDescent="0.25">
      <c r="M1502">
        <f t="shared" si="79"/>
        <v>1</v>
      </c>
    </row>
    <row r="1503" spans="13:13" x14ac:dyDescent="0.25">
      <c r="M1503">
        <f t="shared" si="79"/>
        <v>1</v>
      </c>
    </row>
    <row r="1504" spans="13:13" x14ac:dyDescent="0.25">
      <c r="M1504">
        <f t="shared" si="79"/>
        <v>1</v>
      </c>
    </row>
    <row r="1505" spans="13:13" x14ac:dyDescent="0.25">
      <c r="M1505">
        <f t="shared" si="79"/>
        <v>1</v>
      </c>
    </row>
    <row r="1506" spans="13:13" x14ac:dyDescent="0.25">
      <c r="M1506">
        <f t="shared" si="79"/>
        <v>1</v>
      </c>
    </row>
    <row r="1507" spans="13:13" x14ac:dyDescent="0.25">
      <c r="M1507">
        <f t="shared" si="79"/>
        <v>1</v>
      </c>
    </row>
    <row r="1508" spans="13:13" x14ac:dyDescent="0.25">
      <c r="M1508">
        <f t="shared" si="79"/>
        <v>1</v>
      </c>
    </row>
    <row r="1509" spans="13:13" x14ac:dyDescent="0.25">
      <c r="M1509">
        <f t="shared" si="79"/>
        <v>1</v>
      </c>
    </row>
    <row r="1510" spans="13:13" x14ac:dyDescent="0.25">
      <c r="M1510">
        <f t="shared" si="79"/>
        <v>1</v>
      </c>
    </row>
    <row r="1511" spans="13:13" x14ac:dyDescent="0.25">
      <c r="M1511">
        <f t="shared" si="79"/>
        <v>1</v>
      </c>
    </row>
    <row r="1512" spans="13:13" x14ac:dyDescent="0.25">
      <c r="M1512">
        <f t="shared" si="79"/>
        <v>1</v>
      </c>
    </row>
    <row r="1513" spans="13:13" x14ac:dyDescent="0.25">
      <c r="M1513">
        <f t="shared" si="79"/>
        <v>1</v>
      </c>
    </row>
    <row r="1514" spans="13:13" x14ac:dyDescent="0.25">
      <c r="M1514">
        <f t="shared" si="79"/>
        <v>1</v>
      </c>
    </row>
    <row r="1515" spans="13:13" x14ac:dyDescent="0.25">
      <c r="M1515">
        <f t="shared" si="79"/>
        <v>1</v>
      </c>
    </row>
    <row r="1516" spans="13:13" x14ac:dyDescent="0.25">
      <c r="M1516">
        <f t="shared" si="79"/>
        <v>1</v>
      </c>
    </row>
    <row r="1517" spans="13:13" x14ac:dyDescent="0.25">
      <c r="M1517">
        <f t="shared" si="79"/>
        <v>1</v>
      </c>
    </row>
    <row r="1518" spans="13:13" x14ac:dyDescent="0.25">
      <c r="M1518">
        <f t="shared" si="79"/>
        <v>1</v>
      </c>
    </row>
    <row r="1519" spans="13:13" x14ac:dyDescent="0.25">
      <c r="M1519">
        <f t="shared" si="79"/>
        <v>1</v>
      </c>
    </row>
    <row r="1520" spans="13:13" x14ac:dyDescent="0.25">
      <c r="M1520">
        <f t="shared" si="79"/>
        <v>1</v>
      </c>
    </row>
    <row r="1521" spans="13:13" x14ac:dyDescent="0.25">
      <c r="M1521">
        <f t="shared" si="79"/>
        <v>1</v>
      </c>
    </row>
    <row r="1522" spans="13:13" x14ac:dyDescent="0.25">
      <c r="M1522">
        <f t="shared" si="79"/>
        <v>1</v>
      </c>
    </row>
    <row r="1523" spans="13:13" x14ac:dyDescent="0.25">
      <c r="M1523">
        <f t="shared" si="79"/>
        <v>1</v>
      </c>
    </row>
    <row r="1524" spans="13:13" x14ac:dyDescent="0.25">
      <c r="M1524">
        <f t="shared" si="79"/>
        <v>1</v>
      </c>
    </row>
    <row r="1525" spans="13:13" x14ac:dyDescent="0.25">
      <c r="M1525">
        <f t="shared" si="79"/>
        <v>1</v>
      </c>
    </row>
    <row r="1526" spans="13:13" x14ac:dyDescent="0.25">
      <c r="M1526">
        <f t="shared" si="79"/>
        <v>1</v>
      </c>
    </row>
    <row r="1527" spans="13:13" x14ac:dyDescent="0.25">
      <c r="M1527">
        <f t="shared" si="79"/>
        <v>1</v>
      </c>
    </row>
    <row r="1528" spans="13:13" x14ac:dyDescent="0.25">
      <c r="M1528">
        <f t="shared" si="79"/>
        <v>1</v>
      </c>
    </row>
    <row r="1529" spans="13:13" x14ac:dyDescent="0.25">
      <c r="M1529">
        <f t="shared" si="79"/>
        <v>1</v>
      </c>
    </row>
    <row r="1530" spans="13:13" x14ac:dyDescent="0.25">
      <c r="M1530">
        <f t="shared" si="79"/>
        <v>1</v>
      </c>
    </row>
    <row r="1531" spans="13:13" x14ac:dyDescent="0.25">
      <c r="M1531">
        <f t="shared" si="79"/>
        <v>1</v>
      </c>
    </row>
    <row r="1532" spans="13:13" x14ac:dyDescent="0.25">
      <c r="M1532">
        <f t="shared" si="79"/>
        <v>1</v>
      </c>
    </row>
    <row r="1533" spans="13:13" x14ac:dyDescent="0.25">
      <c r="M1533">
        <f t="shared" si="79"/>
        <v>1</v>
      </c>
    </row>
    <row r="1534" spans="13:13" x14ac:dyDescent="0.25">
      <c r="M1534">
        <f t="shared" si="79"/>
        <v>1</v>
      </c>
    </row>
    <row r="1535" spans="13:13" x14ac:dyDescent="0.25">
      <c r="M1535">
        <f t="shared" si="79"/>
        <v>1</v>
      </c>
    </row>
    <row r="1536" spans="13:13" x14ac:dyDescent="0.25">
      <c r="M1536">
        <f t="shared" si="79"/>
        <v>1</v>
      </c>
    </row>
    <row r="1537" spans="13:13" x14ac:dyDescent="0.25">
      <c r="M1537">
        <f t="shared" si="79"/>
        <v>1</v>
      </c>
    </row>
    <row r="1538" spans="13:13" x14ac:dyDescent="0.25">
      <c r="M1538">
        <f t="shared" ref="M1538:M1601" si="80">IF(OR(IF(K1538&lt;0.2,1,0),IF(L1538&lt;0.5,1,0)),1,0)</f>
        <v>1</v>
      </c>
    </row>
    <row r="1539" spans="13:13" x14ac:dyDescent="0.25">
      <c r="M1539">
        <f t="shared" si="80"/>
        <v>1</v>
      </c>
    </row>
    <row r="1540" spans="13:13" x14ac:dyDescent="0.25">
      <c r="M1540">
        <f t="shared" si="80"/>
        <v>1</v>
      </c>
    </row>
    <row r="1541" spans="13:13" x14ac:dyDescent="0.25">
      <c r="M1541">
        <f t="shared" si="80"/>
        <v>1</v>
      </c>
    </row>
    <row r="1542" spans="13:13" x14ac:dyDescent="0.25">
      <c r="M1542">
        <f t="shared" si="80"/>
        <v>1</v>
      </c>
    </row>
    <row r="1543" spans="13:13" x14ac:dyDescent="0.25">
      <c r="M1543">
        <f t="shared" si="80"/>
        <v>1</v>
      </c>
    </row>
    <row r="1544" spans="13:13" x14ac:dyDescent="0.25">
      <c r="M1544">
        <f t="shared" si="80"/>
        <v>1</v>
      </c>
    </row>
    <row r="1545" spans="13:13" x14ac:dyDescent="0.25">
      <c r="M1545">
        <f t="shared" si="80"/>
        <v>1</v>
      </c>
    </row>
    <row r="1546" spans="13:13" x14ac:dyDescent="0.25">
      <c r="M1546">
        <f t="shared" si="80"/>
        <v>1</v>
      </c>
    </row>
    <row r="1547" spans="13:13" x14ac:dyDescent="0.25">
      <c r="M1547">
        <f t="shared" si="80"/>
        <v>1</v>
      </c>
    </row>
    <row r="1548" spans="13:13" x14ac:dyDescent="0.25">
      <c r="M1548">
        <f t="shared" si="80"/>
        <v>1</v>
      </c>
    </row>
    <row r="1549" spans="13:13" x14ac:dyDescent="0.25">
      <c r="M1549">
        <f t="shared" si="80"/>
        <v>1</v>
      </c>
    </row>
    <row r="1550" spans="13:13" x14ac:dyDescent="0.25">
      <c r="M1550">
        <f t="shared" si="80"/>
        <v>1</v>
      </c>
    </row>
    <row r="1551" spans="13:13" x14ac:dyDescent="0.25">
      <c r="M1551">
        <f t="shared" si="80"/>
        <v>1</v>
      </c>
    </row>
    <row r="1552" spans="13:13" x14ac:dyDescent="0.25">
      <c r="M1552">
        <f t="shared" si="80"/>
        <v>1</v>
      </c>
    </row>
    <row r="1553" spans="13:13" x14ac:dyDescent="0.25">
      <c r="M1553">
        <f t="shared" si="80"/>
        <v>1</v>
      </c>
    </row>
    <row r="1554" spans="13:13" x14ac:dyDescent="0.25">
      <c r="M1554">
        <f t="shared" si="80"/>
        <v>1</v>
      </c>
    </row>
    <row r="1555" spans="13:13" x14ac:dyDescent="0.25">
      <c r="M1555">
        <f t="shared" si="80"/>
        <v>1</v>
      </c>
    </row>
    <row r="1556" spans="13:13" x14ac:dyDescent="0.25">
      <c r="M1556">
        <f t="shared" si="80"/>
        <v>1</v>
      </c>
    </row>
    <row r="1557" spans="13:13" x14ac:dyDescent="0.25">
      <c r="M1557">
        <f t="shared" si="80"/>
        <v>1</v>
      </c>
    </row>
    <row r="1558" spans="13:13" x14ac:dyDescent="0.25">
      <c r="M1558">
        <f t="shared" si="80"/>
        <v>1</v>
      </c>
    </row>
    <row r="1559" spans="13:13" x14ac:dyDescent="0.25">
      <c r="M1559">
        <f t="shared" si="80"/>
        <v>1</v>
      </c>
    </row>
    <row r="1560" spans="13:13" x14ac:dyDescent="0.25">
      <c r="M1560">
        <f t="shared" si="80"/>
        <v>1</v>
      </c>
    </row>
    <row r="1561" spans="13:13" x14ac:dyDescent="0.25">
      <c r="M1561">
        <f t="shared" si="80"/>
        <v>1</v>
      </c>
    </row>
    <row r="1562" spans="13:13" x14ac:dyDescent="0.25">
      <c r="M1562">
        <f t="shared" si="80"/>
        <v>1</v>
      </c>
    </row>
    <row r="1563" spans="13:13" x14ac:dyDescent="0.25">
      <c r="M1563">
        <f t="shared" si="80"/>
        <v>1</v>
      </c>
    </row>
    <row r="1564" spans="13:13" x14ac:dyDescent="0.25">
      <c r="M1564">
        <f t="shared" si="80"/>
        <v>1</v>
      </c>
    </row>
    <row r="1565" spans="13:13" x14ac:dyDescent="0.25">
      <c r="M1565">
        <f t="shared" si="80"/>
        <v>1</v>
      </c>
    </row>
    <row r="1566" spans="13:13" x14ac:dyDescent="0.25">
      <c r="M1566">
        <f t="shared" si="80"/>
        <v>1</v>
      </c>
    </row>
    <row r="1567" spans="13:13" x14ac:dyDescent="0.25">
      <c r="M1567">
        <f t="shared" si="80"/>
        <v>1</v>
      </c>
    </row>
    <row r="1568" spans="13:13" x14ac:dyDescent="0.25">
      <c r="M1568">
        <f t="shared" si="80"/>
        <v>1</v>
      </c>
    </row>
    <row r="1569" spans="13:13" x14ac:dyDescent="0.25">
      <c r="M1569">
        <f t="shared" si="80"/>
        <v>1</v>
      </c>
    </row>
    <row r="1570" spans="13:13" x14ac:dyDescent="0.25">
      <c r="M1570">
        <f t="shared" si="80"/>
        <v>1</v>
      </c>
    </row>
    <row r="1571" spans="13:13" x14ac:dyDescent="0.25">
      <c r="M1571">
        <f t="shared" si="80"/>
        <v>1</v>
      </c>
    </row>
    <row r="1572" spans="13:13" x14ac:dyDescent="0.25">
      <c r="M1572">
        <f t="shared" si="80"/>
        <v>1</v>
      </c>
    </row>
    <row r="1573" spans="13:13" x14ac:dyDescent="0.25">
      <c r="M1573">
        <f t="shared" si="80"/>
        <v>1</v>
      </c>
    </row>
    <row r="1574" spans="13:13" x14ac:dyDescent="0.25">
      <c r="M1574">
        <f t="shared" si="80"/>
        <v>1</v>
      </c>
    </row>
    <row r="1575" spans="13:13" x14ac:dyDescent="0.25">
      <c r="M1575">
        <f t="shared" si="80"/>
        <v>1</v>
      </c>
    </row>
    <row r="1576" spans="13:13" x14ac:dyDescent="0.25">
      <c r="M1576">
        <f t="shared" si="80"/>
        <v>1</v>
      </c>
    </row>
    <row r="1577" spans="13:13" x14ac:dyDescent="0.25">
      <c r="M1577">
        <f t="shared" si="80"/>
        <v>1</v>
      </c>
    </row>
    <row r="1578" spans="13:13" x14ac:dyDescent="0.25">
      <c r="M1578">
        <f t="shared" si="80"/>
        <v>1</v>
      </c>
    </row>
    <row r="1579" spans="13:13" x14ac:dyDescent="0.25">
      <c r="M1579">
        <f t="shared" si="80"/>
        <v>1</v>
      </c>
    </row>
    <row r="1580" spans="13:13" x14ac:dyDescent="0.25">
      <c r="M1580">
        <f t="shared" si="80"/>
        <v>1</v>
      </c>
    </row>
    <row r="1581" spans="13:13" x14ac:dyDescent="0.25">
      <c r="M1581">
        <f t="shared" si="80"/>
        <v>1</v>
      </c>
    </row>
    <row r="1582" spans="13:13" x14ac:dyDescent="0.25">
      <c r="M1582">
        <f t="shared" si="80"/>
        <v>1</v>
      </c>
    </row>
    <row r="1583" spans="13:13" x14ac:dyDescent="0.25">
      <c r="M1583">
        <f t="shared" si="80"/>
        <v>1</v>
      </c>
    </row>
    <row r="1584" spans="13:13" x14ac:dyDescent="0.25">
      <c r="M1584">
        <f t="shared" si="80"/>
        <v>1</v>
      </c>
    </row>
    <row r="1585" spans="13:13" x14ac:dyDescent="0.25">
      <c r="M1585">
        <f t="shared" si="80"/>
        <v>1</v>
      </c>
    </row>
    <row r="1586" spans="13:13" x14ac:dyDescent="0.25">
      <c r="M1586">
        <f t="shared" si="80"/>
        <v>1</v>
      </c>
    </row>
    <row r="1587" spans="13:13" x14ac:dyDescent="0.25">
      <c r="M1587">
        <f t="shared" si="80"/>
        <v>1</v>
      </c>
    </row>
    <row r="1588" spans="13:13" x14ac:dyDescent="0.25">
      <c r="M1588">
        <f t="shared" si="80"/>
        <v>1</v>
      </c>
    </row>
    <row r="1589" spans="13:13" x14ac:dyDescent="0.25">
      <c r="M1589">
        <f t="shared" si="80"/>
        <v>1</v>
      </c>
    </row>
    <row r="1590" spans="13:13" x14ac:dyDescent="0.25">
      <c r="M1590">
        <f t="shared" si="80"/>
        <v>1</v>
      </c>
    </row>
    <row r="1591" spans="13:13" x14ac:dyDescent="0.25">
      <c r="M1591">
        <f t="shared" si="80"/>
        <v>1</v>
      </c>
    </row>
    <row r="1592" spans="13:13" x14ac:dyDescent="0.25">
      <c r="M1592">
        <f t="shared" si="80"/>
        <v>1</v>
      </c>
    </row>
    <row r="1593" spans="13:13" x14ac:dyDescent="0.25">
      <c r="M1593">
        <f t="shared" si="80"/>
        <v>1</v>
      </c>
    </row>
    <row r="1594" spans="13:13" x14ac:dyDescent="0.25">
      <c r="M1594">
        <f t="shared" si="80"/>
        <v>1</v>
      </c>
    </row>
    <row r="1595" spans="13:13" x14ac:dyDescent="0.25">
      <c r="M1595">
        <f t="shared" si="80"/>
        <v>1</v>
      </c>
    </row>
    <row r="1596" spans="13:13" x14ac:dyDescent="0.25">
      <c r="M1596">
        <f t="shared" si="80"/>
        <v>1</v>
      </c>
    </row>
    <row r="1597" spans="13:13" x14ac:dyDescent="0.25">
      <c r="M1597">
        <f t="shared" si="80"/>
        <v>1</v>
      </c>
    </row>
    <row r="1598" spans="13:13" x14ac:dyDescent="0.25">
      <c r="M1598">
        <f t="shared" si="80"/>
        <v>1</v>
      </c>
    </row>
    <row r="1599" spans="13:13" x14ac:dyDescent="0.25">
      <c r="M1599">
        <f t="shared" si="80"/>
        <v>1</v>
      </c>
    </row>
    <row r="1600" spans="13:13" x14ac:dyDescent="0.25">
      <c r="M1600">
        <f t="shared" si="80"/>
        <v>1</v>
      </c>
    </row>
    <row r="1601" spans="13:13" x14ac:dyDescent="0.25">
      <c r="M1601">
        <f t="shared" si="80"/>
        <v>1</v>
      </c>
    </row>
    <row r="1602" spans="13:13" x14ac:dyDescent="0.25">
      <c r="M1602">
        <f t="shared" ref="M1602:M1665" si="81">IF(OR(IF(K1602&lt;0.2,1,0),IF(L1602&lt;0.5,1,0)),1,0)</f>
        <v>1</v>
      </c>
    </row>
    <row r="1603" spans="13:13" x14ac:dyDescent="0.25">
      <c r="M1603">
        <f t="shared" si="81"/>
        <v>1</v>
      </c>
    </row>
    <row r="1604" spans="13:13" x14ac:dyDescent="0.25">
      <c r="M1604">
        <f t="shared" si="81"/>
        <v>1</v>
      </c>
    </row>
    <row r="1605" spans="13:13" x14ac:dyDescent="0.25">
      <c r="M1605">
        <f t="shared" si="81"/>
        <v>1</v>
      </c>
    </row>
    <row r="1606" spans="13:13" x14ac:dyDescent="0.25">
      <c r="M1606">
        <f t="shared" si="81"/>
        <v>1</v>
      </c>
    </row>
    <row r="1607" spans="13:13" x14ac:dyDescent="0.25">
      <c r="M1607">
        <f t="shared" si="81"/>
        <v>1</v>
      </c>
    </row>
    <row r="1608" spans="13:13" x14ac:dyDescent="0.25">
      <c r="M1608">
        <f t="shared" si="81"/>
        <v>1</v>
      </c>
    </row>
    <row r="1609" spans="13:13" x14ac:dyDescent="0.25">
      <c r="M1609">
        <f t="shared" si="81"/>
        <v>1</v>
      </c>
    </row>
    <row r="1610" spans="13:13" x14ac:dyDescent="0.25">
      <c r="M1610">
        <f t="shared" si="81"/>
        <v>1</v>
      </c>
    </row>
    <row r="1611" spans="13:13" x14ac:dyDescent="0.25">
      <c r="M1611">
        <f t="shared" si="81"/>
        <v>1</v>
      </c>
    </row>
    <row r="1612" spans="13:13" x14ac:dyDescent="0.25">
      <c r="M1612">
        <f t="shared" si="81"/>
        <v>1</v>
      </c>
    </row>
    <row r="1613" spans="13:13" x14ac:dyDescent="0.25">
      <c r="M1613">
        <f t="shared" si="81"/>
        <v>1</v>
      </c>
    </row>
    <row r="1614" spans="13:13" x14ac:dyDescent="0.25">
      <c r="M1614">
        <f t="shared" si="81"/>
        <v>1</v>
      </c>
    </row>
    <row r="1615" spans="13:13" x14ac:dyDescent="0.25">
      <c r="M1615">
        <f t="shared" si="81"/>
        <v>1</v>
      </c>
    </row>
    <row r="1616" spans="13:13" x14ac:dyDescent="0.25">
      <c r="M1616">
        <f t="shared" si="81"/>
        <v>1</v>
      </c>
    </row>
    <row r="1617" spans="13:13" x14ac:dyDescent="0.25">
      <c r="M1617">
        <f t="shared" si="81"/>
        <v>1</v>
      </c>
    </row>
    <row r="1618" spans="13:13" x14ac:dyDescent="0.25">
      <c r="M1618">
        <f t="shared" si="81"/>
        <v>1</v>
      </c>
    </row>
    <row r="1619" spans="13:13" x14ac:dyDescent="0.25">
      <c r="M1619">
        <f t="shared" si="81"/>
        <v>1</v>
      </c>
    </row>
    <row r="1620" spans="13:13" x14ac:dyDescent="0.25">
      <c r="M1620">
        <f t="shared" si="81"/>
        <v>1</v>
      </c>
    </row>
    <row r="1621" spans="13:13" x14ac:dyDescent="0.25">
      <c r="M1621">
        <f t="shared" si="81"/>
        <v>1</v>
      </c>
    </row>
    <row r="1622" spans="13:13" x14ac:dyDescent="0.25">
      <c r="M1622">
        <f t="shared" si="81"/>
        <v>1</v>
      </c>
    </row>
    <row r="1623" spans="13:13" x14ac:dyDescent="0.25">
      <c r="M1623">
        <f t="shared" si="81"/>
        <v>1</v>
      </c>
    </row>
    <row r="1624" spans="13:13" x14ac:dyDescent="0.25">
      <c r="M1624">
        <f t="shared" si="81"/>
        <v>1</v>
      </c>
    </row>
    <row r="1625" spans="13:13" x14ac:dyDescent="0.25">
      <c r="M1625">
        <f t="shared" si="81"/>
        <v>1</v>
      </c>
    </row>
    <row r="1626" spans="13:13" x14ac:dyDescent="0.25">
      <c r="M1626">
        <f t="shared" si="81"/>
        <v>1</v>
      </c>
    </row>
    <row r="1627" spans="13:13" x14ac:dyDescent="0.25">
      <c r="M1627">
        <f t="shared" si="81"/>
        <v>1</v>
      </c>
    </row>
    <row r="1628" spans="13:13" x14ac:dyDescent="0.25">
      <c r="M1628">
        <f t="shared" si="81"/>
        <v>1</v>
      </c>
    </row>
    <row r="1629" spans="13:13" x14ac:dyDescent="0.25">
      <c r="M1629">
        <f t="shared" si="81"/>
        <v>1</v>
      </c>
    </row>
    <row r="1630" spans="13:13" x14ac:dyDescent="0.25">
      <c r="M1630">
        <f t="shared" si="81"/>
        <v>1</v>
      </c>
    </row>
    <row r="1631" spans="13:13" x14ac:dyDescent="0.25">
      <c r="M1631">
        <f t="shared" si="81"/>
        <v>1</v>
      </c>
    </row>
    <row r="1632" spans="13:13" x14ac:dyDescent="0.25">
      <c r="M1632">
        <f t="shared" si="81"/>
        <v>1</v>
      </c>
    </row>
    <row r="1633" spans="13:13" x14ac:dyDescent="0.25">
      <c r="M1633">
        <f t="shared" si="81"/>
        <v>1</v>
      </c>
    </row>
    <row r="1634" spans="13:13" x14ac:dyDescent="0.25">
      <c r="M1634">
        <f t="shared" si="81"/>
        <v>1</v>
      </c>
    </row>
    <row r="1635" spans="13:13" x14ac:dyDescent="0.25">
      <c r="M1635">
        <f t="shared" si="81"/>
        <v>1</v>
      </c>
    </row>
    <row r="1636" spans="13:13" x14ac:dyDescent="0.25">
      <c r="M1636">
        <f t="shared" si="81"/>
        <v>1</v>
      </c>
    </row>
    <row r="1637" spans="13:13" x14ac:dyDescent="0.25">
      <c r="M1637">
        <f t="shared" si="81"/>
        <v>1</v>
      </c>
    </row>
    <row r="1638" spans="13:13" x14ac:dyDescent="0.25">
      <c r="M1638">
        <f t="shared" si="81"/>
        <v>1</v>
      </c>
    </row>
    <row r="1639" spans="13:13" x14ac:dyDescent="0.25">
      <c r="M1639">
        <f t="shared" si="81"/>
        <v>1</v>
      </c>
    </row>
    <row r="1640" spans="13:13" x14ac:dyDescent="0.25">
      <c r="M1640">
        <f t="shared" si="81"/>
        <v>1</v>
      </c>
    </row>
    <row r="1641" spans="13:13" x14ac:dyDescent="0.25">
      <c r="M1641">
        <f t="shared" si="81"/>
        <v>1</v>
      </c>
    </row>
    <row r="1642" spans="13:13" x14ac:dyDescent="0.25">
      <c r="M1642">
        <f t="shared" si="81"/>
        <v>1</v>
      </c>
    </row>
    <row r="1643" spans="13:13" x14ac:dyDescent="0.25">
      <c r="M1643">
        <f t="shared" si="81"/>
        <v>1</v>
      </c>
    </row>
    <row r="1644" spans="13:13" x14ac:dyDescent="0.25">
      <c r="M1644">
        <f t="shared" si="81"/>
        <v>1</v>
      </c>
    </row>
    <row r="1645" spans="13:13" x14ac:dyDescent="0.25">
      <c r="M1645">
        <f t="shared" si="81"/>
        <v>1</v>
      </c>
    </row>
    <row r="1646" spans="13:13" x14ac:dyDescent="0.25">
      <c r="M1646">
        <f t="shared" si="81"/>
        <v>1</v>
      </c>
    </row>
    <row r="1647" spans="13:13" x14ac:dyDescent="0.25">
      <c r="M1647">
        <f t="shared" si="81"/>
        <v>1</v>
      </c>
    </row>
    <row r="1648" spans="13:13" x14ac:dyDescent="0.25">
      <c r="M1648">
        <f t="shared" si="81"/>
        <v>1</v>
      </c>
    </row>
    <row r="1649" spans="13:13" x14ac:dyDescent="0.25">
      <c r="M1649">
        <f t="shared" si="81"/>
        <v>1</v>
      </c>
    </row>
    <row r="1650" spans="13:13" x14ac:dyDescent="0.25">
      <c r="M1650">
        <f t="shared" si="81"/>
        <v>1</v>
      </c>
    </row>
    <row r="1651" spans="13:13" x14ac:dyDescent="0.25">
      <c r="M1651">
        <f t="shared" si="81"/>
        <v>1</v>
      </c>
    </row>
    <row r="1652" spans="13:13" x14ac:dyDescent="0.25">
      <c r="M1652">
        <f t="shared" si="81"/>
        <v>1</v>
      </c>
    </row>
    <row r="1653" spans="13:13" x14ac:dyDescent="0.25">
      <c r="M1653">
        <f t="shared" si="81"/>
        <v>1</v>
      </c>
    </row>
    <row r="1654" spans="13:13" x14ac:dyDescent="0.25">
      <c r="M1654">
        <f t="shared" si="81"/>
        <v>1</v>
      </c>
    </row>
    <row r="1655" spans="13:13" x14ac:dyDescent="0.25">
      <c r="M1655">
        <f t="shared" si="81"/>
        <v>1</v>
      </c>
    </row>
    <row r="1656" spans="13:13" x14ac:dyDescent="0.25">
      <c r="M1656">
        <f t="shared" si="81"/>
        <v>1</v>
      </c>
    </row>
    <row r="1657" spans="13:13" x14ac:dyDescent="0.25">
      <c r="M1657">
        <f t="shared" si="81"/>
        <v>1</v>
      </c>
    </row>
    <row r="1658" spans="13:13" x14ac:dyDescent="0.25">
      <c r="M1658">
        <f t="shared" si="81"/>
        <v>1</v>
      </c>
    </row>
    <row r="1659" spans="13:13" x14ac:dyDescent="0.25">
      <c r="M1659">
        <f t="shared" si="81"/>
        <v>1</v>
      </c>
    </row>
    <row r="1660" spans="13:13" x14ac:dyDescent="0.25">
      <c r="M1660">
        <f t="shared" si="81"/>
        <v>1</v>
      </c>
    </row>
    <row r="1661" spans="13:13" x14ac:dyDescent="0.25">
      <c r="M1661">
        <f t="shared" si="81"/>
        <v>1</v>
      </c>
    </row>
    <row r="1662" spans="13:13" x14ac:dyDescent="0.25">
      <c r="M1662">
        <f t="shared" si="81"/>
        <v>1</v>
      </c>
    </row>
    <row r="1663" spans="13:13" x14ac:dyDescent="0.25">
      <c r="M1663">
        <f t="shared" si="81"/>
        <v>1</v>
      </c>
    </row>
    <row r="1664" spans="13:13" x14ac:dyDescent="0.25">
      <c r="M1664">
        <f t="shared" si="81"/>
        <v>1</v>
      </c>
    </row>
    <row r="1665" spans="13:13" x14ac:dyDescent="0.25">
      <c r="M1665">
        <f t="shared" si="81"/>
        <v>1</v>
      </c>
    </row>
    <row r="1666" spans="13:13" x14ac:dyDescent="0.25">
      <c r="M1666">
        <f t="shared" ref="M1666:M1729" si="82">IF(OR(IF(K1666&lt;0.2,1,0),IF(L1666&lt;0.5,1,0)),1,0)</f>
        <v>1</v>
      </c>
    </row>
    <row r="1667" spans="13:13" x14ac:dyDescent="0.25">
      <c r="M1667">
        <f t="shared" si="82"/>
        <v>1</v>
      </c>
    </row>
    <row r="1668" spans="13:13" x14ac:dyDescent="0.25">
      <c r="M1668">
        <f t="shared" si="82"/>
        <v>1</v>
      </c>
    </row>
    <row r="1669" spans="13:13" x14ac:dyDescent="0.25">
      <c r="M1669">
        <f t="shared" si="82"/>
        <v>1</v>
      </c>
    </row>
    <row r="1670" spans="13:13" x14ac:dyDescent="0.25">
      <c r="M1670">
        <f t="shared" si="82"/>
        <v>1</v>
      </c>
    </row>
    <row r="1671" spans="13:13" x14ac:dyDescent="0.25">
      <c r="M1671">
        <f t="shared" si="82"/>
        <v>1</v>
      </c>
    </row>
    <row r="1672" spans="13:13" x14ac:dyDescent="0.25">
      <c r="M1672">
        <f t="shared" si="82"/>
        <v>1</v>
      </c>
    </row>
    <row r="1673" spans="13:13" x14ac:dyDescent="0.25">
      <c r="M1673">
        <f t="shared" si="82"/>
        <v>1</v>
      </c>
    </row>
    <row r="1674" spans="13:13" x14ac:dyDescent="0.25">
      <c r="M1674">
        <f t="shared" si="82"/>
        <v>1</v>
      </c>
    </row>
    <row r="1675" spans="13:13" x14ac:dyDescent="0.25">
      <c r="M1675">
        <f t="shared" si="82"/>
        <v>1</v>
      </c>
    </row>
    <row r="1676" spans="13:13" x14ac:dyDescent="0.25">
      <c r="M1676">
        <f t="shared" si="82"/>
        <v>1</v>
      </c>
    </row>
    <row r="1677" spans="13:13" x14ac:dyDescent="0.25">
      <c r="M1677">
        <f t="shared" si="82"/>
        <v>1</v>
      </c>
    </row>
    <row r="1678" spans="13:13" x14ac:dyDescent="0.25">
      <c r="M1678">
        <f t="shared" si="82"/>
        <v>1</v>
      </c>
    </row>
    <row r="1679" spans="13:13" x14ac:dyDescent="0.25">
      <c r="M1679">
        <f t="shared" si="82"/>
        <v>1</v>
      </c>
    </row>
    <row r="1680" spans="13:13" x14ac:dyDescent="0.25">
      <c r="M1680">
        <f t="shared" si="82"/>
        <v>1</v>
      </c>
    </row>
    <row r="1681" spans="13:13" x14ac:dyDescent="0.25">
      <c r="M1681">
        <f t="shared" si="82"/>
        <v>1</v>
      </c>
    </row>
    <row r="1682" spans="13:13" x14ac:dyDescent="0.25">
      <c r="M1682">
        <f t="shared" si="82"/>
        <v>1</v>
      </c>
    </row>
    <row r="1683" spans="13:13" x14ac:dyDescent="0.25">
      <c r="M1683">
        <f t="shared" si="82"/>
        <v>1</v>
      </c>
    </row>
    <row r="1684" spans="13:13" x14ac:dyDescent="0.25">
      <c r="M1684">
        <f t="shared" si="82"/>
        <v>1</v>
      </c>
    </row>
    <row r="1685" spans="13:13" x14ac:dyDescent="0.25">
      <c r="M1685">
        <f t="shared" si="82"/>
        <v>1</v>
      </c>
    </row>
    <row r="1686" spans="13:13" x14ac:dyDescent="0.25">
      <c r="M1686">
        <f t="shared" si="82"/>
        <v>1</v>
      </c>
    </row>
    <row r="1687" spans="13:13" x14ac:dyDescent="0.25">
      <c r="M1687">
        <f t="shared" si="82"/>
        <v>1</v>
      </c>
    </row>
    <row r="1688" spans="13:13" x14ac:dyDescent="0.25">
      <c r="M1688">
        <f t="shared" si="82"/>
        <v>1</v>
      </c>
    </row>
    <row r="1689" spans="13:13" x14ac:dyDescent="0.25">
      <c r="M1689">
        <f t="shared" si="82"/>
        <v>1</v>
      </c>
    </row>
    <row r="1690" spans="13:13" x14ac:dyDescent="0.25">
      <c r="M1690">
        <f t="shared" si="82"/>
        <v>1</v>
      </c>
    </row>
    <row r="1691" spans="13:13" x14ac:dyDescent="0.25">
      <c r="M1691">
        <f t="shared" si="82"/>
        <v>1</v>
      </c>
    </row>
    <row r="1692" spans="13:13" x14ac:dyDescent="0.25">
      <c r="M1692">
        <f t="shared" si="82"/>
        <v>1</v>
      </c>
    </row>
    <row r="1693" spans="13:13" x14ac:dyDescent="0.25">
      <c r="M1693">
        <f t="shared" si="82"/>
        <v>1</v>
      </c>
    </row>
    <row r="1694" spans="13:13" x14ac:dyDescent="0.25">
      <c r="M1694">
        <f t="shared" si="82"/>
        <v>1</v>
      </c>
    </row>
    <row r="1695" spans="13:13" x14ac:dyDescent="0.25">
      <c r="M1695">
        <f t="shared" si="82"/>
        <v>1</v>
      </c>
    </row>
    <row r="1696" spans="13:13" x14ac:dyDescent="0.25">
      <c r="M1696">
        <f t="shared" si="82"/>
        <v>1</v>
      </c>
    </row>
    <row r="1697" spans="13:13" x14ac:dyDescent="0.25">
      <c r="M1697">
        <f t="shared" si="82"/>
        <v>1</v>
      </c>
    </row>
    <row r="1698" spans="13:13" x14ac:dyDescent="0.25">
      <c r="M1698">
        <f t="shared" si="82"/>
        <v>1</v>
      </c>
    </row>
    <row r="1699" spans="13:13" x14ac:dyDescent="0.25">
      <c r="M1699">
        <f t="shared" si="82"/>
        <v>1</v>
      </c>
    </row>
    <row r="1700" spans="13:13" x14ac:dyDescent="0.25">
      <c r="M1700">
        <f t="shared" si="82"/>
        <v>1</v>
      </c>
    </row>
    <row r="1701" spans="13:13" x14ac:dyDescent="0.25">
      <c r="M1701">
        <f t="shared" si="82"/>
        <v>1</v>
      </c>
    </row>
    <row r="1702" spans="13:13" x14ac:dyDescent="0.25">
      <c r="M1702">
        <f t="shared" si="82"/>
        <v>1</v>
      </c>
    </row>
    <row r="1703" spans="13:13" x14ac:dyDescent="0.25">
      <c r="M1703">
        <f t="shared" si="82"/>
        <v>1</v>
      </c>
    </row>
    <row r="1704" spans="13:13" x14ac:dyDescent="0.25">
      <c r="M1704">
        <f t="shared" si="82"/>
        <v>1</v>
      </c>
    </row>
    <row r="1705" spans="13:13" x14ac:dyDescent="0.25">
      <c r="M1705">
        <f t="shared" si="82"/>
        <v>1</v>
      </c>
    </row>
    <row r="1706" spans="13:13" x14ac:dyDescent="0.25">
      <c r="M1706">
        <f t="shared" si="82"/>
        <v>1</v>
      </c>
    </row>
    <row r="1707" spans="13:13" x14ac:dyDescent="0.25">
      <c r="M1707">
        <f t="shared" si="82"/>
        <v>1</v>
      </c>
    </row>
    <row r="1708" spans="13:13" x14ac:dyDescent="0.25">
      <c r="M1708">
        <f t="shared" si="82"/>
        <v>1</v>
      </c>
    </row>
    <row r="1709" spans="13:13" x14ac:dyDescent="0.25">
      <c r="M1709">
        <f t="shared" si="82"/>
        <v>1</v>
      </c>
    </row>
    <row r="1710" spans="13:13" x14ac:dyDescent="0.25">
      <c r="M1710">
        <f t="shared" si="82"/>
        <v>1</v>
      </c>
    </row>
    <row r="1711" spans="13:13" x14ac:dyDescent="0.25">
      <c r="M1711">
        <f t="shared" si="82"/>
        <v>1</v>
      </c>
    </row>
    <row r="1712" spans="13:13" x14ac:dyDescent="0.25">
      <c r="M1712">
        <f t="shared" si="82"/>
        <v>1</v>
      </c>
    </row>
    <row r="1713" spans="13:13" x14ac:dyDescent="0.25">
      <c r="M1713">
        <f t="shared" si="82"/>
        <v>1</v>
      </c>
    </row>
    <row r="1714" spans="13:13" x14ac:dyDescent="0.25">
      <c r="M1714">
        <f t="shared" si="82"/>
        <v>1</v>
      </c>
    </row>
    <row r="1715" spans="13:13" x14ac:dyDescent="0.25">
      <c r="M1715">
        <f t="shared" si="82"/>
        <v>1</v>
      </c>
    </row>
    <row r="1716" spans="13:13" x14ac:dyDescent="0.25">
      <c r="M1716">
        <f t="shared" si="82"/>
        <v>1</v>
      </c>
    </row>
    <row r="1717" spans="13:13" x14ac:dyDescent="0.25">
      <c r="M1717">
        <f t="shared" si="82"/>
        <v>1</v>
      </c>
    </row>
    <row r="1718" spans="13:13" x14ac:dyDescent="0.25">
      <c r="M1718">
        <f t="shared" si="82"/>
        <v>1</v>
      </c>
    </row>
    <row r="1719" spans="13:13" x14ac:dyDescent="0.25">
      <c r="M1719">
        <f t="shared" si="82"/>
        <v>1</v>
      </c>
    </row>
    <row r="1720" spans="13:13" x14ac:dyDescent="0.25">
      <c r="M1720">
        <f t="shared" si="82"/>
        <v>1</v>
      </c>
    </row>
    <row r="1721" spans="13:13" x14ac:dyDescent="0.25">
      <c r="M1721">
        <f t="shared" si="82"/>
        <v>1</v>
      </c>
    </row>
    <row r="1722" spans="13:13" x14ac:dyDescent="0.25">
      <c r="M1722">
        <f t="shared" si="82"/>
        <v>1</v>
      </c>
    </row>
    <row r="1723" spans="13:13" x14ac:dyDescent="0.25">
      <c r="M1723">
        <f t="shared" si="82"/>
        <v>1</v>
      </c>
    </row>
    <row r="1724" spans="13:13" x14ac:dyDescent="0.25">
      <c r="M1724">
        <f t="shared" si="82"/>
        <v>1</v>
      </c>
    </row>
    <row r="1725" spans="13:13" x14ac:dyDescent="0.25">
      <c r="M1725">
        <f t="shared" si="82"/>
        <v>1</v>
      </c>
    </row>
    <row r="1726" spans="13:13" x14ac:dyDescent="0.25">
      <c r="M1726">
        <f t="shared" si="82"/>
        <v>1</v>
      </c>
    </row>
    <row r="1727" spans="13:13" x14ac:dyDescent="0.25">
      <c r="M1727">
        <f t="shared" si="82"/>
        <v>1</v>
      </c>
    </row>
    <row r="1728" spans="13:13" x14ac:dyDescent="0.25">
      <c r="M1728">
        <f t="shared" si="82"/>
        <v>1</v>
      </c>
    </row>
    <row r="1729" spans="13:13" x14ac:dyDescent="0.25">
      <c r="M1729">
        <f t="shared" si="82"/>
        <v>1</v>
      </c>
    </row>
    <row r="1730" spans="13:13" x14ac:dyDescent="0.25">
      <c r="M1730">
        <f t="shared" ref="M1730:M1793" si="83">IF(OR(IF(K1730&lt;0.2,1,0),IF(L1730&lt;0.5,1,0)),1,0)</f>
        <v>1</v>
      </c>
    </row>
    <row r="1731" spans="13:13" x14ac:dyDescent="0.25">
      <c r="M1731">
        <f t="shared" si="83"/>
        <v>1</v>
      </c>
    </row>
    <row r="1732" spans="13:13" x14ac:dyDescent="0.25">
      <c r="M1732">
        <f t="shared" si="83"/>
        <v>1</v>
      </c>
    </row>
    <row r="1733" spans="13:13" x14ac:dyDescent="0.25">
      <c r="M1733">
        <f t="shared" si="83"/>
        <v>1</v>
      </c>
    </row>
    <row r="1734" spans="13:13" x14ac:dyDescent="0.25">
      <c r="M1734">
        <f t="shared" si="83"/>
        <v>1</v>
      </c>
    </row>
    <row r="1735" spans="13:13" x14ac:dyDescent="0.25">
      <c r="M1735">
        <f t="shared" si="83"/>
        <v>1</v>
      </c>
    </row>
    <row r="1736" spans="13:13" x14ac:dyDescent="0.25">
      <c r="M1736">
        <f t="shared" si="83"/>
        <v>1</v>
      </c>
    </row>
    <row r="1737" spans="13:13" x14ac:dyDescent="0.25">
      <c r="M1737">
        <f t="shared" si="83"/>
        <v>1</v>
      </c>
    </row>
    <row r="1738" spans="13:13" x14ac:dyDescent="0.25">
      <c r="M1738">
        <f t="shared" si="83"/>
        <v>1</v>
      </c>
    </row>
    <row r="1739" spans="13:13" x14ac:dyDescent="0.25">
      <c r="M1739">
        <f t="shared" si="83"/>
        <v>1</v>
      </c>
    </row>
    <row r="1740" spans="13:13" x14ac:dyDescent="0.25">
      <c r="M1740">
        <f t="shared" si="83"/>
        <v>1</v>
      </c>
    </row>
    <row r="1741" spans="13:13" x14ac:dyDescent="0.25">
      <c r="M1741">
        <f t="shared" si="83"/>
        <v>1</v>
      </c>
    </row>
    <row r="1742" spans="13:13" x14ac:dyDescent="0.25">
      <c r="M1742">
        <f t="shared" si="83"/>
        <v>1</v>
      </c>
    </row>
    <row r="1743" spans="13:13" x14ac:dyDescent="0.25">
      <c r="M1743">
        <f t="shared" si="83"/>
        <v>1</v>
      </c>
    </row>
    <row r="1744" spans="13:13" x14ac:dyDescent="0.25">
      <c r="M1744">
        <f t="shared" si="83"/>
        <v>1</v>
      </c>
    </row>
    <row r="1745" spans="13:13" x14ac:dyDescent="0.25">
      <c r="M1745">
        <f t="shared" si="83"/>
        <v>1</v>
      </c>
    </row>
    <row r="1746" spans="13:13" x14ac:dyDescent="0.25">
      <c r="M1746">
        <f t="shared" si="83"/>
        <v>1</v>
      </c>
    </row>
    <row r="1747" spans="13:13" x14ac:dyDescent="0.25">
      <c r="M1747">
        <f t="shared" si="83"/>
        <v>1</v>
      </c>
    </row>
    <row r="1748" spans="13:13" x14ac:dyDescent="0.25">
      <c r="M1748">
        <f t="shared" si="83"/>
        <v>1</v>
      </c>
    </row>
    <row r="1749" spans="13:13" x14ac:dyDescent="0.25">
      <c r="M1749">
        <f t="shared" si="83"/>
        <v>1</v>
      </c>
    </row>
    <row r="1750" spans="13:13" x14ac:dyDescent="0.25">
      <c r="M1750">
        <f t="shared" si="83"/>
        <v>1</v>
      </c>
    </row>
    <row r="1751" spans="13:13" x14ac:dyDescent="0.25">
      <c r="M1751">
        <f t="shared" si="83"/>
        <v>1</v>
      </c>
    </row>
    <row r="1752" spans="13:13" x14ac:dyDescent="0.25">
      <c r="M1752">
        <f t="shared" si="83"/>
        <v>1</v>
      </c>
    </row>
    <row r="1753" spans="13:13" x14ac:dyDescent="0.25">
      <c r="M1753">
        <f t="shared" si="83"/>
        <v>1</v>
      </c>
    </row>
    <row r="1754" spans="13:13" x14ac:dyDescent="0.25">
      <c r="M1754">
        <f t="shared" si="83"/>
        <v>1</v>
      </c>
    </row>
    <row r="1755" spans="13:13" x14ac:dyDescent="0.25">
      <c r="M1755">
        <f t="shared" si="83"/>
        <v>1</v>
      </c>
    </row>
    <row r="1756" spans="13:13" x14ac:dyDescent="0.25">
      <c r="M1756">
        <f t="shared" si="83"/>
        <v>1</v>
      </c>
    </row>
    <row r="1757" spans="13:13" x14ac:dyDescent="0.25">
      <c r="M1757">
        <f t="shared" si="83"/>
        <v>1</v>
      </c>
    </row>
    <row r="1758" spans="13:13" x14ac:dyDescent="0.25">
      <c r="M1758">
        <f t="shared" si="83"/>
        <v>1</v>
      </c>
    </row>
    <row r="1759" spans="13:13" x14ac:dyDescent="0.25">
      <c r="M1759">
        <f t="shared" si="83"/>
        <v>1</v>
      </c>
    </row>
    <row r="1760" spans="13:13" x14ac:dyDescent="0.25">
      <c r="M1760">
        <f t="shared" si="83"/>
        <v>1</v>
      </c>
    </row>
    <row r="1761" spans="13:13" x14ac:dyDescent="0.25">
      <c r="M1761">
        <f t="shared" si="83"/>
        <v>1</v>
      </c>
    </row>
    <row r="1762" spans="13:13" x14ac:dyDescent="0.25">
      <c r="M1762">
        <f t="shared" si="83"/>
        <v>1</v>
      </c>
    </row>
    <row r="1763" spans="13:13" x14ac:dyDescent="0.25">
      <c r="M1763">
        <f t="shared" si="83"/>
        <v>1</v>
      </c>
    </row>
    <row r="1764" spans="13:13" x14ac:dyDescent="0.25">
      <c r="M1764">
        <f t="shared" si="83"/>
        <v>1</v>
      </c>
    </row>
    <row r="1765" spans="13:13" x14ac:dyDescent="0.25">
      <c r="M1765">
        <f t="shared" si="83"/>
        <v>1</v>
      </c>
    </row>
    <row r="1766" spans="13:13" x14ac:dyDescent="0.25">
      <c r="M1766">
        <f t="shared" si="83"/>
        <v>1</v>
      </c>
    </row>
    <row r="1767" spans="13:13" x14ac:dyDescent="0.25">
      <c r="M1767">
        <f t="shared" si="83"/>
        <v>1</v>
      </c>
    </row>
    <row r="1768" spans="13:13" x14ac:dyDescent="0.25">
      <c r="M1768">
        <f t="shared" si="83"/>
        <v>1</v>
      </c>
    </row>
    <row r="1769" spans="13:13" x14ac:dyDescent="0.25">
      <c r="M1769">
        <f t="shared" si="83"/>
        <v>1</v>
      </c>
    </row>
    <row r="1770" spans="13:13" x14ac:dyDescent="0.25">
      <c r="M1770">
        <f t="shared" si="83"/>
        <v>1</v>
      </c>
    </row>
    <row r="1771" spans="13:13" x14ac:dyDescent="0.25">
      <c r="M1771">
        <f t="shared" si="83"/>
        <v>1</v>
      </c>
    </row>
    <row r="1772" spans="13:13" x14ac:dyDescent="0.25">
      <c r="M1772">
        <f t="shared" si="83"/>
        <v>1</v>
      </c>
    </row>
    <row r="1773" spans="13:13" x14ac:dyDescent="0.25">
      <c r="M1773">
        <f t="shared" si="83"/>
        <v>1</v>
      </c>
    </row>
    <row r="1774" spans="13:13" x14ac:dyDescent="0.25">
      <c r="M1774">
        <f t="shared" si="83"/>
        <v>1</v>
      </c>
    </row>
    <row r="1775" spans="13:13" x14ac:dyDescent="0.25">
      <c r="M1775">
        <f t="shared" si="83"/>
        <v>1</v>
      </c>
    </row>
    <row r="1776" spans="13:13" x14ac:dyDescent="0.25">
      <c r="M1776">
        <f t="shared" si="83"/>
        <v>1</v>
      </c>
    </row>
    <row r="1777" spans="13:13" x14ac:dyDescent="0.25">
      <c r="M1777">
        <f t="shared" si="83"/>
        <v>1</v>
      </c>
    </row>
    <row r="1778" spans="13:13" x14ac:dyDescent="0.25">
      <c r="M1778">
        <f t="shared" si="83"/>
        <v>1</v>
      </c>
    </row>
    <row r="1779" spans="13:13" x14ac:dyDescent="0.25">
      <c r="M1779">
        <f t="shared" si="83"/>
        <v>1</v>
      </c>
    </row>
    <row r="1780" spans="13:13" x14ac:dyDescent="0.25">
      <c r="M1780">
        <f t="shared" si="83"/>
        <v>1</v>
      </c>
    </row>
    <row r="1781" spans="13:13" x14ac:dyDescent="0.25">
      <c r="M1781">
        <f t="shared" si="83"/>
        <v>1</v>
      </c>
    </row>
    <row r="1782" spans="13:13" x14ac:dyDescent="0.25">
      <c r="M1782">
        <f t="shared" si="83"/>
        <v>1</v>
      </c>
    </row>
    <row r="1783" spans="13:13" x14ac:dyDescent="0.25">
      <c r="M1783">
        <f t="shared" si="83"/>
        <v>1</v>
      </c>
    </row>
    <row r="1784" spans="13:13" x14ac:dyDescent="0.25">
      <c r="M1784">
        <f t="shared" si="83"/>
        <v>1</v>
      </c>
    </row>
    <row r="1785" spans="13:13" x14ac:dyDescent="0.25">
      <c r="M1785">
        <f t="shared" si="83"/>
        <v>1</v>
      </c>
    </row>
    <row r="1786" spans="13:13" x14ac:dyDescent="0.25">
      <c r="M1786">
        <f t="shared" si="83"/>
        <v>1</v>
      </c>
    </row>
    <row r="1787" spans="13:13" x14ac:dyDescent="0.25">
      <c r="M1787">
        <f t="shared" si="83"/>
        <v>1</v>
      </c>
    </row>
    <row r="1788" spans="13:13" x14ac:dyDescent="0.25">
      <c r="M1788">
        <f t="shared" si="83"/>
        <v>1</v>
      </c>
    </row>
    <row r="1789" spans="13:13" x14ac:dyDescent="0.25">
      <c r="M1789">
        <f t="shared" si="83"/>
        <v>1</v>
      </c>
    </row>
    <row r="1790" spans="13:13" x14ac:dyDescent="0.25">
      <c r="M1790">
        <f t="shared" si="83"/>
        <v>1</v>
      </c>
    </row>
    <row r="1791" spans="13:13" x14ac:dyDescent="0.25">
      <c r="M1791">
        <f t="shared" si="83"/>
        <v>1</v>
      </c>
    </row>
    <row r="1792" spans="13:13" x14ac:dyDescent="0.25">
      <c r="M1792">
        <f t="shared" si="83"/>
        <v>1</v>
      </c>
    </row>
    <row r="1793" spans="13:13" x14ac:dyDescent="0.25">
      <c r="M1793">
        <f t="shared" si="83"/>
        <v>1</v>
      </c>
    </row>
    <row r="1794" spans="13:13" x14ac:dyDescent="0.25">
      <c r="M1794">
        <f t="shared" ref="M1794:M1857" si="84">IF(OR(IF(K1794&lt;0.2,1,0),IF(L1794&lt;0.5,1,0)),1,0)</f>
        <v>1</v>
      </c>
    </row>
    <row r="1795" spans="13:13" x14ac:dyDescent="0.25">
      <c r="M1795">
        <f t="shared" si="84"/>
        <v>1</v>
      </c>
    </row>
    <row r="1796" spans="13:13" x14ac:dyDescent="0.25">
      <c r="M1796">
        <f t="shared" si="84"/>
        <v>1</v>
      </c>
    </row>
    <row r="1797" spans="13:13" x14ac:dyDescent="0.25">
      <c r="M1797">
        <f t="shared" si="84"/>
        <v>1</v>
      </c>
    </row>
    <row r="1798" spans="13:13" x14ac:dyDescent="0.25">
      <c r="M1798">
        <f t="shared" si="84"/>
        <v>1</v>
      </c>
    </row>
    <row r="1799" spans="13:13" x14ac:dyDescent="0.25">
      <c r="M1799">
        <f t="shared" si="84"/>
        <v>1</v>
      </c>
    </row>
    <row r="1800" spans="13:13" x14ac:dyDescent="0.25">
      <c r="M1800">
        <f t="shared" si="84"/>
        <v>1</v>
      </c>
    </row>
    <row r="1801" spans="13:13" x14ac:dyDescent="0.25">
      <c r="M1801">
        <f t="shared" si="84"/>
        <v>1</v>
      </c>
    </row>
    <row r="1802" spans="13:13" x14ac:dyDescent="0.25">
      <c r="M1802">
        <f t="shared" si="84"/>
        <v>1</v>
      </c>
    </row>
    <row r="1803" spans="13:13" x14ac:dyDescent="0.25">
      <c r="M1803">
        <f t="shared" si="84"/>
        <v>1</v>
      </c>
    </row>
    <row r="1804" spans="13:13" x14ac:dyDescent="0.25">
      <c r="M1804">
        <f t="shared" si="84"/>
        <v>1</v>
      </c>
    </row>
    <row r="1805" spans="13:13" x14ac:dyDescent="0.25">
      <c r="M1805">
        <f t="shared" si="84"/>
        <v>1</v>
      </c>
    </row>
    <row r="1806" spans="13:13" x14ac:dyDescent="0.25">
      <c r="M1806">
        <f t="shared" si="84"/>
        <v>1</v>
      </c>
    </row>
    <row r="1807" spans="13:13" x14ac:dyDescent="0.25">
      <c r="M1807">
        <f t="shared" si="84"/>
        <v>1</v>
      </c>
    </row>
    <row r="1808" spans="13:13" x14ac:dyDescent="0.25">
      <c r="M1808">
        <f t="shared" si="84"/>
        <v>1</v>
      </c>
    </row>
    <row r="1809" spans="13:13" x14ac:dyDescent="0.25">
      <c r="M1809">
        <f t="shared" si="84"/>
        <v>1</v>
      </c>
    </row>
    <row r="1810" spans="13:13" x14ac:dyDescent="0.25">
      <c r="M1810">
        <f t="shared" si="84"/>
        <v>1</v>
      </c>
    </row>
    <row r="1811" spans="13:13" x14ac:dyDescent="0.25">
      <c r="M1811">
        <f t="shared" si="84"/>
        <v>1</v>
      </c>
    </row>
    <row r="1812" spans="13:13" x14ac:dyDescent="0.25">
      <c r="M1812">
        <f t="shared" si="84"/>
        <v>1</v>
      </c>
    </row>
    <row r="1813" spans="13:13" x14ac:dyDescent="0.25">
      <c r="M1813">
        <f t="shared" si="84"/>
        <v>1</v>
      </c>
    </row>
    <row r="1814" spans="13:13" x14ac:dyDescent="0.25">
      <c r="M1814">
        <f t="shared" si="84"/>
        <v>1</v>
      </c>
    </row>
    <row r="1815" spans="13:13" x14ac:dyDescent="0.25">
      <c r="M1815">
        <f t="shared" si="84"/>
        <v>1</v>
      </c>
    </row>
    <row r="1816" spans="13:13" x14ac:dyDescent="0.25">
      <c r="M1816">
        <f t="shared" si="84"/>
        <v>1</v>
      </c>
    </row>
    <row r="1817" spans="13:13" x14ac:dyDescent="0.25">
      <c r="M1817">
        <f t="shared" si="84"/>
        <v>1</v>
      </c>
    </row>
    <row r="1818" spans="13:13" x14ac:dyDescent="0.25">
      <c r="M1818">
        <f t="shared" si="84"/>
        <v>1</v>
      </c>
    </row>
    <row r="1819" spans="13:13" x14ac:dyDescent="0.25">
      <c r="M1819">
        <f t="shared" si="84"/>
        <v>1</v>
      </c>
    </row>
    <row r="1820" spans="13:13" x14ac:dyDescent="0.25">
      <c r="M1820">
        <f t="shared" si="84"/>
        <v>1</v>
      </c>
    </row>
    <row r="1821" spans="13:13" x14ac:dyDescent="0.25">
      <c r="M1821">
        <f t="shared" si="84"/>
        <v>1</v>
      </c>
    </row>
    <row r="1822" spans="13:13" x14ac:dyDescent="0.25">
      <c r="M1822">
        <f t="shared" si="84"/>
        <v>1</v>
      </c>
    </row>
    <row r="1823" spans="13:13" x14ac:dyDescent="0.25">
      <c r="M1823">
        <f t="shared" si="84"/>
        <v>1</v>
      </c>
    </row>
    <row r="1824" spans="13:13" x14ac:dyDescent="0.25">
      <c r="M1824">
        <f t="shared" si="84"/>
        <v>1</v>
      </c>
    </row>
    <row r="1825" spans="13:13" x14ac:dyDescent="0.25">
      <c r="M1825">
        <f t="shared" si="84"/>
        <v>1</v>
      </c>
    </row>
    <row r="1826" spans="13:13" x14ac:dyDescent="0.25">
      <c r="M1826">
        <f t="shared" si="84"/>
        <v>1</v>
      </c>
    </row>
    <row r="1827" spans="13:13" x14ac:dyDescent="0.25">
      <c r="M1827">
        <f t="shared" si="84"/>
        <v>1</v>
      </c>
    </row>
    <row r="1828" spans="13:13" x14ac:dyDescent="0.25">
      <c r="M1828">
        <f t="shared" si="84"/>
        <v>1</v>
      </c>
    </row>
    <row r="1829" spans="13:13" x14ac:dyDescent="0.25">
      <c r="M1829">
        <f t="shared" si="84"/>
        <v>1</v>
      </c>
    </row>
    <row r="1830" spans="13:13" x14ac:dyDescent="0.25">
      <c r="M1830">
        <f t="shared" si="84"/>
        <v>1</v>
      </c>
    </row>
    <row r="1831" spans="13:13" x14ac:dyDescent="0.25">
      <c r="M1831">
        <f t="shared" si="84"/>
        <v>1</v>
      </c>
    </row>
    <row r="1832" spans="13:13" x14ac:dyDescent="0.25">
      <c r="M1832">
        <f t="shared" si="84"/>
        <v>1</v>
      </c>
    </row>
    <row r="1833" spans="13:13" x14ac:dyDescent="0.25">
      <c r="M1833">
        <f t="shared" si="84"/>
        <v>1</v>
      </c>
    </row>
    <row r="1834" spans="13:13" x14ac:dyDescent="0.25">
      <c r="M1834">
        <f t="shared" si="84"/>
        <v>1</v>
      </c>
    </row>
    <row r="1835" spans="13:13" x14ac:dyDescent="0.25">
      <c r="M1835">
        <f t="shared" si="84"/>
        <v>1</v>
      </c>
    </row>
    <row r="1836" spans="13:13" x14ac:dyDescent="0.25">
      <c r="M1836">
        <f t="shared" si="84"/>
        <v>1</v>
      </c>
    </row>
    <row r="1837" spans="13:13" x14ac:dyDescent="0.25">
      <c r="M1837">
        <f t="shared" si="84"/>
        <v>1</v>
      </c>
    </row>
    <row r="1838" spans="13:13" x14ac:dyDescent="0.25">
      <c r="M1838">
        <f t="shared" si="84"/>
        <v>1</v>
      </c>
    </row>
    <row r="1839" spans="13:13" x14ac:dyDescent="0.25">
      <c r="M1839">
        <f t="shared" si="84"/>
        <v>1</v>
      </c>
    </row>
    <row r="1840" spans="13:13" x14ac:dyDescent="0.25">
      <c r="M1840">
        <f t="shared" si="84"/>
        <v>1</v>
      </c>
    </row>
    <row r="1841" spans="13:13" x14ac:dyDescent="0.25">
      <c r="M1841">
        <f t="shared" si="84"/>
        <v>1</v>
      </c>
    </row>
    <row r="1842" spans="13:13" x14ac:dyDescent="0.25">
      <c r="M1842">
        <f t="shared" si="84"/>
        <v>1</v>
      </c>
    </row>
    <row r="1843" spans="13:13" x14ac:dyDescent="0.25">
      <c r="M1843">
        <f t="shared" si="84"/>
        <v>1</v>
      </c>
    </row>
    <row r="1844" spans="13:13" x14ac:dyDescent="0.25">
      <c r="M1844">
        <f t="shared" si="84"/>
        <v>1</v>
      </c>
    </row>
    <row r="1845" spans="13:13" x14ac:dyDescent="0.25">
      <c r="M1845">
        <f t="shared" si="84"/>
        <v>1</v>
      </c>
    </row>
    <row r="1846" spans="13:13" x14ac:dyDescent="0.25">
      <c r="M1846">
        <f t="shared" si="84"/>
        <v>1</v>
      </c>
    </row>
    <row r="1847" spans="13:13" x14ac:dyDescent="0.25">
      <c r="M1847">
        <f t="shared" si="84"/>
        <v>1</v>
      </c>
    </row>
    <row r="1848" spans="13:13" x14ac:dyDescent="0.25">
      <c r="M1848">
        <f t="shared" si="84"/>
        <v>1</v>
      </c>
    </row>
    <row r="1849" spans="13:13" x14ac:dyDescent="0.25">
      <c r="M1849">
        <f t="shared" si="84"/>
        <v>1</v>
      </c>
    </row>
    <row r="1850" spans="13:13" x14ac:dyDescent="0.25">
      <c r="M1850">
        <f t="shared" si="84"/>
        <v>1</v>
      </c>
    </row>
    <row r="1851" spans="13:13" x14ac:dyDescent="0.25">
      <c r="M1851">
        <f t="shared" si="84"/>
        <v>1</v>
      </c>
    </row>
    <row r="1852" spans="13:13" x14ac:dyDescent="0.25">
      <c r="M1852">
        <f t="shared" si="84"/>
        <v>1</v>
      </c>
    </row>
    <row r="1853" spans="13:13" x14ac:dyDescent="0.25">
      <c r="M1853">
        <f t="shared" si="84"/>
        <v>1</v>
      </c>
    </row>
    <row r="1854" spans="13:13" x14ac:dyDescent="0.25">
      <c r="M1854">
        <f t="shared" si="84"/>
        <v>1</v>
      </c>
    </row>
    <row r="1855" spans="13:13" x14ac:dyDescent="0.25">
      <c r="M1855">
        <f t="shared" si="84"/>
        <v>1</v>
      </c>
    </row>
    <row r="1856" spans="13:13" x14ac:dyDescent="0.25">
      <c r="M1856">
        <f t="shared" si="84"/>
        <v>1</v>
      </c>
    </row>
    <row r="1857" spans="13:13" x14ac:dyDescent="0.25">
      <c r="M1857">
        <f t="shared" si="84"/>
        <v>1</v>
      </c>
    </row>
    <row r="1858" spans="13:13" x14ac:dyDescent="0.25">
      <c r="M1858">
        <f t="shared" ref="M1858:M1921" si="85">IF(OR(IF(K1858&lt;0.2,1,0),IF(L1858&lt;0.5,1,0)),1,0)</f>
        <v>1</v>
      </c>
    </row>
    <row r="1859" spans="13:13" x14ac:dyDescent="0.25">
      <c r="M1859">
        <f t="shared" si="85"/>
        <v>1</v>
      </c>
    </row>
    <row r="1860" spans="13:13" x14ac:dyDescent="0.25">
      <c r="M1860">
        <f t="shared" si="85"/>
        <v>1</v>
      </c>
    </row>
    <row r="1861" spans="13:13" x14ac:dyDescent="0.25">
      <c r="M1861">
        <f t="shared" si="85"/>
        <v>1</v>
      </c>
    </row>
    <row r="1862" spans="13:13" x14ac:dyDescent="0.25">
      <c r="M1862">
        <f t="shared" si="85"/>
        <v>1</v>
      </c>
    </row>
    <row r="1863" spans="13:13" x14ac:dyDescent="0.25">
      <c r="M1863">
        <f t="shared" si="85"/>
        <v>1</v>
      </c>
    </row>
    <row r="1864" spans="13:13" x14ac:dyDescent="0.25">
      <c r="M1864">
        <f t="shared" si="85"/>
        <v>1</v>
      </c>
    </row>
    <row r="1865" spans="13:13" x14ac:dyDescent="0.25">
      <c r="M1865">
        <f t="shared" si="85"/>
        <v>1</v>
      </c>
    </row>
    <row r="1866" spans="13:13" x14ac:dyDescent="0.25">
      <c r="M1866">
        <f t="shared" si="85"/>
        <v>1</v>
      </c>
    </row>
    <row r="1867" spans="13:13" x14ac:dyDescent="0.25">
      <c r="M1867">
        <f t="shared" si="85"/>
        <v>1</v>
      </c>
    </row>
    <row r="1868" spans="13:13" x14ac:dyDescent="0.25">
      <c r="M1868">
        <f t="shared" si="85"/>
        <v>1</v>
      </c>
    </row>
    <row r="1869" spans="13:13" x14ac:dyDescent="0.25">
      <c r="M1869">
        <f t="shared" si="85"/>
        <v>1</v>
      </c>
    </row>
    <row r="1870" spans="13:13" x14ac:dyDescent="0.25">
      <c r="M1870">
        <f t="shared" si="85"/>
        <v>1</v>
      </c>
    </row>
    <row r="1871" spans="13:13" x14ac:dyDescent="0.25">
      <c r="M1871">
        <f t="shared" si="85"/>
        <v>1</v>
      </c>
    </row>
    <row r="1872" spans="13:13" x14ac:dyDescent="0.25">
      <c r="M1872">
        <f t="shared" si="85"/>
        <v>1</v>
      </c>
    </row>
    <row r="1873" spans="13:13" x14ac:dyDescent="0.25">
      <c r="M1873">
        <f t="shared" si="85"/>
        <v>1</v>
      </c>
    </row>
    <row r="1874" spans="13:13" x14ac:dyDescent="0.25">
      <c r="M1874">
        <f t="shared" si="85"/>
        <v>1</v>
      </c>
    </row>
    <row r="1875" spans="13:13" x14ac:dyDescent="0.25">
      <c r="M1875">
        <f t="shared" si="85"/>
        <v>1</v>
      </c>
    </row>
    <row r="1876" spans="13:13" x14ac:dyDescent="0.25">
      <c r="M1876">
        <f t="shared" si="85"/>
        <v>1</v>
      </c>
    </row>
    <row r="1877" spans="13:13" x14ac:dyDescent="0.25">
      <c r="M1877">
        <f t="shared" si="85"/>
        <v>1</v>
      </c>
    </row>
    <row r="1878" spans="13:13" x14ac:dyDescent="0.25">
      <c r="M1878">
        <f t="shared" si="85"/>
        <v>1</v>
      </c>
    </row>
    <row r="1879" spans="13:13" x14ac:dyDescent="0.25">
      <c r="M1879">
        <f t="shared" si="85"/>
        <v>1</v>
      </c>
    </row>
    <row r="1880" spans="13:13" x14ac:dyDescent="0.25">
      <c r="M1880">
        <f t="shared" si="85"/>
        <v>1</v>
      </c>
    </row>
    <row r="1881" spans="13:13" x14ac:dyDescent="0.25">
      <c r="M1881">
        <f t="shared" si="85"/>
        <v>1</v>
      </c>
    </row>
    <row r="1882" spans="13:13" x14ac:dyDescent="0.25">
      <c r="M1882">
        <f t="shared" si="85"/>
        <v>1</v>
      </c>
    </row>
    <row r="1883" spans="13:13" x14ac:dyDescent="0.25">
      <c r="M1883">
        <f t="shared" si="85"/>
        <v>1</v>
      </c>
    </row>
    <row r="1884" spans="13:13" x14ac:dyDescent="0.25">
      <c r="M1884">
        <f t="shared" si="85"/>
        <v>1</v>
      </c>
    </row>
    <row r="1885" spans="13:13" x14ac:dyDescent="0.25">
      <c r="M1885">
        <f t="shared" si="85"/>
        <v>1</v>
      </c>
    </row>
    <row r="1886" spans="13:13" x14ac:dyDescent="0.25">
      <c r="M1886">
        <f t="shared" si="85"/>
        <v>1</v>
      </c>
    </row>
    <row r="1887" spans="13:13" x14ac:dyDescent="0.25">
      <c r="M1887">
        <f t="shared" si="85"/>
        <v>1</v>
      </c>
    </row>
    <row r="1888" spans="13:13" x14ac:dyDescent="0.25">
      <c r="M1888">
        <f t="shared" si="85"/>
        <v>1</v>
      </c>
    </row>
    <row r="1889" spans="13:13" x14ac:dyDescent="0.25">
      <c r="M1889">
        <f t="shared" si="85"/>
        <v>1</v>
      </c>
    </row>
    <row r="1890" spans="13:13" x14ac:dyDescent="0.25">
      <c r="M1890">
        <f t="shared" si="85"/>
        <v>1</v>
      </c>
    </row>
    <row r="1891" spans="13:13" x14ac:dyDescent="0.25">
      <c r="M1891">
        <f t="shared" si="85"/>
        <v>1</v>
      </c>
    </row>
    <row r="1892" spans="13:13" x14ac:dyDescent="0.25">
      <c r="M1892">
        <f t="shared" si="85"/>
        <v>1</v>
      </c>
    </row>
    <row r="1893" spans="13:13" x14ac:dyDescent="0.25">
      <c r="M1893">
        <f t="shared" si="85"/>
        <v>1</v>
      </c>
    </row>
    <row r="1894" spans="13:13" x14ac:dyDescent="0.25">
      <c r="M1894">
        <f t="shared" si="85"/>
        <v>1</v>
      </c>
    </row>
    <row r="1895" spans="13:13" x14ac:dyDescent="0.25">
      <c r="M1895">
        <f t="shared" si="85"/>
        <v>1</v>
      </c>
    </row>
    <row r="1896" spans="13:13" x14ac:dyDescent="0.25">
      <c r="M1896">
        <f t="shared" si="85"/>
        <v>1</v>
      </c>
    </row>
    <row r="1897" spans="13:13" x14ac:dyDescent="0.25">
      <c r="M1897">
        <f t="shared" si="85"/>
        <v>1</v>
      </c>
    </row>
    <row r="1898" spans="13:13" x14ac:dyDescent="0.25">
      <c r="M1898">
        <f t="shared" si="85"/>
        <v>1</v>
      </c>
    </row>
    <row r="1899" spans="13:13" x14ac:dyDescent="0.25">
      <c r="M1899">
        <f t="shared" si="85"/>
        <v>1</v>
      </c>
    </row>
    <row r="1900" spans="13:13" x14ac:dyDescent="0.25">
      <c r="M1900">
        <f t="shared" si="85"/>
        <v>1</v>
      </c>
    </row>
    <row r="1901" spans="13:13" x14ac:dyDescent="0.25">
      <c r="M1901">
        <f t="shared" si="85"/>
        <v>1</v>
      </c>
    </row>
    <row r="1902" spans="13:13" x14ac:dyDescent="0.25">
      <c r="M1902">
        <f t="shared" si="85"/>
        <v>1</v>
      </c>
    </row>
    <row r="1903" spans="13:13" x14ac:dyDescent="0.25">
      <c r="M1903">
        <f t="shared" si="85"/>
        <v>1</v>
      </c>
    </row>
    <row r="1904" spans="13:13" x14ac:dyDescent="0.25">
      <c r="M1904">
        <f t="shared" si="85"/>
        <v>1</v>
      </c>
    </row>
    <row r="1905" spans="13:13" x14ac:dyDescent="0.25">
      <c r="M1905">
        <f t="shared" si="85"/>
        <v>1</v>
      </c>
    </row>
    <row r="1906" spans="13:13" x14ac:dyDescent="0.25">
      <c r="M1906">
        <f t="shared" si="85"/>
        <v>1</v>
      </c>
    </row>
    <row r="1907" spans="13:13" x14ac:dyDescent="0.25">
      <c r="M1907">
        <f t="shared" si="85"/>
        <v>1</v>
      </c>
    </row>
    <row r="1908" spans="13:13" x14ac:dyDescent="0.25">
      <c r="M1908">
        <f t="shared" si="85"/>
        <v>1</v>
      </c>
    </row>
    <row r="1909" spans="13:13" x14ac:dyDescent="0.25">
      <c r="M1909">
        <f t="shared" si="85"/>
        <v>1</v>
      </c>
    </row>
    <row r="1910" spans="13:13" x14ac:dyDescent="0.25">
      <c r="M1910">
        <f t="shared" si="85"/>
        <v>1</v>
      </c>
    </row>
    <row r="1911" spans="13:13" x14ac:dyDescent="0.25">
      <c r="M1911">
        <f t="shared" si="85"/>
        <v>1</v>
      </c>
    </row>
    <row r="1912" spans="13:13" x14ac:dyDescent="0.25">
      <c r="M1912">
        <f t="shared" si="85"/>
        <v>1</v>
      </c>
    </row>
    <row r="1913" spans="13:13" x14ac:dyDescent="0.25">
      <c r="M1913">
        <f t="shared" si="85"/>
        <v>1</v>
      </c>
    </row>
    <row r="1914" spans="13:13" x14ac:dyDescent="0.25">
      <c r="M1914">
        <f t="shared" si="85"/>
        <v>1</v>
      </c>
    </row>
    <row r="1915" spans="13:13" x14ac:dyDescent="0.25">
      <c r="M1915">
        <f t="shared" si="85"/>
        <v>1</v>
      </c>
    </row>
    <row r="1916" spans="13:13" x14ac:dyDescent="0.25">
      <c r="M1916">
        <f t="shared" si="85"/>
        <v>1</v>
      </c>
    </row>
    <row r="1917" spans="13:13" x14ac:dyDescent="0.25">
      <c r="M1917">
        <f t="shared" si="85"/>
        <v>1</v>
      </c>
    </row>
    <row r="1918" spans="13:13" x14ac:dyDescent="0.25">
      <c r="M1918">
        <f t="shared" si="85"/>
        <v>1</v>
      </c>
    </row>
    <row r="1919" spans="13:13" x14ac:dyDescent="0.25">
      <c r="M1919">
        <f t="shared" si="85"/>
        <v>1</v>
      </c>
    </row>
    <row r="1920" spans="13:13" x14ac:dyDescent="0.25">
      <c r="M1920">
        <f t="shared" si="85"/>
        <v>1</v>
      </c>
    </row>
    <row r="1921" spans="13:13" x14ac:dyDescent="0.25">
      <c r="M1921">
        <f t="shared" si="85"/>
        <v>1</v>
      </c>
    </row>
    <row r="1922" spans="13:13" x14ac:dyDescent="0.25">
      <c r="M1922">
        <f t="shared" ref="M1922:M1985" si="86">IF(OR(IF(K1922&lt;0.2,1,0),IF(L1922&lt;0.5,1,0)),1,0)</f>
        <v>1</v>
      </c>
    </row>
    <row r="1923" spans="13:13" x14ac:dyDescent="0.25">
      <c r="M1923">
        <f t="shared" si="86"/>
        <v>1</v>
      </c>
    </row>
    <row r="1924" spans="13:13" x14ac:dyDescent="0.25">
      <c r="M1924">
        <f t="shared" si="86"/>
        <v>1</v>
      </c>
    </row>
    <row r="1925" spans="13:13" x14ac:dyDescent="0.25">
      <c r="M1925">
        <f t="shared" si="86"/>
        <v>1</v>
      </c>
    </row>
    <row r="1926" spans="13:13" x14ac:dyDescent="0.25">
      <c r="M1926">
        <f t="shared" si="86"/>
        <v>1</v>
      </c>
    </row>
    <row r="1927" spans="13:13" x14ac:dyDescent="0.25">
      <c r="M1927">
        <f t="shared" si="86"/>
        <v>1</v>
      </c>
    </row>
    <row r="1928" spans="13:13" x14ac:dyDescent="0.25">
      <c r="M1928">
        <f t="shared" si="86"/>
        <v>1</v>
      </c>
    </row>
    <row r="1929" spans="13:13" x14ac:dyDescent="0.25">
      <c r="M1929">
        <f t="shared" si="86"/>
        <v>1</v>
      </c>
    </row>
    <row r="1930" spans="13:13" x14ac:dyDescent="0.25">
      <c r="M1930">
        <f t="shared" si="86"/>
        <v>1</v>
      </c>
    </row>
    <row r="1931" spans="13:13" x14ac:dyDescent="0.25">
      <c r="M1931">
        <f t="shared" si="86"/>
        <v>1</v>
      </c>
    </row>
    <row r="1932" spans="13:13" x14ac:dyDescent="0.25">
      <c r="M1932">
        <f t="shared" si="86"/>
        <v>1</v>
      </c>
    </row>
    <row r="1933" spans="13:13" x14ac:dyDescent="0.25">
      <c r="M1933">
        <f t="shared" si="86"/>
        <v>1</v>
      </c>
    </row>
    <row r="1934" spans="13:13" x14ac:dyDescent="0.25">
      <c r="M1934">
        <f t="shared" si="86"/>
        <v>1</v>
      </c>
    </row>
    <row r="1935" spans="13:13" x14ac:dyDescent="0.25">
      <c r="M1935">
        <f t="shared" si="86"/>
        <v>1</v>
      </c>
    </row>
    <row r="1936" spans="13:13" x14ac:dyDescent="0.25">
      <c r="M1936">
        <f t="shared" si="86"/>
        <v>1</v>
      </c>
    </row>
    <row r="1937" spans="13:13" x14ac:dyDescent="0.25">
      <c r="M1937">
        <f t="shared" si="86"/>
        <v>1</v>
      </c>
    </row>
    <row r="1938" spans="13:13" x14ac:dyDescent="0.25">
      <c r="M1938">
        <f t="shared" si="86"/>
        <v>1</v>
      </c>
    </row>
    <row r="1939" spans="13:13" x14ac:dyDescent="0.25">
      <c r="M1939">
        <f t="shared" si="86"/>
        <v>1</v>
      </c>
    </row>
    <row r="1940" spans="13:13" x14ac:dyDescent="0.25">
      <c r="M1940">
        <f t="shared" si="86"/>
        <v>1</v>
      </c>
    </row>
    <row r="1941" spans="13:13" x14ac:dyDescent="0.25">
      <c r="M1941">
        <f t="shared" si="86"/>
        <v>1</v>
      </c>
    </row>
    <row r="1942" spans="13:13" x14ac:dyDescent="0.25">
      <c r="M1942">
        <f t="shared" si="86"/>
        <v>1</v>
      </c>
    </row>
    <row r="1943" spans="13:13" x14ac:dyDescent="0.25">
      <c r="M1943">
        <f t="shared" si="86"/>
        <v>1</v>
      </c>
    </row>
    <row r="1944" spans="13:13" x14ac:dyDescent="0.25">
      <c r="M1944">
        <f t="shared" si="86"/>
        <v>1</v>
      </c>
    </row>
    <row r="1945" spans="13:13" x14ac:dyDescent="0.25">
      <c r="M1945">
        <f t="shared" si="86"/>
        <v>1</v>
      </c>
    </row>
    <row r="1946" spans="13:13" x14ac:dyDescent="0.25">
      <c r="M1946">
        <f t="shared" si="86"/>
        <v>1</v>
      </c>
    </row>
    <row r="1947" spans="13:13" x14ac:dyDescent="0.25">
      <c r="M1947">
        <f t="shared" si="86"/>
        <v>1</v>
      </c>
    </row>
    <row r="1948" spans="13:13" x14ac:dyDescent="0.25">
      <c r="M1948">
        <f t="shared" si="86"/>
        <v>1</v>
      </c>
    </row>
    <row r="1949" spans="13:13" x14ac:dyDescent="0.25">
      <c r="M1949">
        <f t="shared" si="86"/>
        <v>1</v>
      </c>
    </row>
    <row r="1950" spans="13:13" x14ac:dyDescent="0.25">
      <c r="M1950">
        <f t="shared" si="86"/>
        <v>1</v>
      </c>
    </row>
    <row r="1951" spans="13:13" x14ac:dyDescent="0.25">
      <c r="M1951">
        <f t="shared" si="86"/>
        <v>1</v>
      </c>
    </row>
    <row r="1952" spans="13:13" x14ac:dyDescent="0.25">
      <c r="M1952">
        <f t="shared" si="86"/>
        <v>1</v>
      </c>
    </row>
    <row r="1953" spans="13:13" x14ac:dyDescent="0.25">
      <c r="M1953">
        <f t="shared" si="86"/>
        <v>1</v>
      </c>
    </row>
    <row r="1954" spans="13:13" x14ac:dyDescent="0.25">
      <c r="M1954">
        <f t="shared" si="86"/>
        <v>1</v>
      </c>
    </row>
    <row r="1955" spans="13:13" x14ac:dyDescent="0.25">
      <c r="M1955">
        <f t="shared" si="86"/>
        <v>1</v>
      </c>
    </row>
    <row r="1956" spans="13:13" x14ac:dyDescent="0.25">
      <c r="M1956">
        <f t="shared" si="86"/>
        <v>1</v>
      </c>
    </row>
    <row r="1957" spans="13:13" x14ac:dyDescent="0.25">
      <c r="M1957">
        <f t="shared" si="86"/>
        <v>1</v>
      </c>
    </row>
    <row r="1958" spans="13:13" x14ac:dyDescent="0.25">
      <c r="M1958">
        <f t="shared" si="86"/>
        <v>1</v>
      </c>
    </row>
    <row r="1959" spans="13:13" x14ac:dyDescent="0.25">
      <c r="M1959">
        <f t="shared" si="86"/>
        <v>1</v>
      </c>
    </row>
    <row r="1960" spans="13:13" x14ac:dyDescent="0.25">
      <c r="M1960">
        <f t="shared" si="86"/>
        <v>1</v>
      </c>
    </row>
    <row r="1961" spans="13:13" x14ac:dyDescent="0.25">
      <c r="M1961">
        <f t="shared" si="86"/>
        <v>1</v>
      </c>
    </row>
    <row r="1962" spans="13:13" x14ac:dyDescent="0.25">
      <c r="M1962">
        <f t="shared" si="86"/>
        <v>1</v>
      </c>
    </row>
    <row r="1963" spans="13:13" x14ac:dyDescent="0.25">
      <c r="M1963">
        <f t="shared" si="86"/>
        <v>1</v>
      </c>
    </row>
    <row r="1964" spans="13:13" x14ac:dyDescent="0.25">
      <c r="M1964">
        <f t="shared" si="86"/>
        <v>1</v>
      </c>
    </row>
    <row r="1965" spans="13:13" x14ac:dyDescent="0.25">
      <c r="M1965">
        <f t="shared" si="86"/>
        <v>1</v>
      </c>
    </row>
    <row r="1966" spans="13:13" x14ac:dyDescent="0.25">
      <c r="M1966">
        <f t="shared" si="86"/>
        <v>1</v>
      </c>
    </row>
    <row r="1967" spans="13:13" x14ac:dyDescent="0.25">
      <c r="M1967">
        <f t="shared" si="86"/>
        <v>1</v>
      </c>
    </row>
    <row r="1968" spans="13:13" x14ac:dyDescent="0.25">
      <c r="M1968">
        <f t="shared" si="86"/>
        <v>1</v>
      </c>
    </row>
    <row r="1969" spans="13:13" x14ac:dyDescent="0.25">
      <c r="M1969">
        <f t="shared" si="86"/>
        <v>1</v>
      </c>
    </row>
    <row r="1970" spans="13:13" x14ac:dyDescent="0.25">
      <c r="M1970">
        <f t="shared" si="86"/>
        <v>1</v>
      </c>
    </row>
    <row r="1971" spans="13:13" x14ac:dyDescent="0.25">
      <c r="M1971">
        <f t="shared" si="86"/>
        <v>1</v>
      </c>
    </row>
    <row r="1972" spans="13:13" x14ac:dyDescent="0.25">
      <c r="M1972">
        <f t="shared" si="86"/>
        <v>1</v>
      </c>
    </row>
    <row r="1973" spans="13:13" x14ac:dyDescent="0.25">
      <c r="M1973">
        <f t="shared" si="86"/>
        <v>1</v>
      </c>
    </row>
    <row r="1974" spans="13:13" x14ac:dyDescent="0.25">
      <c r="M1974">
        <f t="shared" si="86"/>
        <v>1</v>
      </c>
    </row>
    <row r="1975" spans="13:13" x14ac:dyDescent="0.25">
      <c r="M1975">
        <f t="shared" si="86"/>
        <v>1</v>
      </c>
    </row>
    <row r="1976" spans="13:13" x14ac:dyDescent="0.25">
      <c r="M1976">
        <f t="shared" si="86"/>
        <v>1</v>
      </c>
    </row>
    <row r="1977" spans="13:13" x14ac:dyDescent="0.25">
      <c r="M1977">
        <f t="shared" si="86"/>
        <v>1</v>
      </c>
    </row>
    <row r="1978" spans="13:13" x14ac:dyDescent="0.25">
      <c r="M1978">
        <f t="shared" si="86"/>
        <v>1</v>
      </c>
    </row>
    <row r="1979" spans="13:13" x14ac:dyDescent="0.25">
      <c r="M1979">
        <f t="shared" si="86"/>
        <v>1</v>
      </c>
    </row>
    <row r="1980" spans="13:13" x14ac:dyDescent="0.25">
      <c r="M1980">
        <f t="shared" si="86"/>
        <v>1</v>
      </c>
    </row>
    <row r="1981" spans="13:13" x14ac:dyDescent="0.25">
      <c r="M1981">
        <f t="shared" si="86"/>
        <v>1</v>
      </c>
    </row>
    <row r="1982" spans="13:13" x14ac:dyDescent="0.25">
      <c r="M1982">
        <f t="shared" si="86"/>
        <v>1</v>
      </c>
    </row>
    <row r="1983" spans="13:13" x14ac:dyDescent="0.25">
      <c r="M1983">
        <f t="shared" si="86"/>
        <v>1</v>
      </c>
    </row>
    <row r="1984" spans="13:13" x14ac:dyDescent="0.25">
      <c r="M1984">
        <f t="shared" si="86"/>
        <v>1</v>
      </c>
    </row>
    <row r="1985" spans="13:13" x14ac:dyDescent="0.25">
      <c r="M1985">
        <f t="shared" si="86"/>
        <v>1</v>
      </c>
    </row>
    <row r="1986" spans="13:13" x14ac:dyDescent="0.25">
      <c r="M1986">
        <f t="shared" ref="M1986:M2049" si="87">IF(OR(IF(K1986&lt;0.2,1,0),IF(L1986&lt;0.5,1,0)),1,0)</f>
        <v>1</v>
      </c>
    </row>
    <row r="1987" spans="13:13" x14ac:dyDescent="0.25">
      <c r="M1987">
        <f t="shared" si="87"/>
        <v>1</v>
      </c>
    </row>
    <row r="1988" spans="13:13" x14ac:dyDescent="0.25">
      <c r="M1988">
        <f t="shared" si="87"/>
        <v>1</v>
      </c>
    </row>
    <row r="1989" spans="13:13" x14ac:dyDescent="0.25">
      <c r="M1989">
        <f t="shared" si="87"/>
        <v>1</v>
      </c>
    </row>
    <row r="1990" spans="13:13" x14ac:dyDescent="0.25">
      <c r="M1990">
        <f t="shared" si="87"/>
        <v>1</v>
      </c>
    </row>
    <row r="1991" spans="13:13" x14ac:dyDescent="0.25">
      <c r="M1991">
        <f t="shared" si="87"/>
        <v>1</v>
      </c>
    </row>
    <row r="1992" spans="13:13" x14ac:dyDescent="0.25">
      <c r="M1992">
        <f t="shared" si="87"/>
        <v>1</v>
      </c>
    </row>
    <row r="1993" spans="13:13" x14ac:dyDescent="0.25">
      <c r="M1993">
        <f t="shared" si="87"/>
        <v>1</v>
      </c>
    </row>
    <row r="1994" spans="13:13" x14ac:dyDescent="0.25">
      <c r="M1994">
        <f t="shared" si="87"/>
        <v>1</v>
      </c>
    </row>
    <row r="1995" spans="13:13" x14ac:dyDescent="0.25">
      <c r="M1995">
        <f t="shared" si="87"/>
        <v>1</v>
      </c>
    </row>
    <row r="1996" spans="13:13" x14ac:dyDescent="0.25">
      <c r="M1996">
        <f t="shared" si="87"/>
        <v>1</v>
      </c>
    </row>
    <row r="1997" spans="13:13" x14ac:dyDescent="0.25">
      <c r="M1997">
        <f t="shared" si="87"/>
        <v>1</v>
      </c>
    </row>
    <row r="1998" spans="13:13" x14ac:dyDescent="0.25">
      <c r="M1998">
        <f t="shared" si="87"/>
        <v>1</v>
      </c>
    </row>
    <row r="1999" spans="13:13" x14ac:dyDescent="0.25">
      <c r="M1999">
        <f t="shared" si="87"/>
        <v>1</v>
      </c>
    </row>
    <row r="2000" spans="13:13" x14ac:dyDescent="0.25">
      <c r="M2000">
        <f t="shared" si="87"/>
        <v>1</v>
      </c>
    </row>
    <row r="2001" spans="13:13" x14ac:dyDescent="0.25">
      <c r="M2001">
        <f t="shared" si="87"/>
        <v>1</v>
      </c>
    </row>
    <row r="2002" spans="13:13" x14ac:dyDescent="0.25">
      <c r="M2002">
        <f t="shared" si="87"/>
        <v>1</v>
      </c>
    </row>
    <row r="2003" spans="13:13" x14ac:dyDescent="0.25">
      <c r="M2003">
        <f t="shared" si="87"/>
        <v>1</v>
      </c>
    </row>
    <row r="2004" spans="13:13" x14ac:dyDescent="0.25">
      <c r="M2004">
        <f t="shared" si="87"/>
        <v>1</v>
      </c>
    </row>
    <row r="2005" spans="13:13" x14ac:dyDescent="0.25">
      <c r="M2005">
        <f t="shared" si="87"/>
        <v>1</v>
      </c>
    </row>
    <row r="2006" spans="13:13" x14ac:dyDescent="0.25">
      <c r="M2006">
        <f t="shared" si="87"/>
        <v>1</v>
      </c>
    </row>
    <row r="2007" spans="13:13" x14ac:dyDescent="0.25">
      <c r="M2007">
        <f t="shared" si="87"/>
        <v>1</v>
      </c>
    </row>
    <row r="2008" spans="13:13" x14ac:dyDescent="0.25">
      <c r="M2008">
        <f t="shared" si="87"/>
        <v>1</v>
      </c>
    </row>
    <row r="2009" spans="13:13" x14ac:dyDescent="0.25">
      <c r="M2009">
        <f t="shared" si="87"/>
        <v>1</v>
      </c>
    </row>
    <row r="2010" spans="13:13" x14ac:dyDescent="0.25">
      <c r="M2010">
        <f t="shared" si="87"/>
        <v>1</v>
      </c>
    </row>
    <row r="2011" spans="13:13" x14ac:dyDescent="0.25">
      <c r="M2011">
        <f t="shared" si="87"/>
        <v>1</v>
      </c>
    </row>
    <row r="2012" spans="13:13" x14ac:dyDescent="0.25">
      <c r="M2012">
        <f t="shared" si="87"/>
        <v>1</v>
      </c>
    </row>
    <row r="2013" spans="13:13" x14ac:dyDescent="0.25">
      <c r="M2013">
        <f t="shared" si="87"/>
        <v>1</v>
      </c>
    </row>
    <row r="2014" spans="13:13" x14ac:dyDescent="0.25">
      <c r="M2014">
        <f t="shared" si="87"/>
        <v>1</v>
      </c>
    </row>
    <row r="2015" spans="13:13" x14ac:dyDescent="0.25">
      <c r="M2015">
        <f t="shared" si="87"/>
        <v>1</v>
      </c>
    </row>
    <row r="2016" spans="13:13" x14ac:dyDescent="0.25">
      <c r="M2016">
        <f t="shared" si="87"/>
        <v>1</v>
      </c>
    </row>
    <row r="2017" spans="13:13" x14ac:dyDescent="0.25">
      <c r="M2017">
        <f t="shared" si="87"/>
        <v>1</v>
      </c>
    </row>
    <row r="2018" spans="13:13" x14ac:dyDescent="0.25">
      <c r="M2018">
        <f t="shared" si="87"/>
        <v>1</v>
      </c>
    </row>
    <row r="2019" spans="13:13" x14ac:dyDescent="0.25">
      <c r="M2019">
        <f t="shared" si="87"/>
        <v>1</v>
      </c>
    </row>
    <row r="2020" spans="13:13" x14ac:dyDescent="0.25">
      <c r="M2020">
        <f t="shared" si="87"/>
        <v>1</v>
      </c>
    </row>
    <row r="2021" spans="13:13" x14ac:dyDescent="0.25">
      <c r="M2021">
        <f t="shared" si="87"/>
        <v>1</v>
      </c>
    </row>
    <row r="2022" spans="13:13" x14ac:dyDescent="0.25">
      <c r="M2022">
        <f t="shared" si="87"/>
        <v>1</v>
      </c>
    </row>
    <row r="2023" spans="13:13" x14ac:dyDescent="0.25">
      <c r="M2023">
        <f t="shared" si="87"/>
        <v>1</v>
      </c>
    </row>
    <row r="2024" spans="13:13" x14ac:dyDescent="0.25">
      <c r="M2024">
        <f t="shared" si="87"/>
        <v>1</v>
      </c>
    </row>
    <row r="2025" spans="13:13" x14ac:dyDescent="0.25">
      <c r="M2025">
        <f t="shared" si="87"/>
        <v>1</v>
      </c>
    </row>
    <row r="2026" spans="13:13" x14ac:dyDescent="0.25">
      <c r="M2026">
        <f t="shared" si="87"/>
        <v>1</v>
      </c>
    </row>
    <row r="2027" spans="13:13" x14ac:dyDescent="0.25">
      <c r="M2027">
        <f t="shared" si="87"/>
        <v>1</v>
      </c>
    </row>
    <row r="2028" spans="13:13" x14ac:dyDescent="0.25">
      <c r="M2028">
        <f t="shared" si="87"/>
        <v>1</v>
      </c>
    </row>
    <row r="2029" spans="13:13" x14ac:dyDescent="0.25">
      <c r="M2029">
        <f t="shared" si="87"/>
        <v>1</v>
      </c>
    </row>
    <row r="2030" spans="13:13" x14ac:dyDescent="0.25">
      <c r="M2030">
        <f t="shared" si="87"/>
        <v>1</v>
      </c>
    </row>
    <row r="2031" spans="13:13" x14ac:dyDescent="0.25">
      <c r="M2031">
        <f t="shared" si="87"/>
        <v>1</v>
      </c>
    </row>
    <row r="2032" spans="13:13" x14ac:dyDescent="0.25">
      <c r="M2032">
        <f t="shared" si="87"/>
        <v>1</v>
      </c>
    </row>
    <row r="2033" spans="13:13" x14ac:dyDescent="0.25">
      <c r="M2033">
        <f t="shared" si="87"/>
        <v>1</v>
      </c>
    </row>
    <row r="2034" spans="13:13" x14ac:dyDescent="0.25">
      <c r="M2034">
        <f t="shared" si="87"/>
        <v>1</v>
      </c>
    </row>
    <row r="2035" spans="13:13" x14ac:dyDescent="0.25">
      <c r="M2035">
        <f t="shared" si="87"/>
        <v>1</v>
      </c>
    </row>
    <row r="2036" spans="13:13" x14ac:dyDescent="0.25">
      <c r="M2036">
        <f t="shared" si="87"/>
        <v>1</v>
      </c>
    </row>
    <row r="2037" spans="13:13" x14ac:dyDescent="0.25">
      <c r="M2037">
        <f t="shared" si="87"/>
        <v>1</v>
      </c>
    </row>
    <row r="2038" spans="13:13" x14ac:dyDescent="0.25">
      <c r="M2038">
        <f t="shared" si="87"/>
        <v>1</v>
      </c>
    </row>
    <row r="2039" spans="13:13" x14ac:dyDescent="0.25">
      <c r="M2039">
        <f t="shared" si="87"/>
        <v>1</v>
      </c>
    </row>
    <row r="2040" spans="13:13" x14ac:dyDescent="0.25">
      <c r="M2040">
        <f t="shared" si="87"/>
        <v>1</v>
      </c>
    </row>
    <row r="2041" spans="13:13" x14ac:dyDescent="0.25">
      <c r="M2041">
        <f t="shared" si="87"/>
        <v>1</v>
      </c>
    </row>
    <row r="2042" spans="13:13" x14ac:dyDescent="0.25">
      <c r="M2042">
        <f t="shared" si="87"/>
        <v>1</v>
      </c>
    </row>
    <row r="2043" spans="13:13" x14ac:dyDescent="0.25">
      <c r="M2043">
        <f t="shared" si="87"/>
        <v>1</v>
      </c>
    </row>
    <row r="2044" spans="13:13" x14ac:dyDescent="0.25">
      <c r="M2044">
        <f t="shared" si="87"/>
        <v>1</v>
      </c>
    </row>
    <row r="2045" spans="13:13" x14ac:dyDescent="0.25">
      <c r="M2045">
        <f t="shared" si="87"/>
        <v>1</v>
      </c>
    </row>
    <row r="2046" spans="13:13" x14ac:dyDescent="0.25">
      <c r="M2046">
        <f t="shared" si="87"/>
        <v>1</v>
      </c>
    </row>
    <row r="2047" spans="13:13" x14ac:dyDescent="0.25">
      <c r="M2047">
        <f t="shared" si="87"/>
        <v>1</v>
      </c>
    </row>
    <row r="2048" spans="13:13" x14ac:dyDescent="0.25">
      <c r="M2048">
        <f t="shared" si="87"/>
        <v>1</v>
      </c>
    </row>
    <row r="2049" spans="13:13" x14ac:dyDescent="0.25">
      <c r="M2049">
        <f t="shared" si="87"/>
        <v>1</v>
      </c>
    </row>
    <row r="2050" spans="13:13" x14ac:dyDescent="0.25">
      <c r="M2050">
        <f t="shared" ref="M2050:M2113" si="88">IF(OR(IF(K2050&lt;0.2,1,0),IF(L2050&lt;0.5,1,0)),1,0)</f>
        <v>1</v>
      </c>
    </row>
    <row r="2051" spans="13:13" x14ac:dyDescent="0.25">
      <c r="M2051">
        <f t="shared" si="88"/>
        <v>1</v>
      </c>
    </row>
    <row r="2052" spans="13:13" x14ac:dyDescent="0.25">
      <c r="M2052">
        <f t="shared" si="88"/>
        <v>1</v>
      </c>
    </row>
    <row r="2053" spans="13:13" x14ac:dyDescent="0.25">
      <c r="M2053">
        <f t="shared" si="88"/>
        <v>1</v>
      </c>
    </row>
    <row r="2054" spans="13:13" x14ac:dyDescent="0.25">
      <c r="M2054">
        <f t="shared" si="88"/>
        <v>1</v>
      </c>
    </row>
    <row r="2055" spans="13:13" x14ac:dyDescent="0.25">
      <c r="M2055">
        <f t="shared" si="88"/>
        <v>1</v>
      </c>
    </row>
    <row r="2056" spans="13:13" x14ac:dyDescent="0.25">
      <c r="M2056">
        <f t="shared" si="88"/>
        <v>1</v>
      </c>
    </row>
    <row r="2057" spans="13:13" x14ac:dyDescent="0.25">
      <c r="M2057">
        <f t="shared" si="88"/>
        <v>1</v>
      </c>
    </row>
    <row r="2058" spans="13:13" x14ac:dyDescent="0.25">
      <c r="M2058">
        <f t="shared" si="88"/>
        <v>1</v>
      </c>
    </row>
    <row r="2059" spans="13:13" x14ac:dyDescent="0.25">
      <c r="M2059">
        <f t="shared" si="88"/>
        <v>1</v>
      </c>
    </row>
    <row r="2060" spans="13:13" x14ac:dyDescent="0.25">
      <c r="M2060">
        <f t="shared" si="88"/>
        <v>1</v>
      </c>
    </row>
    <row r="2061" spans="13:13" x14ac:dyDescent="0.25">
      <c r="M2061">
        <f t="shared" si="88"/>
        <v>1</v>
      </c>
    </row>
    <row r="2062" spans="13:13" x14ac:dyDescent="0.25">
      <c r="M2062">
        <f t="shared" si="88"/>
        <v>1</v>
      </c>
    </row>
    <row r="2063" spans="13:13" x14ac:dyDescent="0.25">
      <c r="M2063">
        <f t="shared" si="88"/>
        <v>1</v>
      </c>
    </row>
    <row r="2064" spans="13:13" x14ac:dyDescent="0.25">
      <c r="M2064">
        <f t="shared" si="88"/>
        <v>1</v>
      </c>
    </row>
    <row r="2065" spans="13:13" x14ac:dyDescent="0.25">
      <c r="M2065">
        <f t="shared" si="88"/>
        <v>1</v>
      </c>
    </row>
    <row r="2066" spans="13:13" x14ac:dyDescent="0.25">
      <c r="M2066">
        <f t="shared" si="88"/>
        <v>1</v>
      </c>
    </row>
    <row r="2067" spans="13:13" x14ac:dyDescent="0.25">
      <c r="M2067">
        <f t="shared" si="88"/>
        <v>1</v>
      </c>
    </row>
    <row r="2068" spans="13:13" x14ac:dyDescent="0.25">
      <c r="M2068">
        <f t="shared" si="88"/>
        <v>1</v>
      </c>
    </row>
    <row r="2069" spans="13:13" x14ac:dyDescent="0.25">
      <c r="M2069">
        <f t="shared" si="88"/>
        <v>1</v>
      </c>
    </row>
    <row r="2070" spans="13:13" x14ac:dyDescent="0.25">
      <c r="M2070">
        <f t="shared" si="88"/>
        <v>1</v>
      </c>
    </row>
    <row r="2071" spans="13:13" x14ac:dyDescent="0.25">
      <c r="M2071">
        <f t="shared" si="88"/>
        <v>1</v>
      </c>
    </row>
    <row r="2072" spans="13:13" x14ac:dyDescent="0.25">
      <c r="M2072">
        <f t="shared" si="88"/>
        <v>1</v>
      </c>
    </row>
    <row r="2073" spans="13:13" x14ac:dyDescent="0.25">
      <c r="M2073">
        <f t="shared" si="88"/>
        <v>1</v>
      </c>
    </row>
    <row r="2074" spans="13:13" x14ac:dyDescent="0.25">
      <c r="M2074">
        <f t="shared" si="88"/>
        <v>1</v>
      </c>
    </row>
    <row r="2075" spans="13:13" x14ac:dyDescent="0.25">
      <c r="M2075">
        <f t="shared" si="88"/>
        <v>1</v>
      </c>
    </row>
    <row r="2076" spans="13:13" x14ac:dyDescent="0.25">
      <c r="M2076">
        <f t="shared" si="88"/>
        <v>1</v>
      </c>
    </row>
    <row r="2077" spans="13:13" x14ac:dyDescent="0.25">
      <c r="M2077">
        <f t="shared" si="88"/>
        <v>1</v>
      </c>
    </row>
    <row r="2078" spans="13:13" x14ac:dyDescent="0.25">
      <c r="M2078">
        <f t="shared" si="88"/>
        <v>1</v>
      </c>
    </row>
    <row r="2079" spans="13:13" x14ac:dyDescent="0.25">
      <c r="M2079">
        <f t="shared" si="88"/>
        <v>1</v>
      </c>
    </row>
    <row r="2080" spans="13:13" x14ac:dyDescent="0.25">
      <c r="M2080">
        <f t="shared" si="88"/>
        <v>1</v>
      </c>
    </row>
    <row r="2081" spans="13:13" x14ac:dyDescent="0.25">
      <c r="M2081">
        <f t="shared" si="88"/>
        <v>1</v>
      </c>
    </row>
    <row r="2082" spans="13:13" x14ac:dyDescent="0.25">
      <c r="M2082">
        <f t="shared" si="88"/>
        <v>1</v>
      </c>
    </row>
    <row r="2083" spans="13:13" x14ac:dyDescent="0.25">
      <c r="M2083">
        <f t="shared" si="88"/>
        <v>1</v>
      </c>
    </row>
    <row r="2084" spans="13:13" x14ac:dyDescent="0.25">
      <c r="M2084">
        <f t="shared" si="88"/>
        <v>1</v>
      </c>
    </row>
    <row r="2085" spans="13:13" x14ac:dyDescent="0.25">
      <c r="M2085">
        <f t="shared" si="88"/>
        <v>1</v>
      </c>
    </row>
    <row r="2086" spans="13:13" x14ac:dyDescent="0.25">
      <c r="M2086">
        <f t="shared" si="88"/>
        <v>1</v>
      </c>
    </row>
    <row r="2087" spans="13:13" x14ac:dyDescent="0.25">
      <c r="M2087">
        <f t="shared" si="88"/>
        <v>1</v>
      </c>
    </row>
    <row r="2088" spans="13:13" x14ac:dyDescent="0.25">
      <c r="M2088">
        <f t="shared" si="88"/>
        <v>1</v>
      </c>
    </row>
    <row r="2089" spans="13:13" x14ac:dyDescent="0.25">
      <c r="M2089">
        <f t="shared" si="88"/>
        <v>1</v>
      </c>
    </row>
    <row r="2090" spans="13:13" x14ac:dyDescent="0.25">
      <c r="M2090">
        <f t="shared" si="88"/>
        <v>1</v>
      </c>
    </row>
    <row r="2091" spans="13:13" x14ac:dyDescent="0.25">
      <c r="M2091">
        <f t="shared" si="88"/>
        <v>1</v>
      </c>
    </row>
    <row r="2092" spans="13:13" x14ac:dyDescent="0.25">
      <c r="M2092">
        <f t="shared" si="88"/>
        <v>1</v>
      </c>
    </row>
    <row r="2093" spans="13:13" x14ac:dyDescent="0.25">
      <c r="M2093">
        <f t="shared" si="88"/>
        <v>1</v>
      </c>
    </row>
    <row r="2094" spans="13:13" x14ac:dyDescent="0.25">
      <c r="M2094">
        <f t="shared" si="88"/>
        <v>1</v>
      </c>
    </row>
    <row r="2095" spans="13:13" x14ac:dyDescent="0.25">
      <c r="M2095">
        <f t="shared" si="88"/>
        <v>1</v>
      </c>
    </row>
    <row r="2096" spans="13:13" x14ac:dyDescent="0.25">
      <c r="M2096">
        <f t="shared" si="88"/>
        <v>1</v>
      </c>
    </row>
    <row r="2097" spans="13:13" x14ac:dyDescent="0.25">
      <c r="M2097">
        <f t="shared" si="88"/>
        <v>1</v>
      </c>
    </row>
    <row r="2098" spans="13:13" x14ac:dyDescent="0.25">
      <c r="M2098">
        <f t="shared" si="88"/>
        <v>1</v>
      </c>
    </row>
    <row r="2099" spans="13:13" x14ac:dyDescent="0.25">
      <c r="M2099">
        <f t="shared" si="88"/>
        <v>1</v>
      </c>
    </row>
    <row r="2100" spans="13:13" x14ac:dyDescent="0.25">
      <c r="M2100">
        <f t="shared" si="88"/>
        <v>1</v>
      </c>
    </row>
    <row r="2101" spans="13:13" x14ac:dyDescent="0.25">
      <c r="M2101">
        <f t="shared" si="88"/>
        <v>1</v>
      </c>
    </row>
    <row r="2102" spans="13:13" x14ac:dyDescent="0.25">
      <c r="M2102">
        <f t="shared" si="88"/>
        <v>1</v>
      </c>
    </row>
    <row r="2103" spans="13:13" x14ac:dyDescent="0.25">
      <c r="M2103">
        <f t="shared" si="88"/>
        <v>1</v>
      </c>
    </row>
    <row r="2104" spans="13:13" x14ac:dyDescent="0.25">
      <c r="M2104">
        <f t="shared" si="88"/>
        <v>1</v>
      </c>
    </row>
    <row r="2105" spans="13:13" x14ac:dyDescent="0.25">
      <c r="M2105">
        <f t="shared" si="88"/>
        <v>1</v>
      </c>
    </row>
    <row r="2106" spans="13:13" x14ac:dyDescent="0.25">
      <c r="M2106">
        <f t="shared" si="88"/>
        <v>1</v>
      </c>
    </row>
    <row r="2107" spans="13:13" x14ac:dyDescent="0.25">
      <c r="M2107">
        <f t="shared" si="88"/>
        <v>1</v>
      </c>
    </row>
    <row r="2108" spans="13:13" x14ac:dyDescent="0.25">
      <c r="M2108">
        <f t="shared" si="88"/>
        <v>1</v>
      </c>
    </row>
    <row r="2109" spans="13:13" x14ac:dyDescent="0.25">
      <c r="M2109">
        <f t="shared" si="88"/>
        <v>1</v>
      </c>
    </row>
    <row r="2110" spans="13:13" x14ac:dyDescent="0.25">
      <c r="M2110">
        <f t="shared" si="88"/>
        <v>1</v>
      </c>
    </row>
    <row r="2111" spans="13:13" x14ac:dyDescent="0.25">
      <c r="M2111">
        <f t="shared" si="88"/>
        <v>1</v>
      </c>
    </row>
    <row r="2112" spans="13:13" x14ac:dyDescent="0.25">
      <c r="M2112">
        <f t="shared" si="88"/>
        <v>1</v>
      </c>
    </row>
    <row r="2113" spans="13:13" x14ac:dyDescent="0.25">
      <c r="M2113">
        <f t="shared" si="88"/>
        <v>1</v>
      </c>
    </row>
    <row r="2114" spans="13:13" x14ac:dyDescent="0.25">
      <c r="M2114">
        <f t="shared" ref="M2114:M2177" si="89">IF(OR(IF(K2114&lt;0.2,1,0),IF(L2114&lt;0.5,1,0)),1,0)</f>
        <v>1</v>
      </c>
    </row>
    <row r="2115" spans="13:13" x14ac:dyDescent="0.25">
      <c r="M2115">
        <f t="shared" si="89"/>
        <v>1</v>
      </c>
    </row>
    <row r="2116" spans="13:13" x14ac:dyDescent="0.25">
      <c r="M2116">
        <f t="shared" si="89"/>
        <v>1</v>
      </c>
    </row>
    <row r="2117" spans="13:13" x14ac:dyDescent="0.25">
      <c r="M2117">
        <f t="shared" si="89"/>
        <v>1</v>
      </c>
    </row>
    <row r="2118" spans="13:13" x14ac:dyDescent="0.25">
      <c r="M2118">
        <f t="shared" si="89"/>
        <v>1</v>
      </c>
    </row>
    <row r="2119" spans="13:13" x14ac:dyDescent="0.25">
      <c r="M2119">
        <f t="shared" si="89"/>
        <v>1</v>
      </c>
    </row>
    <row r="2120" spans="13:13" x14ac:dyDescent="0.25">
      <c r="M2120">
        <f t="shared" si="89"/>
        <v>1</v>
      </c>
    </row>
    <row r="2121" spans="13:13" x14ac:dyDescent="0.25">
      <c r="M2121">
        <f t="shared" si="89"/>
        <v>1</v>
      </c>
    </row>
    <row r="2122" spans="13:13" x14ac:dyDescent="0.25">
      <c r="M2122">
        <f t="shared" si="89"/>
        <v>1</v>
      </c>
    </row>
    <row r="2123" spans="13:13" x14ac:dyDescent="0.25">
      <c r="M2123">
        <f t="shared" si="89"/>
        <v>1</v>
      </c>
    </row>
    <row r="2124" spans="13:13" x14ac:dyDescent="0.25">
      <c r="M2124">
        <f t="shared" si="89"/>
        <v>1</v>
      </c>
    </row>
    <row r="2125" spans="13:13" x14ac:dyDescent="0.25">
      <c r="M2125">
        <f t="shared" si="89"/>
        <v>1</v>
      </c>
    </row>
    <row r="2126" spans="13:13" x14ac:dyDescent="0.25">
      <c r="M2126">
        <f t="shared" si="89"/>
        <v>1</v>
      </c>
    </row>
    <row r="2127" spans="13:13" x14ac:dyDescent="0.25">
      <c r="M2127">
        <f t="shared" si="89"/>
        <v>1</v>
      </c>
    </row>
    <row r="2128" spans="13:13" x14ac:dyDescent="0.25">
      <c r="M2128">
        <f t="shared" si="89"/>
        <v>1</v>
      </c>
    </row>
    <row r="2129" spans="13:13" x14ac:dyDescent="0.25">
      <c r="M2129">
        <f t="shared" si="89"/>
        <v>1</v>
      </c>
    </row>
    <row r="2130" spans="13:13" x14ac:dyDescent="0.25">
      <c r="M2130">
        <f t="shared" si="89"/>
        <v>1</v>
      </c>
    </row>
    <row r="2131" spans="13:13" x14ac:dyDescent="0.25">
      <c r="M2131">
        <f t="shared" si="89"/>
        <v>1</v>
      </c>
    </row>
    <row r="2132" spans="13:13" x14ac:dyDescent="0.25">
      <c r="M2132">
        <f t="shared" si="89"/>
        <v>1</v>
      </c>
    </row>
    <row r="2133" spans="13:13" x14ac:dyDescent="0.25">
      <c r="M2133">
        <f t="shared" si="89"/>
        <v>1</v>
      </c>
    </row>
    <row r="2134" spans="13:13" x14ac:dyDescent="0.25">
      <c r="M2134">
        <f t="shared" si="89"/>
        <v>1</v>
      </c>
    </row>
    <row r="2135" spans="13:13" x14ac:dyDescent="0.25">
      <c r="M2135">
        <f t="shared" si="89"/>
        <v>1</v>
      </c>
    </row>
    <row r="2136" spans="13:13" x14ac:dyDescent="0.25">
      <c r="M2136">
        <f t="shared" si="89"/>
        <v>1</v>
      </c>
    </row>
    <row r="2137" spans="13:13" x14ac:dyDescent="0.25">
      <c r="M2137">
        <f t="shared" si="89"/>
        <v>1</v>
      </c>
    </row>
    <row r="2138" spans="13:13" x14ac:dyDescent="0.25">
      <c r="M2138">
        <f t="shared" si="89"/>
        <v>1</v>
      </c>
    </row>
    <row r="2139" spans="13:13" x14ac:dyDescent="0.25">
      <c r="M2139">
        <f t="shared" si="89"/>
        <v>1</v>
      </c>
    </row>
    <row r="2140" spans="13:13" x14ac:dyDescent="0.25">
      <c r="M2140">
        <f t="shared" si="89"/>
        <v>1</v>
      </c>
    </row>
    <row r="2141" spans="13:13" x14ac:dyDescent="0.25">
      <c r="M2141">
        <f t="shared" si="89"/>
        <v>1</v>
      </c>
    </row>
    <row r="2142" spans="13:13" x14ac:dyDescent="0.25">
      <c r="M2142">
        <f t="shared" si="89"/>
        <v>1</v>
      </c>
    </row>
    <row r="2143" spans="13:13" x14ac:dyDescent="0.25">
      <c r="M2143">
        <f t="shared" si="89"/>
        <v>1</v>
      </c>
    </row>
    <row r="2144" spans="13:13" x14ac:dyDescent="0.25">
      <c r="M2144">
        <f t="shared" si="89"/>
        <v>1</v>
      </c>
    </row>
    <row r="2145" spans="13:13" x14ac:dyDescent="0.25">
      <c r="M2145">
        <f t="shared" si="89"/>
        <v>1</v>
      </c>
    </row>
    <row r="2146" spans="13:13" x14ac:dyDescent="0.25">
      <c r="M2146">
        <f t="shared" si="89"/>
        <v>1</v>
      </c>
    </row>
    <row r="2147" spans="13:13" x14ac:dyDescent="0.25">
      <c r="M2147">
        <f t="shared" si="89"/>
        <v>1</v>
      </c>
    </row>
    <row r="2148" spans="13:13" x14ac:dyDescent="0.25">
      <c r="M2148">
        <f t="shared" si="89"/>
        <v>1</v>
      </c>
    </row>
    <row r="2149" spans="13:13" x14ac:dyDescent="0.25">
      <c r="M2149">
        <f t="shared" si="89"/>
        <v>1</v>
      </c>
    </row>
    <row r="2150" spans="13:13" x14ac:dyDescent="0.25">
      <c r="M2150">
        <f t="shared" si="89"/>
        <v>1</v>
      </c>
    </row>
    <row r="2151" spans="13:13" x14ac:dyDescent="0.25">
      <c r="M2151">
        <f t="shared" si="89"/>
        <v>1</v>
      </c>
    </row>
    <row r="2152" spans="13:13" x14ac:dyDescent="0.25">
      <c r="M2152">
        <f t="shared" si="89"/>
        <v>1</v>
      </c>
    </row>
    <row r="2153" spans="13:13" x14ac:dyDescent="0.25">
      <c r="M2153">
        <f t="shared" si="89"/>
        <v>1</v>
      </c>
    </row>
    <row r="2154" spans="13:13" x14ac:dyDescent="0.25">
      <c r="M2154">
        <f t="shared" si="89"/>
        <v>1</v>
      </c>
    </row>
    <row r="2155" spans="13:13" x14ac:dyDescent="0.25">
      <c r="M2155">
        <f t="shared" si="89"/>
        <v>1</v>
      </c>
    </row>
    <row r="2156" spans="13:13" x14ac:dyDescent="0.25">
      <c r="M2156">
        <f t="shared" si="89"/>
        <v>1</v>
      </c>
    </row>
    <row r="2157" spans="13:13" x14ac:dyDescent="0.25">
      <c r="M2157">
        <f t="shared" si="89"/>
        <v>1</v>
      </c>
    </row>
    <row r="2158" spans="13:13" x14ac:dyDescent="0.25">
      <c r="M2158">
        <f t="shared" si="89"/>
        <v>1</v>
      </c>
    </row>
    <row r="2159" spans="13:13" x14ac:dyDescent="0.25">
      <c r="M2159">
        <f t="shared" si="89"/>
        <v>1</v>
      </c>
    </row>
    <row r="2160" spans="13:13" x14ac:dyDescent="0.25">
      <c r="M2160">
        <f t="shared" si="89"/>
        <v>1</v>
      </c>
    </row>
    <row r="2161" spans="13:13" x14ac:dyDescent="0.25">
      <c r="M2161">
        <f t="shared" si="89"/>
        <v>1</v>
      </c>
    </row>
    <row r="2162" spans="13:13" x14ac:dyDescent="0.25">
      <c r="M2162">
        <f t="shared" si="89"/>
        <v>1</v>
      </c>
    </row>
    <row r="2163" spans="13:13" x14ac:dyDescent="0.25">
      <c r="M2163">
        <f t="shared" si="89"/>
        <v>1</v>
      </c>
    </row>
    <row r="2164" spans="13:13" x14ac:dyDescent="0.25">
      <c r="M2164">
        <f t="shared" si="89"/>
        <v>1</v>
      </c>
    </row>
    <row r="2165" spans="13:13" x14ac:dyDescent="0.25">
      <c r="M2165">
        <f t="shared" si="89"/>
        <v>1</v>
      </c>
    </row>
    <row r="2166" spans="13:13" x14ac:dyDescent="0.25">
      <c r="M2166">
        <f t="shared" si="89"/>
        <v>1</v>
      </c>
    </row>
    <row r="2167" spans="13:13" x14ac:dyDescent="0.25">
      <c r="M2167">
        <f t="shared" si="89"/>
        <v>1</v>
      </c>
    </row>
    <row r="2168" spans="13:13" x14ac:dyDescent="0.25">
      <c r="M2168">
        <f t="shared" si="89"/>
        <v>1</v>
      </c>
    </row>
    <row r="2169" spans="13:13" x14ac:dyDescent="0.25">
      <c r="M2169">
        <f t="shared" si="89"/>
        <v>1</v>
      </c>
    </row>
    <row r="2170" spans="13:13" x14ac:dyDescent="0.25">
      <c r="M2170">
        <f t="shared" si="89"/>
        <v>1</v>
      </c>
    </row>
    <row r="2171" spans="13:13" x14ac:dyDescent="0.25">
      <c r="M2171">
        <f t="shared" si="89"/>
        <v>1</v>
      </c>
    </row>
    <row r="2172" spans="13:13" x14ac:dyDescent="0.25">
      <c r="M2172">
        <f t="shared" si="89"/>
        <v>1</v>
      </c>
    </row>
    <row r="2173" spans="13:13" x14ac:dyDescent="0.25">
      <c r="M2173">
        <f t="shared" si="89"/>
        <v>1</v>
      </c>
    </row>
    <row r="2174" spans="13:13" x14ac:dyDescent="0.25">
      <c r="M2174">
        <f t="shared" si="89"/>
        <v>1</v>
      </c>
    </row>
    <row r="2175" spans="13:13" x14ac:dyDescent="0.25">
      <c r="M2175">
        <f t="shared" si="89"/>
        <v>1</v>
      </c>
    </row>
    <row r="2176" spans="13:13" x14ac:dyDescent="0.25">
      <c r="M2176">
        <f t="shared" si="89"/>
        <v>1</v>
      </c>
    </row>
    <row r="2177" spans="13:13" x14ac:dyDescent="0.25">
      <c r="M2177">
        <f t="shared" si="89"/>
        <v>1</v>
      </c>
    </row>
    <row r="2178" spans="13:13" x14ac:dyDescent="0.25">
      <c r="M2178">
        <f t="shared" ref="M2178:M2241" si="90">IF(OR(IF(K2178&lt;0.2,1,0),IF(L2178&lt;0.5,1,0)),1,0)</f>
        <v>1</v>
      </c>
    </row>
    <row r="2179" spans="13:13" x14ac:dyDescent="0.25">
      <c r="M2179">
        <f t="shared" si="90"/>
        <v>1</v>
      </c>
    </row>
    <row r="2180" spans="13:13" x14ac:dyDescent="0.25">
      <c r="M2180">
        <f t="shared" si="90"/>
        <v>1</v>
      </c>
    </row>
    <row r="2181" spans="13:13" x14ac:dyDescent="0.25">
      <c r="M2181">
        <f t="shared" si="90"/>
        <v>1</v>
      </c>
    </row>
    <row r="2182" spans="13:13" x14ac:dyDescent="0.25">
      <c r="M2182">
        <f t="shared" si="90"/>
        <v>1</v>
      </c>
    </row>
    <row r="2183" spans="13:13" x14ac:dyDescent="0.25">
      <c r="M2183">
        <f t="shared" si="90"/>
        <v>1</v>
      </c>
    </row>
    <row r="2184" spans="13:13" x14ac:dyDescent="0.25">
      <c r="M2184">
        <f t="shared" si="90"/>
        <v>1</v>
      </c>
    </row>
    <row r="2185" spans="13:13" x14ac:dyDescent="0.25">
      <c r="M2185">
        <f t="shared" si="90"/>
        <v>1</v>
      </c>
    </row>
    <row r="2186" spans="13:13" x14ac:dyDescent="0.25">
      <c r="M2186">
        <f t="shared" si="90"/>
        <v>1</v>
      </c>
    </row>
    <row r="2187" spans="13:13" x14ac:dyDescent="0.25">
      <c r="M2187">
        <f t="shared" si="90"/>
        <v>1</v>
      </c>
    </row>
    <row r="2188" spans="13:13" x14ac:dyDescent="0.25">
      <c r="M2188">
        <f t="shared" si="90"/>
        <v>1</v>
      </c>
    </row>
    <row r="2189" spans="13:13" x14ac:dyDescent="0.25">
      <c r="M2189">
        <f t="shared" si="90"/>
        <v>1</v>
      </c>
    </row>
    <row r="2190" spans="13:13" x14ac:dyDescent="0.25">
      <c r="M2190">
        <f t="shared" si="90"/>
        <v>1</v>
      </c>
    </row>
    <row r="2191" spans="13:13" x14ac:dyDescent="0.25">
      <c r="M2191">
        <f t="shared" si="90"/>
        <v>1</v>
      </c>
    </row>
    <row r="2192" spans="13:13" x14ac:dyDescent="0.25">
      <c r="M2192">
        <f t="shared" si="90"/>
        <v>1</v>
      </c>
    </row>
    <row r="2193" spans="13:13" x14ac:dyDescent="0.25">
      <c r="M2193">
        <f t="shared" si="90"/>
        <v>1</v>
      </c>
    </row>
    <row r="2194" spans="13:13" x14ac:dyDescent="0.25">
      <c r="M2194">
        <f t="shared" si="90"/>
        <v>1</v>
      </c>
    </row>
    <row r="2195" spans="13:13" x14ac:dyDescent="0.25">
      <c r="M2195">
        <f t="shared" si="90"/>
        <v>1</v>
      </c>
    </row>
    <row r="2196" spans="13:13" x14ac:dyDescent="0.25">
      <c r="M2196">
        <f t="shared" si="90"/>
        <v>1</v>
      </c>
    </row>
    <row r="2197" spans="13:13" x14ac:dyDescent="0.25">
      <c r="M2197">
        <f t="shared" si="90"/>
        <v>1</v>
      </c>
    </row>
    <row r="2198" spans="13:13" x14ac:dyDescent="0.25">
      <c r="M2198">
        <f t="shared" si="90"/>
        <v>1</v>
      </c>
    </row>
    <row r="2199" spans="13:13" x14ac:dyDescent="0.25">
      <c r="M2199">
        <f t="shared" si="90"/>
        <v>1</v>
      </c>
    </row>
    <row r="2200" spans="13:13" x14ac:dyDescent="0.25">
      <c r="M2200">
        <f t="shared" si="90"/>
        <v>1</v>
      </c>
    </row>
    <row r="2201" spans="13:13" x14ac:dyDescent="0.25">
      <c r="M2201">
        <f t="shared" si="90"/>
        <v>1</v>
      </c>
    </row>
    <row r="2202" spans="13:13" x14ac:dyDescent="0.25">
      <c r="M2202">
        <f t="shared" si="90"/>
        <v>1</v>
      </c>
    </row>
    <row r="2203" spans="13:13" x14ac:dyDescent="0.25">
      <c r="M2203">
        <f t="shared" si="90"/>
        <v>1</v>
      </c>
    </row>
    <row r="2204" spans="13:13" x14ac:dyDescent="0.25">
      <c r="M2204">
        <f t="shared" si="90"/>
        <v>1</v>
      </c>
    </row>
    <row r="2205" spans="13:13" x14ac:dyDescent="0.25">
      <c r="M2205">
        <f t="shared" si="90"/>
        <v>1</v>
      </c>
    </row>
    <row r="2206" spans="13:13" x14ac:dyDescent="0.25">
      <c r="M2206">
        <f t="shared" si="90"/>
        <v>1</v>
      </c>
    </row>
    <row r="2207" spans="13:13" x14ac:dyDescent="0.25">
      <c r="M2207">
        <f t="shared" si="90"/>
        <v>1</v>
      </c>
    </row>
    <row r="2208" spans="13:13" x14ac:dyDescent="0.25">
      <c r="M2208">
        <f t="shared" si="90"/>
        <v>1</v>
      </c>
    </row>
    <row r="2209" spans="13:13" x14ac:dyDescent="0.25">
      <c r="M2209">
        <f t="shared" si="90"/>
        <v>1</v>
      </c>
    </row>
    <row r="2210" spans="13:13" x14ac:dyDescent="0.25">
      <c r="M2210">
        <f t="shared" si="90"/>
        <v>1</v>
      </c>
    </row>
    <row r="2211" spans="13:13" x14ac:dyDescent="0.25">
      <c r="M2211">
        <f t="shared" si="90"/>
        <v>1</v>
      </c>
    </row>
    <row r="2212" spans="13:13" x14ac:dyDescent="0.25">
      <c r="M2212">
        <f t="shared" si="90"/>
        <v>1</v>
      </c>
    </row>
    <row r="2213" spans="13:13" x14ac:dyDescent="0.25">
      <c r="M2213">
        <f t="shared" si="90"/>
        <v>1</v>
      </c>
    </row>
    <row r="2214" spans="13:13" x14ac:dyDescent="0.25">
      <c r="M2214">
        <f t="shared" si="90"/>
        <v>1</v>
      </c>
    </row>
    <row r="2215" spans="13:13" x14ac:dyDescent="0.25">
      <c r="M2215">
        <f t="shared" si="90"/>
        <v>1</v>
      </c>
    </row>
    <row r="2216" spans="13:13" x14ac:dyDescent="0.25">
      <c r="M2216">
        <f t="shared" si="90"/>
        <v>1</v>
      </c>
    </row>
    <row r="2217" spans="13:13" x14ac:dyDescent="0.25">
      <c r="M2217">
        <f t="shared" si="90"/>
        <v>1</v>
      </c>
    </row>
    <row r="2218" spans="13:13" x14ac:dyDescent="0.25">
      <c r="M2218">
        <f t="shared" si="90"/>
        <v>1</v>
      </c>
    </row>
    <row r="2219" spans="13:13" x14ac:dyDescent="0.25">
      <c r="M2219">
        <f t="shared" si="90"/>
        <v>1</v>
      </c>
    </row>
    <row r="2220" spans="13:13" x14ac:dyDescent="0.25">
      <c r="M2220">
        <f t="shared" si="90"/>
        <v>1</v>
      </c>
    </row>
    <row r="2221" spans="13:13" x14ac:dyDescent="0.25">
      <c r="M2221">
        <f t="shared" si="90"/>
        <v>1</v>
      </c>
    </row>
    <row r="2222" spans="13:13" x14ac:dyDescent="0.25">
      <c r="M2222">
        <f t="shared" si="90"/>
        <v>1</v>
      </c>
    </row>
    <row r="2223" spans="13:13" x14ac:dyDescent="0.25">
      <c r="M2223">
        <f t="shared" si="90"/>
        <v>1</v>
      </c>
    </row>
    <row r="2224" spans="13:13" x14ac:dyDescent="0.25">
      <c r="M2224">
        <f t="shared" si="90"/>
        <v>1</v>
      </c>
    </row>
    <row r="2225" spans="13:13" x14ac:dyDescent="0.25">
      <c r="M2225">
        <f t="shared" si="90"/>
        <v>1</v>
      </c>
    </row>
    <row r="2226" spans="13:13" x14ac:dyDescent="0.25">
      <c r="M2226">
        <f t="shared" si="90"/>
        <v>1</v>
      </c>
    </row>
    <row r="2227" spans="13:13" x14ac:dyDescent="0.25">
      <c r="M2227">
        <f t="shared" si="90"/>
        <v>1</v>
      </c>
    </row>
    <row r="2228" spans="13:13" x14ac:dyDescent="0.25">
      <c r="M2228">
        <f t="shared" si="90"/>
        <v>1</v>
      </c>
    </row>
    <row r="2229" spans="13:13" x14ac:dyDescent="0.25">
      <c r="M2229">
        <f t="shared" si="90"/>
        <v>1</v>
      </c>
    </row>
    <row r="2230" spans="13:13" x14ac:dyDescent="0.25">
      <c r="M2230">
        <f t="shared" si="90"/>
        <v>1</v>
      </c>
    </row>
    <row r="2231" spans="13:13" x14ac:dyDescent="0.25">
      <c r="M2231">
        <f t="shared" si="90"/>
        <v>1</v>
      </c>
    </row>
    <row r="2232" spans="13:13" x14ac:dyDescent="0.25">
      <c r="M2232">
        <f t="shared" si="90"/>
        <v>1</v>
      </c>
    </row>
    <row r="2233" spans="13:13" x14ac:dyDescent="0.25">
      <c r="M2233">
        <f t="shared" si="90"/>
        <v>1</v>
      </c>
    </row>
    <row r="2234" spans="13:13" x14ac:dyDescent="0.25">
      <c r="M2234">
        <f t="shared" si="90"/>
        <v>1</v>
      </c>
    </row>
    <row r="2235" spans="13:13" x14ac:dyDescent="0.25">
      <c r="M2235">
        <f t="shared" si="90"/>
        <v>1</v>
      </c>
    </row>
    <row r="2236" spans="13:13" x14ac:dyDescent="0.25">
      <c r="M2236">
        <f t="shared" si="90"/>
        <v>1</v>
      </c>
    </row>
    <row r="2237" spans="13:13" x14ac:dyDescent="0.25">
      <c r="M2237">
        <f t="shared" si="90"/>
        <v>1</v>
      </c>
    </row>
    <row r="2238" spans="13:13" x14ac:dyDescent="0.25">
      <c r="M2238">
        <f t="shared" si="90"/>
        <v>1</v>
      </c>
    </row>
    <row r="2239" spans="13:13" x14ac:dyDescent="0.25">
      <c r="M2239">
        <f t="shared" si="90"/>
        <v>1</v>
      </c>
    </row>
    <row r="2240" spans="13:13" x14ac:dyDescent="0.25">
      <c r="M2240">
        <f t="shared" si="90"/>
        <v>1</v>
      </c>
    </row>
    <row r="2241" spans="13:13" x14ac:dyDescent="0.25">
      <c r="M2241">
        <f t="shared" si="90"/>
        <v>1</v>
      </c>
    </row>
    <row r="2242" spans="13:13" x14ac:dyDescent="0.25">
      <c r="M2242">
        <f t="shared" ref="M2242:M2305" si="91">IF(OR(IF(K2242&lt;0.2,1,0),IF(L2242&lt;0.5,1,0)),1,0)</f>
        <v>1</v>
      </c>
    </row>
    <row r="2243" spans="13:13" x14ac:dyDescent="0.25">
      <c r="M2243">
        <f t="shared" si="91"/>
        <v>1</v>
      </c>
    </row>
    <row r="2244" spans="13:13" x14ac:dyDescent="0.25">
      <c r="M2244">
        <f t="shared" si="91"/>
        <v>1</v>
      </c>
    </row>
    <row r="2245" spans="13:13" x14ac:dyDescent="0.25">
      <c r="M2245">
        <f t="shared" si="91"/>
        <v>1</v>
      </c>
    </row>
    <row r="2246" spans="13:13" x14ac:dyDescent="0.25">
      <c r="M2246">
        <f t="shared" si="91"/>
        <v>1</v>
      </c>
    </row>
    <row r="2247" spans="13:13" x14ac:dyDescent="0.25">
      <c r="M2247">
        <f t="shared" si="91"/>
        <v>1</v>
      </c>
    </row>
    <row r="2248" spans="13:13" x14ac:dyDescent="0.25">
      <c r="M2248">
        <f t="shared" si="91"/>
        <v>1</v>
      </c>
    </row>
    <row r="2249" spans="13:13" x14ac:dyDescent="0.25">
      <c r="M2249">
        <f t="shared" si="91"/>
        <v>1</v>
      </c>
    </row>
    <row r="2250" spans="13:13" x14ac:dyDescent="0.25">
      <c r="M2250">
        <f t="shared" si="91"/>
        <v>1</v>
      </c>
    </row>
    <row r="2251" spans="13:13" x14ac:dyDescent="0.25">
      <c r="M2251">
        <f t="shared" si="91"/>
        <v>1</v>
      </c>
    </row>
    <row r="2252" spans="13:13" x14ac:dyDescent="0.25">
      <c r="M2252">
        <f t="shared" si="91"/>
        <v>1</v>
      </c>
    </row>
    <row r="2253" spans="13:13" x14ac:dyDescent="0.25">
      <c r="M2253">
        <f t="shared" si="91"/>
        <v>1</v>
      </c>
    </row>
    <row r="2254" spans="13:13" x14ac:dyDescent="0.25">
      <c r="M2254">
        <f t="shared" si="91"/>
        <v>1</v>
      </c>
    </row>
    <row r="2255" spans="13:13" x14ac:dyDescent="0.25">
      <c r="M2255">
        <f t="shared" si="91"/>
        <v>1</v>
      </c>
    </row>
    <row r="2256" spans="13:13" x14ac:dyDescent="0.25">
      <c r="M2256">
        <f t="shared" si="91"/>
        <v>1</v>
      </c>
    </row>
    <row r="2257" spans="13:13" x14ac:dyDescent="0.25">
      <c r="M2257">
        <f t="shared" si="91"/>
        <v>1</v>
      </c>
    </row>
    <row r="2258" spans="13:13" x14ac:dyDescent="0.25">
      <c r="M2258">
        <f t="shared" si="91"/>
        <v>1</v>
      </c>
    </row>
    <row r="2259" spans="13:13" x14ac:dyDescent="0.25">
      <c r="M2259">
        <f t="shared" si="91"/>
        <v>1</v>
      </c>
    </row>
    <row r="2260" spans="13:13" x14ac:dyDescent="0.25">
      <c r="M2260">
        <f t="shared" si="91"/>
        <v>1</v>
      </c>
    </row>
    <row r="2261" spans="13:13" x14ac:dyDescent="0.25">
      <c r="M2261">
        <f t="shared" si="91"/>
        <v>1</v>
      </c>
    </row>
    <row r="2262" spans="13:13" x14ac:dyDescent="0.25">
      <c r="M2262">
        <f t="shared" si="91"/>
        <v>1</v>
      </c>
    </row>
    <row r="2263" spans="13:13" x14ac:dyDescent="0.25">
      <c r="M2263">
        <f t="shared" si="91"/>
        <v>1</v>
      </c>
    </row>
    <row r="2264" spans="13:13" x14ac:dyDescent="0.25">
      <c r="M2264">
        <f t="shared" si="91"/>
        <v>1</v>
      </c>
    </row>
    <row r="2265" spans="13:13" x14ac:dyDescent="0.25">
      <c r="M2265">
        <f t="shared" si="91"/>
        <v>1</v>
      </c>
    </row>
    <row r="2266" spans="13:13" x14ac:dyDescent="0.25">
      <c r="M2266">
        <f t="shared" si="91"/>
        <v>1</v>
      </c>
    </row>
    <row r="2267" spans="13:13" x14ac:dyDescent="0.25">
      <c r="M2267">
        <f t="shared" si="91"/>
        <v>1</v>
      </c>
    </row>
    <row r="2268" spans="13:13" x14ac:dyDescent="0.25">
      <c r="M2268">
        <f t="shared" si="91"/>
        <v>1</v>
      </c>
    </row>
    <row r="2269" spans="13:13" x14ac:dyDescent="0.25">
      <c r="M2269">
        <f t="shared" si="91"/>
        <v>1</v>
      </c>
    </row>
    <row r="2270" spans="13:13" x14ac:dyDescent="0.25">
      <c r="M2270">
        <f t="shared" si="91"/>
        <v>1</v>
      </c>
    </row>
    <row r="2271" spans="13:13" x14ac:dyDescent="0.25">
      <c r="M2271">
        <f t="shared" si="91"/>
        <v>1</v>
      </c>
    </row>
    <row r="2272" spans="13:13" x14ac:dyDescent="0.25">
      <c r="M2272">
        <f t="shared" si="91"/>
        <v>1</v>
      </c>
    </row>
    <row r="2273" spans="13:13" x14ac:dyDescent="0.25">
      <c r="M2273">
        <f t="shared" si="91"/>
        <v>1</v>
      </c>
    </row>
    <row r="2274" spans="13:13" x14ac:dyDescent="0.25">
      <c r="M2274">
        <f t="shared" si="91"/>
        <v>1</v>
      </c>
    </row>
    <row r="2275" spans="13:13" x14ac:dyDescent="0.25">
      <c r="M2275">
        <f t="shared" si="91"/>
        <v>1</v>
      </c>
    </row>
    <row r="2276" spans="13:13" x14ac:dyDescent="0.25">
      <c r="M2276">
        <f t="shared" si="91"/>
        <v>1</v>
      </c>
    </row>
    <row r="2277" spans="13:13" x14ac:dyDescent="0.25">
      <c r="M2277">
        <f t="shared" si="91"/>
        <v>1</v>
      </c>
    </row>
    <row r="2278" spans="13:13" x14ac:dyDescent="0.25">
      <c r="M2278">
        <f t="shared" si="91"/>
        <v>1</v>
      </c>
    </row>
    <row r="2279" spans="13:13" x14ac:dyDescent="0.25">
      <c r="M2279">
        <f t="shared" si="91"/>
        <v>1</v>
      </c>
    </row>
    <row r="2280" spans="13:13" x14ac:dyDescent="0.25">
      <c r="M2280">
        <f t="shared" si="91"/>
        <v>1</v>
      </c>
    </row>
    <row r="2281" spans="13:13" x14ac:dyDescent="0.25">
      <c r="M2281">
        <f t="shared" si="91"/>
        <v>1</v>
      </c>
    </row>
    <row r="2282" spans="13:13" x14ac:dyDescent="0.25">
      <c r="M2282">
        <f t="shared" si="91"/>
        <v>1</v>
      </c>
    </row>
    <row r="2283" spans="13:13" x14ac:dyDescent="0.25">
      <c r="M2283">
        <f t="shared" si="91"/>
        <v>1</v>
      </c>
    </row>
    <row r="2284" spans="13:13" x14ac:dyDescent="0.25">
      <c r="M2284">
        <f t="shared" si="91"/>
        <v>1</v>
      </c>
    </row>
    <row r="2285" spans="13:13" x14ac:dyDescent="0.25">
      <c r="M2285">
        <f t="shared" si="91"/>
        <v>1</v>
      </c>
    </row>
    <row r="2286" spans="13:13" x14ac:dyDescent="0.25">
      <c r="M2286">
        <f t="shared" si="91"/>
        <v>1</v>
      </c>
    </row>
    <row r="2287" spans="13:13" x14ac:dyDescent="0.25">
      <c r="M2287">
        <f t="shared" si="91"/>
        <v>1</v>
      </c>
    </row>
    <row r="2288" spans="13:13" x14ac:dyDescent="0.25">
      <c r="M2288">
        <f t="shared" si="91"/>
        <v>1</v>
      </c>
    </row>
    <row r="2289" spans="13:13" x14ac:dyDescent="0.25">
      <c r="M2289">
        <f t="shared" si="91"/>
        <v>1</v>
      </c>
    </row>
    <row r="2290" spans="13:13" x14ac:dyDescent="0.25">
      <c r="M2290">
        <f t="shared" si="91"/>
        <v>1</v>
      </c>
    </row>
    <row r="2291" spans="13:13" x14ac:dyDescent="0.25">
      <c r="M2291">
        <f t="shared" si="91"/>
        <v>1</v>
      </c>
    </row>
    <row r="2292" spans="13:13" x14ac:dyDescent="0.25">
      <c r="M2292">
        <f t="shared" si="91"/>
        <v>1</v>
      </c>
    </row>
    <row r="2293" spans="13:13" x14ac:dyDescent="0.25">
      <c r="M2293">
        <f t="shared" si="91"/>
        <v>1</v>
      </c>
    </row>
    <row r="2294" spans="13:13" x14ac:dyDescent="0.25">
      <c r="M2294">
        <f t="shared" si="91"/>
        <v>1</v>
      </c>
    </row>
    <row r="2295" spans="13:13" x14ac:dyDescent="0.25">
      <c r="M2295">
        <f t="shared" si="91"/>
        <v>1</v>
      </c>
    </row>
    <row r="2296" spans="13:13" x14ac:dyDescent="0.25">
      <c r="M2296">
        <f t="shared" si="91"/>
        <v>1</v>
      </c>
    </row>
    <row r="2297" spans="13:13" x14ac:dyDescent="0.25">
      <c r="M2297">
        <f t="shared" si="91"/>
        <v>1</v>
      </c>
    </row>
    <row r="2298" spans="13:13" x14ac:dyDescent="0.25">
      <c r="M2298">
        <f t="shared" si="91"/>
        <v>1</v>
      </c>
    </row>
    <row r="2299" spans="13:13" x14ac:dyDescent="0.25">
      <c r="M2299">
        <f t="shared" si="91"/>
        <v>1</v>
      </c>
    </row>
    <row r="2300" spans="13:13" x14ac:dyDescent="0.25">
      <c r="M2300">
        <f t="shared" si="91"/>
        <v>1</v>
      </c>
    </row>
    <row r="2301" spans="13:13" x14ac:dyDescent="0.25">
      <c r="M2301">
        <f t="shared" si="91"/>
        <v>1</v>
      </c>
    </row>
    <row r="2302" spans="13:13" x14ac:dyDescent="0.25">
      <c r="M2302">
        <f t="shared" si="91"/>
        <v>1</v>
      </c>
    </row>
    <row r="2303" spans="13:13" x14ac:dyDescent="0.25">
      <c r="M2303">
        <f t="shared" si="91"/>
        <v>1</v>
      </c>
    </row>
    <row r="2304" spans="13:13" x14ac:dyDescent="0.25">
      <c r="M2304">
        <f t="shared" si="91"/>
        <v>1</v>
      </c>
    </row>
    <row r="2305" spans="13:13" x14ac:dyDescent="0.25">
      <c r="M2305">
        <f t="shared" si="91"/>
        <v>1</v>
      </c>
    </row>
    <row r="2306" spans="13:13" x14ac:dyDescent="0.25">
      <c r="M2306">
        <f t="shared" ref="M2306:M2369" si="92">IF(OR(IF(K2306&lt;0.2,1,0),IF(L2306&lt;0.5,1,0)),1,0)</f>
        <v>1</v>
      </c>
    </row>
    <row r="2307" spans="13:13" x14ac:dyDescent="0.25">
      <c r="M2307">
        <f t="shared" si="92"/>
        <v>1</v>
      </c>
    </row>
    <row r="2308" spans="13:13" x14ac:dyDescent="0.25">
      <c r="M2308">
        <f t="shared" si="92"/>
        <v>1</v>
      </c>
    </row>
    <row r="2309" spans="13:13" x14ac:dyDescent="0.25">
      <c r="M2309">
        <f t="shared" si="92"/>
        <v>1</v>
      </c>
    </row>
    <row r="2310" spans="13:13" x14ac:dyDescent="0.25">
      <c r="M2310">
        <f t="shared" si="92"/>
        <v>1</v>
      </c>
    </row>
    <row r="2311" spans="13:13" x14ac:dyDescent="0.25">
      <c r="M2311">
        <f t="shared" si="92"/>
        <v>1</v>
      </c>
    </row>
    <row r="2312" spans="13:13" x14ac:dyDescent="0.25">
      <c r="M2312">
        <f t="shared" si="92"/>
        <v>1</v>
      </c>
    </row>
    <row r="2313" spans="13:13" x14ac:dyDescent="0.25">
      <c r="M2313">
        <f t="shared" si="92"/>
        <v>1</v>
      </c>
    </row>
    <row r="2314" spans="13:13" x14ac:dyDescent="0.25">
      <c r="M2314">
        <f t="shared" si="92"/>
        <v>1</v>
      </c>
    </row>
    <row r="2315" spans="13:13" x14ac:dyDescent="0.25">
      <c r="M2315">
        <f t="shared" si="92"/>
        <v>1</v>
      </c>
    </row>
    <row r="2316" spans="13:13" x14ac:dyDescent="0.25">
      <c r="M2316">
        <f t="shared" si="92"/>
        <v>1</v>
      </c>
    </row>
    <row r="2317" spans="13:13" x14ac:dyDescent="0.25">
      <c r="M2317">
        <f t="shared" si="92"/>
        <v>1</v>
      </c>
    </row>
    <row r="2318" spans="13:13" x14ac:dyDescent="0.25">
      <c r="M2318">
        <f t="shared" si="92"/>
        <v>1</v>
      </c>
    </row>
    <row r="2319" spans="13:13" x14ac:dyDescent="0.25">
      <c r="M2319">
        <f t="shared" si="92"/>
        <v>1</v>
      </c>
    </row>
    <row r="2320" spans="13:13" x14ac:dyDescent="0.25">
      <c r="M2320">
        <f t="shared" si="92"/>
        <v>1</v>
      </c>
    </row>
    <row r="2321" spans="13:13" x14ac:dyDescent="0.25">
      <c r="M2321">
        <f t="shared" si="92"/>
        <v>1</v>
      </c>
    </row>
    <row r="2322" spans="13:13" x14ac:dyDescent="0.25">
      <c r="M2322">
        <f t="shared" si="92"/>
        <v>1</v>
      </c>
    </row>
    <row r="2323" spans="13:13" x14ac:dyDescent="0.25">
      <c r="M2323">
        <f t="shared" si="92"/>
        <v>1</v>
      </c>
    </row>
    <row r="2324" spans="13:13" x14ac:dyDescent="0.25">
      <c r="M2324">
        <f t="shared" si="92"/>
        <v>1</v>
      </c>
    </row>
    <row r="2325" spans="13:13" x14ac:dyDescent="0.25">
      <c r="M2325">
        <f t="shared" si="92"/>
        <v>1</v>
      </c>
    </row>
    <row r="2326" spans="13:13" x14ac:dyDescent="0.25">
      <c r="M2326">
        <f t="shared" si="92"/>
        <v>1</v>
      </c>
    </row>
    <row r="2327" spans="13:13" x14ac:dyDescent="0.25">
      <c r="M2327">
        <f t="shared" si="92"/>
        <v>1</v>
      </c>
    </row>
    <row r="2328" spans="13:13" x14ac:dyDescent="0.25">
      <c r="M2328">
        <f t="shared" si="92"/>
        <v>1</v>
      </c>
    </row>
    <row r="2329" spans="13:13" x14ac:dyDescent="0.25">
      <c r="M2329">
        <f t="shared" si="92"/>
        <v>1</v>
      </c>
    </row>
    <row r="2330" spans="13:13" x14ac:dyDescent="0.25">
      <c r="M2330">
        <f t="shared" si="92"/>
        <v>1</v>
      </c>
    </row>
    <row r="2331" spans="13:13" x14ac:dyDescent="0.25">
      <c r="M2331">
        <f t="shared" si="92"/>
        <v>1</v>
      </c>
    </row>
    <row r="2332" spans="13:13" x14ac:dyDescent="0.25">
      <c r="M2332">
        <f t="shared" si="92"/>
        <v>1</v>
      </c>
    </row>
    <row r="2333" spans="13:13" x14ac:dyDescent="0.25">
      <c r="M2333">
        <f t="shared" si="92"/>
        <v>1</v>
      </c>
    </row>
    <row r="2334" spans="13:13" x14ac:dyDescent="0.25">
      <c r="M2334">
        <f t="shared" si="92"/>
        <v>1</v>
      </c>
    </row>
    <row r="2335" spans="13:13" x14ac:dyDescent="0.25">
      <c r="M2335">
        <f t="shared" si="92"/>
        <v>1</v>
      </c>
    </row>
    <row r="2336" spans="13:13" x14ac:dyDescent="0.25">
      <c r="M2336">
        <f t="shared" si="92"/>
        <v>1</v>
      </c>
    </row>
    <row r="2337" spans="13:13" x14ac:dyDescent="0.25">
      <c r="M2337">
        <f t="shared" si="92"/>
        <v>1</v>
      </c>
    </row>
    <row r="2338" spans="13:13" x14ac:dyDescent="0.25">
      <c r="M2338">
        <f t="shared" si="92"/>
        <v>1</v>
      </c>
    </row>
    <row r="2339" spans="13:13" x14ac:dyDescent="0.25">
      <c r="M2339">
        <f t="shared" si="92"/>
        <v>1</v>
      </c>
    </row>
    <row r="2340" spans="13:13" x14ac:dyDescent="0.25">
      <c r="M2340">
        <f t="shared" si="92"/>
        <v>1</v>
      </c>
    </row>
    <row r="2341" spans="13:13" x14ac:dyDescent="0.25">
      <c r="M2341">
        <f t="shared" si="92"/>
        <v>1</v>
      </c>
    </row>
    <row r="2342" spans="13:13" x14ac:dyDescent="0.25">
      <c r="M2342">
        <f t="shared" si="92"/>
        <v>1</v>
      </c>
    </row>
    <row r="2343" spans="13:13" x14ac:dyDescent="0.25">
      <c r="M2343">
        <f t="shared" si="92"/>
        <v>1</v>
      </c>
    </row>
    <row r="2344" spans="13:13" x14ac:dyDescent="0.25">
      <c r="M2344">
        <f t="shared" si="92"/>
        <v>1</v>
      </c>
    </row>
    <row r="2345" spans="13:13" x14ac:dyDescent="0.25">
      <c r="M2345">
        <f t="shared" si="92"/>
        <v>1</v>
      </c>
    </row>
    <row r="2346" spans="13:13" x14ac:dyDescent="0.25">
      <c r="M2346">
        <f t="shared" si="92"/>
        <v>1</v>
      </c>
    </row>
    <row r="2347" spans="13:13" x14ac:dyDescent="0.25">
      <c r="M2347">
        <f t="shared" si="92"/>
        <v>1</v>
      </c>
    </row>
    <row r="2348" spans="13:13" x14ac:dyDescent="0.25">
      <c r="M2348">
        <f t="shared" si="92"/>
        <v>1</v>
      </c>
    </row>
    <row r="2349" spans="13:13" x14ac:dyDescent="0.25">
      <c r="M2349">
        <f t="shared" si="92"/>
        <v>1</v>
      </c>
    </row>
    <row r="2350" spans="13:13" x14ac:dyDescent="0.25">
      <c r="M2350">
        <f t="shared" si="92"/>
        <v>1</v>
      </c>
    </row>
    <row r="2351" spans="13:13" x14ac:dyDescent="0.25">
      <c r="M2351">
        <f t="shared" si="92"/>
        <v>1</v>
      </c>
    </row>
    <row r="2352" spans="13:13" x14ac:dyDescent="0.25">
      <c r="M2352">
        <f t="shared" si="92"/>
        <v>1</v>
      </c>
    </row>
    <row r="2353" spans="13:13" x14ac:dyDescent="0.25">
      <c r="M2353">
        <f t="shared" si="92"/>
        <v>1</v>
      </c>
    </row>
    <row r="2354" spans="13:13" x14ac:dyDescent="0.25">
      <c r="M2354">
        <f t="shared" si="92"/>
        <v>1</v>
      </c>
    </row>
    <row r="2355" spans="13:13" x14ac:dyDescent="0.25">
      <c r="M2355">
        <f t="shared" si="92"/>
        <v>1</v>
      </c>
    </row>
    <row r="2356" spans="13:13" x14ac:dyDescent="0.25">
      <c r="M2356">
        <f t="shared" si="92"/>
        <v>1</v>
      </c>
    </row>
    <row r="2357" spans="13:13" x14ac:dyDescent="0.25">
      <c r="M2357">
        <f t="shared" si="92"/>
        <v>1</v>
      </c>
    </row>
    <row r="2358" spans="13:13" x14ac:dyDescent="0.25">
      <c r="M2358">
        <f t="shared" si="92"/>
        <v>1</v>
      </c>
    </row>
    <row r="2359" spans="13:13" x14ac:dyDescent="0.25">
      <c r="M2359">
        <f t="shared" si="92"/>
        <v>1</v>
      </c>
    </row>
    <row r="2360" spans="13:13" x14ac:dyDescent="0.25">
      <c r="M2360">
        <f t="shared" si="92"/>
        <v>1</v>
      </c>
    </row>
    <row r="2361" spans="13:13" x14ac:dyDescent="0.25">
      <c r="M2361">
        <f t="shared" si="92"/>
        <v>1</v>
      </c>
    </row>
    <row r="2362" spans="13:13" x14ac:dyDescent="0.25">
      <c r="M2362">
        <f t="shared" si="92"/>
        <v>1</v>
      </c>
    </row>
    <row r="2363" spans="13:13" x14ac:dyDescent="0.25">
      <c r="M2363">
        <f t="shared" si="92"/>
        <v>1</v>
      </c>
    </row>
    <row r="2364" spans="13:13" x14ac:dyDescent="0.25">
      <c r="M2364">
        <f t="shared" si="92"/>
        <v>1</v>
      </c>
    </row>
    <row r="2365" spans="13:13" x14ac:dyDescent="0.25">
      <c r="M2365">
        <f t="shared" si="92"/>
        <v>1</v>
      </c>
    </row>
    <row r="2366" spans="13:13" x14ac:dyDescent="0.25">
      <c r="M2366">
        <f t="shared" si="92"/>
        <v>1</v>
      </c>
    </row>
    <row r="2367" spans="13:13" x14ac:dyDescent="0.25">
      <c r="M2367">
        <f t="shared" si="92"/>
        <v>1</v>
      </c>
    </row>
    <row r="2368" spans="13:13" x14ac:dyDescent="0.25">
      <c r="M2368">
        <f t="shared" si="92"/>
        <v>1</v>
      </c>
    </row>
    <row r="2369" spans="13:13" x14ac:dyDescent="0.25">
      <c r="M2369">
        <f t="shared" si="92"/>
        <v>1</v>
      </c>
    </row>
    <row r="2370" spans="13:13" x14ac:dyDescent="0.25">
      <c r="M2370">
        <f t="shared" ref="M2370:M2433" si="93">IF(OR(IF(K2370&lt;0.2,1,0),IF(L2370&lt;0.5,1,0)),1,0)</f>
        <v>1</v>
      </c>
    </row>
    <row r="2371" spans="13:13" x14ac:dyDescent="0.25">
      <c r="M2371">
        <f t="shared" si="93"/>
        <v>1</v>
      </c>
    </row>
    <row r="2372" spans="13:13" x14ac:dyDescent="0.25">
      <c r="M2372">
        <f t="shared" si="93"/>
        <v>1</v>
      </c>
    </row>
    <row r="2373" spans="13:13" x14ac:dyDescent="0.25">
      <c r="M2373">
        <f t="shared" si="93"/>
        <v>1</v>
      </c>
    </row>
    <row r="2374" spans="13:13" x14ac:dyDescent="0.25">
      <c r="M2374">
        <f t="shared" si="93"/>
        <v>1</v>
      </c>
    </row>
    <row r="2375" spans="13:13" x14ac:dyDescent="0.25">
      <c r="M2375">
        <f t="shared" si="93"/>
        <v>1</v>
      </c>
    </row>
    <row r="2376" spans="13:13" x14ac:dyDescent="0.25">
      <c r="M2376">
        <f t="shared" si="93"/>
        <v>1</v>
      </c>
    </row>
    <row r="2377" spans="13:13" x14ac:dyDescent="0.25">
      <c r="M2377">
        <f t="shared" si="93"/>
        <v>1</v>
      </c>
    </row>
    <row r="2378" spans="13:13" x14ac:dyDescent="0.25">
      <c r="M2378">
        <f t="shared" si="93"/>
        <v>1</v>
      </c>
    </row>
    <row r="2379" spans="13:13" x14ac:dyDescent="0.25">
      <c r="M2379">
        <f t="shared" si="93"/>
        <v>1</v>
      </c>
    </row>
    <row r="2380" spans="13:13" x14ac:dyDescent="0.25">
      <c r="M2380">
        <f t="shared" si="93"/>
        <v>1</v>
      </c>
    </row>
    <row r="2381" spans="13:13" x14ac:dyDescent="0.25">
      <c r="M2381">
        <f t="shared" si="93"/>
        <v>1</v>
      </c>
    </row>
    <row r="2382" spans="13:13" x14ac:dyDescent="0.25">
      <c r="M2382">
        <f t="shared" si="93"/>
        <v>1</v>
      </c>
    </row>
    <row r="2383" spans="13:13" x14ac:dyDescent="0.25">
      <c r="M2383">
        <f t="shared" si="93"/>
        <v>1</v>
      </c>
    </row>
    <row r="2384" spans="13:13" x14ac:dyDescent="0.25">
      <c r="M2384">
        <f t="shared" si="93"/>
        <v>1</v>
      </c>
    </row>
    <row r="2385" spans="13:13" x14ac:dyDescent="0.25">
      <c r="M2385">
        <f t="shared" si="93"/>
        <v>1</v>
      </c>
    </row>
    <row r="2386" spans="13:13" x14ac:dyDescent="0.25">
      <c r="M2386">
        <f t="shared" si="93"/>
        <v>1</v>
      </c>
    </row>
    <row r="2387" spans="13:13" x14ac:dyDescent="0.25">
      <c r="M2387">
        <f t="shared" si="93"/>
        <v>1</v>
      </c>
    </row>
    <row r="2388" spans="13:13" x14ac:dyDescent="0.25">
      <c r="M2388">
        <f t="shared" si="93"/>
        <v>1</v>
      </c>
    </row>
    <row r="2389" spans="13:13" x14ac:dyDescent="0.25">
      <c r="M2389">
        <f t="shared" si="93"/>
        <v>1</v>
      </c>
    </row>
    <row r="2390" spans="13:13" x14ac:dyDescent="0.25">
      <c r="M2390">
        <f t="shared" si="93"/>
        <v>1</v>
      </c>
    </row>
    <row r="2391" spans="13:13" x14ac:dyDescent="0.25">
      <c r="M2391">
        <f t="shared" si="93"/>
        <v>1</v>
      </c>
    </row>
    <row r="2392" spans="13:13" x14ac:dyDescent="0.25">
      <c r="M2392">
        <f t="shared" si="93"/>
        <v>1</v>
      </c>
    </row>
    <row r="2393" spans="13:13" x14ac:dyDescent="0.25">
      <c r="M2393">
        <f t="shared" si="93"/>
        <v>1</v>
      </c>
    </row>
    <row r="2394" spans="13:13" x14ac:dyDescent="0.25">
      <c r="M2394">
        <f t="shared" si="93"/>
        <v>1</v>
      </c>
    </row>
    <row r="2395" spans="13:13" x14ac:dyDescent="0.25">
      <c r="M2395">
        <f t="shared" si="93"/>
        <v>1</v>
      </c>
    </row>
    <row r="2396" spans="13:13" x14ac:dyDescent="0.25">
      <c r="M2396">
        <f t="shared" si="93"/>
        <v>1</v>
      </c>
    </row>
    <row r="2397" spans="13:13" x14ac:dyDescent="0.25">
      <c r="M2397">
        <f t="shared" si="93"/>
        <v>1</v>
      </c>
    </row>
    <row r="2398" spans="13:13" x14ac:dyDescent="0.25">
      <c r="M2398">
        <f t="shared" si="93"/>
        <v>1</v>
      </c>
    </row>
    <row r="2399" spans="13:13" x14ac:dyDescent="0.25">
      <c r="M2399">
        <f t="shared" si="93"/>
        <v>1</v>
      </c>
    </row>
    <row r="2400" spans="13:13" x14ac:dyDescent="0.25">
      <c r="M2400">
        <f t="shared" si="93"/>
        <v>1</v>
      </c>
    </row>
    <row r="2401" spans="13:13" x14ac:dyDescent="0.25">
      <c r="M2401">
        <f t="shared" si="93"/>
        <v>1</v>
      </c>
    </row>
    <row r="2402" spans="13:13" x14ac:dyDescent="0.25">
      <c r="M2402">
        <f t="shared" si="93"/>
        <v>1</v>
      </c>
    </row>
    <row r="2403" spans="13:13" x14ac:dyDescent="0.25">
      <c r="M2403">
        <f t="shared" si="93"/>
        <v>1</v>
      </c>
    </row>
    <row r="2404" spans="13:13" x14ac:dyDescent="0.25">
      <c r="M2404">
        <f t="shared" si="93"/>
        <v>1</v>
      </c>
    </row>
    <row r="2405" spans="13:13" x14ac:dyDescent="0.25">
      <c r="M2405">
        <f t="shared" si="93"/>
        <v>1</v>
      </c>
    </row>
    <row r="2406" spans="13:13" x14ac:dyDescent="0.25">
      <c r="M2406">
        <f t="shared" si="93"/>
        <v>1</v>
      </c>
    </row>
    <row r="2407" spans="13:13" x14ac:dyDescent="0.25">
      <c r="M2407">
        <f t="shared" si="93"/>
        <v>1</v>
      </c>
    </row>
    <row r="2408" spans="13:13" x14ac:dyDescent="0.25">
      <c r="M2408">
        <f t="shared" si="93"/>
        <v>1</v>
      </c>
    </row>
    <row r="2409" spans="13:13" x14ac:dyDescent="0.25">
      <c r="M2409">
        <f t="shared" si="93"/>
        <v>1</v>
      </c>
    </row>
    <row r="2410" spans="13:13" x14ac:dyDescent="0.25">
      <c r="M2410">
        <f t="shared" si="93"/>
        <v>1</v>
      </c>
    </row>
    <row r="2411" spans="13:13" x14ac:dyDescent="0.25">
      <c r="M2411">
        <f t="shared" si="93"/>
        <v>1</v>
      </c>
    </row>
    <row r="2412" spans="13:13" x14ac:dyDescent="0.25">
      <c r="M2412">
        <f t="shared" si="93"/>
        <v>1</v>
      </c>
    </row>
    <row r="2413" spans="13:13" x14ac:dyDescent="0.25">
      <c r="M2413">
        <f t="shared" si="93"/>
        <v>1</v>
      </c>
    </row>
    <row r="2414" spans="13:13" x14ac:dyDescent="0.25">
      <c r="M2414">
        <f t="shared" si="93"/>
        <v>1</v>
      </c>
    </row>
    <row r="2415" spans="13:13" x14ac:dyDescent="0.25">
      <c r="M2415">
        <f t="shared" si="93"/>
        <v>1</v>
      </c>
    </row>
    <row r="2416" spans="13:13" x14ac:dyDescent="0.25">
      <c r="M2416">
        <f t="shared" si="93"/>
        <v>1</v>
      </c>
    </row>
    <row r="2417" spans="13:13" x14ac:dyDescent="0.25">
      <c r="M2417">
        <f t="shared" si="93"/>
        <v>1</v>
      </c>
    </row>
    <row r="2418" spans="13:13" x14ac:dyDescent="0.25">
      <c r="M2418">
        <f t="shared" si="93"/>
        <v>1</v>
      </c>
    </row>
    <row r="2419" spans="13:13" x14ac:dyDescent="0.25">
      <c r="M2419">
        <f t="shared" si="93"/>
        <v>1</v>
      </c>
    </row>
    <row r="2420" spans="13:13" x14ac:dyDescent="0.25">
      <c r="M2420">
        <f t="shared" si="93"/>
        <v>1</v>
      </c>
    </row>
    <row r="2421" spans="13:13" x14ac:dyDescent="0.25">
      <c r="M2421">
        <f t="shared" si="93"/>
        <v>1</v>
      </c>
    </row>
    <row r="2422" spans="13:13" x14ac:dyDescent="0.25">
      <c r="M2422">
        <f t="shared" si="93"/>
        <v>1</v>
      </c>
    </row>
    <row r="2423" spans="13:13" x14ac:dyDescent="0.25">
      <c r="M2423">
        <f t="shared" si="93"/>
        <v>1</v>
      </c>
    </row>
    <row r="2424" spans="13:13" x14ac:dyDescent="0.25">
      <c r="M2424">
        <f t="shared" si="93"/>
        <v>1</v>
      </c>
    </row>
    <row r="2425" spans="13:13" x14ac:dyDescent="0.25">
      <c r="M2425">
        <f t="shared" si="93"/>
        <v>1</v>
      </c>
    </row>
    <row r="2426" spans="13:13" x14ac:dyDescent="0.25">
      <c r="M2426">
        <f t="shared" si="93"/>
        <v>1</v>
      </c>
    </row>
    <row r="2427" spans="13:13" x14ac:dyDescent="0.25">
      <c r="M2427">
        <f t="shared" si="93"/>
        <v>1</v>
      </c>
    </row>
    <row r="2428" spans="13:13" x14ac:dyDescent="0.25">
      <c r="M2428">
        <f t="shared" si="93"/>
        <v>1</v>
      </c>
    </row>
    <row r="2429" spans="13:13" x14ac:dyDescent="0.25">
      <c r="M2429">
        <f t="shared" si="93"/>
        <v>1</v>
      </c>
    </row>
    <row r="2430" spans="13:13" x14ac:dyDescent="0.25">
      <c r="M2430">
        <f t="shared" si="93"/>
        <v>1</v>
      </c>
    </row>
    <row r="2431" spans="13:13" x14ac:dyDescent="0.25">
      <c r="M2431">
        <f t="shared" si="93"/>
        <v>1</v>
      </c>
    </row>
    <row r="2432" spans="13:13" x14ac:dyDescent="0.25">
      <c r="M2432">
        <f t="shared" si="93"/>
        <v>1</v>
      </c>
    </row>
    <row r="2433" spans="13:13" x14ac:dyDescent="0.25">
      <c r="M2433">
        <f t="shared" si="93"/>
        <v>1</v>
      </c>
    </row>
    <row r="2434" spans="13:13" x14ac:dyDescent="0.25">
      <c r="M2434">
        <f t="shared" ref="M2434:M2497" si="94">IF(OR(IF(K2434&lt;0.2,1,0),IF(L2434&lt;0.5,1,0)),1,0)</f>
        <v>1</v>
      </c>
    </row>
    <row r="2435" spans="13:13" x14ac:dyDescent="0.25">
      <c r="M2435">
        <f t="shared" si="94"/>
        <v>1</v>
      </c>
    </row>
    <row r="2436" spans="13:13" x14ac:dyDescent="0.25">
      <c r="M2436">
        <f t="shared" si="94"/>
        <v>1</v>
      </c>
    </row>
    <row r="2437" spans="13:13" x14ac:dyDescent="0.25">
      <c r="M2437">
        <f t="shared" si="94"/>
        <v>1</v>
      </c>
    </row>
    <row r="2438" spans="13:13" x14ac:dyDescent="0.25">
      <c r="M2438">
        <f t="shared" si="94"/>
        <v>1</v>
      </c>
    </row>
    <row r="2439" spans="13:13" x14ac:dyDescent="0.25">
      <c r="M2439">
        <f t="shared" si="94"/>
        <v>1</v>
      </c>
    </row>
    <row r="2440" spans="13:13" x14ac:dyDescent="0.25">
      <c r="M2440">
        <f t="shared" si="94"/>
        <v>1</v>
      </c>
    </row>
    <row r="2441" spans="13:13" x14ac:dyDescent="0.25">
      <c r="M2441">
        <f t="shared" si="94"/>
        <v>1</v>
      </c>
    </row>
    <row r="2442" spans="13:13" x14ac:dyDescent="0.25">
      <c r="M2442">
        <f t="shared" si="94"/>
        <v>1</v>
      </c>
    </row>
    <row r="2443" spans="13:13" x14ac:dyDescent="0.25">
      <c r="M2443">
        <f t="shared" si="94"/>
        <v>1</v>
      </c>
    </row>
    <row r="2444" spans="13:13" x14ac:dyDescent="0.25">
      <c r="M2444">
        <f t="shared" si="94"/>
        <v>1</v>
      </c>
    </row>
    <row r="2445" spans="13:13" x14ac:dyDescent="0.25">
      <c r="M2445">
        <f t="shared" si="94"/>
        <v>1</v>
      </c>
    </row>
    <row r="2446" spans="13:13" x14ac:dyDescent="0.25">
      <c r="M2446">
        <f t="shared" si="94"/>
        <v>1</v>
      </c>
    </row>
    <row r="2447" spans="13:13" x14ac:dyDescent="0.25">
      <c r="M2447">
        <f t="shared" si="94"/>
        <v>1</v>
      </c>
    </row>
    <row r="2448" spans="13:13" x14ac:dyDescent="0.25">
      <c r="M2448">
        <f t="shared" si="94"/>
        <v>1</v>
      </c>
    </row>
    <row r="2449" spans="13:13" x14ac:dyDescent="0.25">
      <c r="M2449">
        <f t="shared" si="94"/>
        <v>1</v>
      </c>
    </row>
    <row r="2450" spans="13:13" x14ac:dyDescent="0.25">
      <c r="M2450">
        <f t="shared" si="94"/>
        <v>1</v>
      </c>
    </row>
    <row r="2451" spans="13:13" x14ac:dyDescent="0.25">
      <c r="M2451">
        <f t="shared" si="94"/>
        <v>1</v>
      </c>
    </row>
    <row r="2452" spans="13:13" x14ac:dyDescent="0.25">
      <c r="M2452">
        <f t="shared" si="94"/>
        <v>1</v>
      </c>
    </row>
    <row r="2453" spans="13:13" x14ac:dyDescent="0.25">
      <c r="M2453">
        <f t="shared" si="94"/>
        <v>1</v>
      </c>
    </row>
    <row r="2454" spans="13:13" x14ac:dyDescent="0.25">
      <c r="M2454">
        <f t="shared" si="94"/>
        <v>1</v>
      </c>
    </row>
    <row r="2455" spans="13:13" x14ac:dyDescent="0.25">
      <c r="M2455">
        <f t="shared" si="94"/>
        <v>1</v>
      </c>
    </row>
    <row r="2456" spans="13:13" x14ac:dyDescent="0.25">
      <c r="M2456">
        <f t="shared" si="94"/>
        <v>1</v>
      </c>
    </row>
    <row r="2457" spans="13:13" x14ac:dyDescent="0.25">
      <c r="M2457">
        <f t="shared" si="94"/>
        <v>1</v>
      </c>
    </row>
    <row r="2458" spans="13:13" x14ac:dyDescent="0.25">
      <c r="M2458">
        <f t="shared" si="94"/>
        <v>1</v>
      </c>
    </row>
    <row r="2459" spans="13:13" x14ac:dyDescent="0.25">
      <c r="M2459">
        <f t="shared" si="94"/>
        <v>1</v>
      </c>
    </row>
    <row r="2460" spans="13:13" x14ac:dyDescent="0.25">
      <c r="M2460">
        <f t="shared" si="94"/>
        <v>1</v>
      </c>
    </row>
    <row r="2461" spans="13:13" x14ac:dyDescent="0.25">
      <c r="M2461">
        <f t="shared" si="94"/>
        <v>1</v>
      </c>
    </row>
    <row r="2462" spans="13:13" x14ac:dyDescent="0.25">
      <c r="M2462">
        <f t="shared" si="94"/>
        <v>1</v>
      </c>
    </row>
    <row r="2463" spans="13:13" x14ac:dyDescent="0.25">
      <c r="M2463">
        <f t="shared" si="94"/>
        <v>1</v>
      </c>
    </row>
    <row r="2464" spans="13:13" x14ac:dyDescent="0.25">
      <c r="M2464">
        <f t="shared" si="94"/>
        <v>1</v>
      </c>
    </row>
    <row r="2465" spans="13:13" x14ac:dyDescent="0.25">
      <c r="M2465">
        <f t="shared" si="94"/>
        <v>1</v>
      </c>
    </row>
    <row r="2466" spans="13:13" x14ac:dyDescent="0.25">
      <c r="M2466">
        <f t="shared" si="94"/>
        <v>1</v>
      </c>
    </row>
    <row r="2467" spans="13:13" x14ac:dyDescent="0.25">
      <c r="M2467">
        <f t="shared" si="94"/>
        <v>1</v>
      </c>
    </row>
    <row r="2468" spans="13:13" x14ac:dyDescent="0.25">
      <c r="M2468">
        <f t="shared" si="94"/>
        <v>1</v>
      </c>
    </row>
    <row r="2469" spans="13:13" x14ac:dyDescent="0.25">
      <c r="M2469">
        <f t="shared" si="94"/>
        <v>1</v>
      </c>
    </row>
    <row r="2470" spans="13:13" x14ac:dyDescent="0.25">
      <c r="M2470">
        <f t="shared" si="94"/>
        <v>1</v>
      </c>
    </row>
    <row r="2471" spans="13:13" x14ac:dyDescent="0.25">
      <c r="M2471">
        <f t="shared" si="94"/>
        <v>1</v>
      </c>
    </row>
    <row r="2472" spans="13:13" x14ac:dyDescent="0.25">
      <c r="M2472">
        <f t="shared" si="94"/>
        <v>1</v>
      </c>
    </row>
    <row r="2473" spans="13:13" x14ac:dyDescent="0.25">
      <c r="M2473">
        <f t="shared" si="94"/>
        <v>1</v>
      </c>
    </row>
    <row r="2474" spans="13:13" x14ac:dyDescent="0.25">
      <c r="M2474">
        <f t="shared" si="94"/>
        <v>1</v>
      </c>
    </row>
    <row r="2475" spans="13:13" x14ac:dyDescent="0.25">
      <c r="M2475">
        <f t="shared" si="94"/>
        <v>1</v>
      </c>
    </row>
    <row r="2476" spans="13:13" x14ac:dyDescent="0.25">
      <c r="M2476">
        <f t="shared" si="94"/>
        <v>1</v>
      </c>
    </row>
    <row r="2477" spans="13:13" x14ac:dyDescent="0.25">
      <c r="M2477">
        <f t="shared" si="94"/>
        <v>1</v>
      </c>
    </row>
    <row r="2478" spans="13:13" x14ac:dyDescent="0.25">
      <c r="M2478">
        <f t="shared" si="94"/>
        <v>1</v>
      </c>
    </row>
    <row r="2479" spans="13:13" x14ac:dyDescent="0.25">
      <c r="M2479">
        <f t="shared" si="94"/>
        <v>1</v>
      </c>
    </row>
    <row r="2480" spans="13:13" x14ac:dyDescent="0.25">
      <c r="M2480">
        <f t="shared" si="94"/>
        <v>1</v>
      </c>
    </row>
    <row r="2481" spans="13:13" x14ac:dyDescent="0.25">
      <c r="M2481">
        <f t="shared" si="94"/>
        <v>1</v>
      </c>
    </row>
    <row r="2482" spans="13:13" x14ac:dyDescent="0.25">
      <c r="M2482">
        <f t="shared" si="94"/>
        <v>1</v>
      </c>
    </row>
    <row r="2483" spans="13:13" x14ac:dyDescent="0.25">
      <c r="M2483">
        <f t="shared" si="94"/>
        <v>1</v>
      </c>
    </row>
    <row r="2484" spans="13:13" x14ac:dyDescent="0.25">
      <c r="M2484">
        <f t="shared" si="94"/>
        <v>1</v>
      </c>
    </row>
    <row r="2485" spans="13:13" x14ac:dyDescent="0.25">
      <c r="M2485">
        <f t="shared" si="94"/>
        <v>1</v>
      </c>
    </row>
    <row r="2486" spans="13:13" x14ac:dyDescent="0.25">
      <c r="M2486">
        <f t="shared" si="94"/>
        <v>1</v>
      </c>
    </row>
    <row r="2487" spans="13:13" x14ac:dyDescent="0.25">
      <c r="M2487">
        <f t="shared" si="94"/>
        <v>1</v>
      </c>
    </row>
    <row r="2488" spans="13:13" x14ac:dyDescent="0.25">
      <c r="M2488">
        <f t="shared" si="94"/>
        <v>1</v>
      </c>
    </row>
    <row r="2489" spans="13:13" x14ac:dyDescent="0.25">
      <c r="M2489">
        <f t="shared" si="94"/>
        <v>1</v>
      </c>
    </row>
    <row r="2490" spans="13:13" x14ac:dyDescent="0.25">
      <c r="M2490">
        <f t="shared" si="94"/>
        <v>1</v>
      </c>
    </row>
    <row r="2491" spans="13:13" x14ac:dyDescent="0.25">
      <c r="M2491">
        <f t="shared" si="94"/>
        <v>1</v>
      </c>
    </row>
    <row r="2492" spans="13:13" x14ac:dyDescent="0.25">
      <c r="M2492">
        <f t="shared" si="94"/>
        <v>1</v>
      </c>
    </row>
    <row r="2493" spans="13:13" x14ac:dyDescent="0.25">
      <c r="M2493">
        <f t="shared" si="94"/>
        <v>1</v>
      </c>
    </row>
    <row r="2494" spans="13:13" x14ac:dyDescent="0.25">
      <c r="M2494">
        <f t="shared" si="94"/>
        <v>1</v>
      </c>
    </row>
    <row r="2495" spans="13:13" x14ac:dyDescent="0.25">
      <c r="M2495">
        <f t="shared" si="94"/>
        <v>1</v>
      </c>
    </row>
    <row r="2496" spans="13:13" x14ac:dyDescent="0.25">
      <c r="M2496">
        <f t="shared" si="94"/>
        <v>1</v>
      </c>
    </row>
    <row r="2497" spans="13:13" x14ac:dyDescent="0.25">
      <c r="M2497">
        <f t="shared" si="94"/>
        <v>1</v>
      </c>
    </row>
    <row r="2498" spans="13:13" x14ac:dyDescent="0.25">
      <c r="M2498">
        <f t="shared" ref="M2498:M2561" si="95">IF(OR(IF(K2498&lt;0.2,1,0),IF(L2498&lt;0.5,1,0)),1,0)</f>
        <v>1</v>
      </c>
    </row>
    <row r="2499" spans="13:13" x14ac:dyDescent="0.25">
      <c r="M2499">
        <f t="shared" si="95"/>
        <v>1</v>
      </c>
    </row>
    <row r="2500" spans="13:13" x14ac:dyDescent="0.25">
      <c r="M2500">
        <f t="shared" si="95"/>
        <v>1</v>
      </c>
    </row>
    <row r="2501" spans="13:13" x14ac:dyDescent="0.25">
      <c r="M2501">
        <f t="shared" si="95"/>
        <v>1</v>
      </c>
    </row>
    <row r="2502" spans="13:13" x14ac:dyDescent="0.25">
      <c r="M2502">
        <f t="shared" si="95"/>
        <v>1</v>
      </c>
    </row>
    <row r="2503" spans="13:13" x14ac:dyDescent="0.25">
      <c r="M2503">
        <f t="shared" si="95"/>
        <v>1</v>
      </c>
    </row>
    <row r="2504" spans="13:13" x14ac:dyDescent="0.25">
      <c r="M2504">
        <f t="shared" si="95"/>
        <v>1</v>
      </c>
    </row>
    <row r="2505" spans="13:13" x14ac:dyDescent="0.25">
      <c r="M2505">
        <f t="shared" si="95"/>
        <v>1</v>
      </c>
    </row>
    <row r="2506" spans="13:13" x14ac:dyDescent="0.25">
      <c r="M2506">
        <f t="shared" si="95"/>
        <v>1</v>
      </c>
    </row>
    <row r="2507" spans="13:13" x14ac:dyDescent="0.25">
      <c r="M2507">
        <f t="shared" si="95"/>
        <v>1</v>
      </c>
    </row>
    <row r="2508" spans="13:13" x14ac:dyDescent="0.25">
      <c r="M2508">
        <f t="shared" si="95"/>
        <v>1</v>
      </c>
    </row>
    <row r="2509" spans="13:13" x14ac:dyDescent="0.25">
      <c r="M2509">
        <f t="shared" si="95"/>
        <v>1</v>
      </c>
    </row>
    <row r="2510" spans="13:13" x14ac:dyDescent="0.25">
      <c r="M2510">
        <f t="shared" si="95"/>
        <v>1</v>
      </c>
    </row>
    <row r="2511" spans="13:13" x14ac:dyDescent="0.25">
      <c r="M2511">
        <f t="shared" si="95"/>
        <v>1</v>
      </c>
    </row>
  </sheetData>
  <pageMargins left="0.511811024" right="0.511811024" top="0.78740157499999996" bottom="0.78740157499999996" header="0.31496062000000002" footer="0.31496062000000002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G83"/>
  <sheetViews>
    <sheetView workbookViewId="0">
      <selection activeCell="D38" sqref="D38"/>
    </sheetView>
  </sheetViews>
  <sheetFormatPr defaultRowHeight="15" x14ac:dyDescent="0.25"/>
  <cols>
    <col min="1" max="1" width="10.7109375" style="147" bestFit="1" customWidth="1"/>
    <col min="3" max="3" width="14.42578125" style="222" bestFit="1" customWidth="1"/>
    <col min="4" max="4" width="10.7109375" style="147" bestFit="1" customWidth="1"/>
    <col min="5" max="5" width="10.140625" bestFit="1" customWidth="1"/>
    <col min="6" max="6" width="10.7109375" style="147" bestFit="1" customWidth="1"/>
    <col min="7" max="7" width="10.140625" bestFit="1" customWidth="1"/>
  </cols>
  <sheetData>
    <row r="1" spans="1:7" x14ac:dyDescent="0.25">
      <c r="A1" s="147" t="s">
        <v>215</v>
      </c>
      <c r="B1" t="s">
        <v>296</v>
      </c>
      <c r="C1" s="222" t="s">
        <v>297</v>
      </c>
      <c r="D1" s="147" t="s">
        <v>298</v>
      </c>
      <c r="E1" t="s">
        <v>299</v>
      </c>
      <c r="F1" s="147" t="s">
        <v>300</v>
      </c>
      <c r="G1" t="s">
        <v>301</v>
      </c>
    </row>
    <row r="2" spans="1:7" x14ac:dyDescent="0.25">
      <c r="A2" s="147">
        <v>44985</v>
      </c>
      <c r="B2" t="s">
        <v>302</v>
      </c>
      <c r="C2" s="222">
        <v>3645790.65</v>
      </c>
      <c r="D2" s="147">
        <v>45046</v>
      </c>
      <c r="E2" s="239">
        <v>61</v>
      </c>
      <c r="F2" s="147">
        <v>45230</v>
      </c>
      <c r="G2" s="239">
        <v>245</v>
      </c>
    </row>
    <row r="3" spans="1:7" x14ac:dyDescent="0.25">
      <c r="A3" s="147">
        <v>44981</v>
      </c>
      <c r="B3" t="s">
        <v>302</v>
      </c>
      <c r="C3" s="222">
        <v>3239410.01</v>
      </c>
      <c r="D3" s="147">
        <v>45046</v>
      </c>
      <c r="E3" s="239">
        <v>65</v>
      </c>
      <c r="F3" s="147">
        <v>45230</v>
      </c>
      <c r="G3" s="239">
        <v>249</v>
      </c>
    </row>
    <row r="4" spans="1:7" x14ac:dyDescent="0.25">
      <c r="A4" s="147">
        <v>44980</v>
      </c>
      <c r="B4" t="s">
        <v>302</v>
      </c>
      <c r="C4" s="222">
        <v>3236859.53</v>
      </c>
      <c r="D4" s="147">
        <v>45046</v>
      </c>
      <c r="E4" s="239">
        <v>66</v>
      </c>
      <c r="F4" s="147">
        <v>45230</v>
      </c>
      <c r="G4" s="239">
        <v>250</v>
      </c>
    </row>
    <row r="5" spans="1:7" x14ac:dyDescent="0.25">
      <c r="A5" s="147">
        <v>44979</v>
      </c>
      <c r="B5" t="s">
        <v>302</v>
      </c>
      <c r="C5" s="222">
        <v>3233954.51</v>
      </c>
      <c r="D5" s="147">
        <v>45046</v>
      </c>
      <c r="E5" s="239">
        <v>67</v>
      </c>
      <c r="F5" s="147">
        <v>45230</v>
      </c>
      <c r="G5" s="239">
        <v>251</v>
      </c>
    </row>
    <row r="6" spans="1:7" x14ac:dyDescent="0.25">
      <c r="A6" s="147">
        <v>44974</v>
      </c>
      <c r="B6" t="s">
        <v>302</v>
      </c>
      <c r="C6" s="222">
        <v>3231052.12</v>
      </c>
      <c r="D6" s="147">
        <v>45046</v>
      </c>
      <c r="E6" s="239">
        <v>72</v>
      </c>
      <c r="F6" s="147">
        <v>45230</v>
      </c>
      <c r="G6" s="239">
        <v>256</v>
      </c>
    </row>
    <row r="7" spans="1:7" x14ac:dyDescent="0.25">
      <c r="A7" s="147">
        <v>44973</v>
      </c>
      <c r="B7" t="s">
        <v>302</v>
      </c>
      <c r="C7" s="222">
        <v>3228152.3</v>
      </c>
      <c r="D7" s="147">
        <v>45046</v>
      </c>
      <c r="E7" s="239">
        <v>73</v>
      </c>
      <c r="F7" s="147">
        <v>45230</v>
      </c>
      <c r="G7" s="239">
        <v>257</v>
      </c>
    </row>
    <row r="8" spans="1:7" x14ac:dyDescent="0.25">
      <c r="A8" s="147">
        <v>44972</v>
      </c>
      <c r="B8" t="s">
        <v>302</v>
      </c>
      <c r="C8" s="222">
        <v>3225255.11</v>
      </c>
      <c r="D8" s="147">
        <v>45046</v>
      </c>
      <c r="E8" s="239">
        <v>74</v>
      </c>
      <c r="F8" s="147">
        <v>45230</v>
      </c>
      <c r="G8" s="239">
        <v>258</v>
      </c>
    </row>
    <row r="9" spans="1:7" x14ac:dyDescent="0.25">
      <c r="A9" s="147">
        <v>44971</v>
      </c>
      <c r="B9" t="s">
        <v>302</v>
      </c>
      <c r="C9" s="222">
        <v>3023168.55</v>
      </c>
      <c r="D9" s="147">
        <v>45046</v>
      </c>
      <c r="E9" s="239">
        <v>75</v>
      </c>
      <c r="F9" s="147">
        <v>45230</v>
      </c>
      <c r="G9" s="239">
        <v>259</v>
      </c>
    </row>
    <row r="10" spans="1:7" x14ac:dyDescent="0.25">
      <c r="A10" s="147">
        <v>44970</v>
      </c>
      <c r="B10" t="s">
        <v>302</v>
      </c>
      <c r="C10" s="222">
        <v>2621359.33</v>
      </c>
      <c r="D10" s="147">
        <v>45046</v>
      </c>
      <c r="E10" s="239">
        <v>76</v>
      </c>
      <c r="F10" s="147">
        <v>45230</v>
      </c>
      <c r="G10" s="239">
        <v>260</v>
      </c>
    </row>
    <row r="11" spans="1:7" x14ac:dyDescent="0.25">
      <c r="A11" s="147">
        <v>44967</v>
      </c>
      <c r="B11" t="s">
        <v>302</v>
      </c>
      <c r="C11" s="222">
        <v>2619551.35</v>
      </c>
      <c r="D11" s="147">
        <v>45046</v>
      </c>
      <c r="E11" s="239">
        <v>79</v>
      </c>
      <c r="F11" s="147">
        <v>45230</v>
      </c>
      <c r="G11" s="239">
        <v>263</v>
      </c>
    </row>
    <row r="12" spans="1:7" x14ac:dyDescent="0.25">
      <c r="A12" s="147">
        <v>44966</v>
      </c>
      <c r="B12" t="s">
        <v>302</v>
      </c>
      <c r="C12" s="222">
        <v>2617744.63</v>
      </c>
      <c r="D12" s="147">
        <v>45046</v>
      </c>
      <c r="E12" s="239">
        <v>80</v>
      </c>
      <c r="F12" s="147">
        <v>45230</v>
      </c>
      <c r="G12" s="239">
        <v>264</v>
      </c>
    </row>
    <row r="13" spans="1:7" x14ac:dyDescent="0.25">
      <c r="A13" s="147">
        <v>44965</v>
      </c>
      <c r="B13" t="s">
        <v>302</v>
      </c>
      <c r="C13" s="222">
        <v>2616543.17</v>
      </c>
      <c r="D13" s="147">
        <v>45046</v>
      </c>
      <c r="E13" s="239">
        <v>81</v>
      </c>
      <c r="F13" s="147">
        <v>45230</v>
      </c>
      <c r="G13" s="239">
        <v>265</v>
      </c>
    </row>
    <row r="14" spans="1:7" x14ac:dyDescent="0.25">
      <c r="A14" s="147">
        <v>44964</v>
      </c>
      <c r="B14" t="s">
        <v>302</v>
      </c>
      <c r="C14" s="222">
        <v>2614703</v>
      </c>
      <c r="D14" s="147">
        <v>45046</v>
      </c>
      <c r="E14" s="239">
        <v>82</v>
      </c>
      <c r="F14" s="147">
        <v>45230</v>
      </c>
      <c r="G14" s="239">
        <v>266</v>
      </c>
    </row>
    <row r="15" spans="1:7" x14ac:dyDescent="0.25">
      <c r="A15" s="147">
        <v>44963</v>
      </c>
      <c r="B15" t="s">
        <v>302</v>
      </c>
      <c r="C15" s="222">
        <v>2612864.13</v>
      </c>
      <c r="D15" s="147">
        <v>45046</v>
      </c>
      <c r="E15" s="239">
        <v>83</v>
      </c>
      <c r="F15" s="147">
        <v>45230</v>
      </c>
      <c r="G15" s="239">
        <v>267</v>
      </c>
    </row>
    <row r="16" spans="1:7" x14ac:dyDescent="0.25">
      <c r="A16" s="147">
        <v>44960</v>
      </c>
      <c r="B16" t="s">
        <v>302</v>
      </c>
      <c r="C16" s="222">
        <v>2611026.5499999998</v>
      </c>
      <c r="D16" s="147">
        <v>45046</v>
      </c>
      <c r="E16" s="239">
        <v>86</v>
      </c>
      <c r="F16" s="147">
        <v>45230</v>
      </c>
      <c r="G16" s="239">
        <v>270</v>
      </c>
    </row>
    <row r="17" spans="1:7" x14ac:dyDescent="0.25">
      <c r="A17" s="147">
        <v>44959</v>
      </c>
      <c r="B17" t="s">
        <v>302</v>
      </c>
      <c r="C17" s="222">
        <v>2609190.25</v>
      </c>
      <c r="D17" s="147">
        <v>45046</v>
      </c>
      <c r="E17" s="239">
        <v>87</v>
      </c>
      <c r="F17" s="147">
        <v>45230</v>
      </c>
      <c r="G17" s="239">
        <v>271</v>
      </c>
    </row>
    <row r="18" spans="1:7" x14ac:dyDescent="0.25">
      <c r="A18" s="147">
        <v>44958</v>
      </c>
      <c r="B18" t="s">
        <v>302</v>
      </c>
      <c r="C18" s="222">
        <v>2607355.25</v>
      </c>
      <c r="D18" s="147">
        <v>45046</v>
      </c>
      <c r="E18" s="239">
        <v>88</v>
      </c>
      <c r="F18" s="147">
        <v>45230</v>
      </c>
      <c r="G18" s="239">
        <v>272</v>
      </c>
    </row>
    <row r="19" spans="1:7" x14ac:dyDescent="0.25">
      <c r="A19" s="147">
        <v>44957</v>
      </c>
      <c r="B19" t="s">
        <v>302</v>
      </c>
      <c r="C19" s="222">
        <v>2605521.54</v>
      </c>
      <c r="D19" s="147">
        <v>45046</v>
      </c>
      <c r="E19" s="239">
        <v>89</v>
      </c>
      <c r="F19" s="147">
        <v>45230</v>
      </c>
      <c r="G19" s="239">
        <v>273</v>
      </c>
    </row>
    <row r="20" spans="1:7" x14ac:dyDescent="0.25">
      <c r="A20" s="147">
        <v>44956</v>
      </c>
      <c r="B20" t="s">
        <v>302</v>
      </c>
      <c r="C20" s="222">
        <v>2603689.11</v>
      </c>
      <c r="D20" s="147">
        <v>45046</v>
      </c>
      <c r="E20" s="239">
        <v>90</v>
      </c>
      <c r="F20" s="147">
        <v>45230</v>
      </c>
      <c r="G20" s="239">
        <v>274</v>
      </c>
    </row>
    <row r="21" spans="1:7" x14ac:dyDescent="0.25">
      <c r="A21" s="147">
        <v>44953</v>
      </c>
      <c r="B21" t="s">
        <v>302</v>
      </c>
      <c r="C21" s="222">
        <v>2601858</v>
      </c>
      <c r="D21" s="147">
        <v>45046</v>
      </c>
      <c r="E21" s="239">
        <v>93</v>
      </c>
      <c r="F21" s="147">
        <v>45230</v>
      </c>
      <c r="G21" s="239">
        <v>277</v>
      </c>
    </row>
    <row r="22" spans="1:7" x14ac:dyDescent="0.25">
      <c r="A22" s="147">
        <v>44952</v>
      </c>
      <c r="B22" t="s">
        <v>302</v>
      </c>
      <c r="C22" s="222">
        <v>2600028.15</v>
      </c>
      <c r="D22" s="147">
        <v>45046</v>
      </c>
      <c r="E22" s="239">
        <v>94</v>
      </c>
      <c r="F22" s="147">
        <v>45230</v>
      </c>
      <c r="G22" s="239">
        <v>278</v>
      </c>
    </row>
    <row r="23" spans="1:7" x14ac:dyDescent="0.25">
      <c r="A23" s="221">
        <v>44951</v>
      </c>
      <c r="B23" t="s">
        <v>302</v>
      </c>
      <c r="C23">
        <v>2598199.61</v>
      </c>
      <c r="D23" s="238">
        <v>45046</v>
      </c>
      <c r="E23" s="239">
        <v>95</v>
      </c>
      <c r="F23" s="238">
        <v>45230</v>
      </c>
      <c r="G23" s="239">
        <v>279</v>
      </c>
    </row>
    <row r="24" spans="1:7" x14ac:dyDescent="0.25">
      <c r="A24" s="221">
        <v>44950</v>
      </c>
      <c r="B24" t="s">
        <v>302</v>
      </c>
      <c r="C24">
        <v>2596090.62</v>
      </c>
      <c r="D24" s="238">
        <v>45046</v>
      </c>
      <c r="E24" s="239">
        <v>96</v>
      </c>
      <c r="F24" s="238">
        <v>45230</v>
      </c>
      <c r="G24" s="239">
        <v>280</v>
      </c>
    </row>
    <row r="25" spans="1:7" x14ac:dyDescent="0.25">
      <c r="A25" s="221">
        <v>44949</v>
      </c>
      <c r="B25" t="s">
        <v>302</v>
      </c>
      <c r="C25">
        <v>2594311.75</v>
      </c>
      <c r="D25" s="238">
        <v>45046</v>
      </c>
      <c r="E25" s="239">
        <v>97</v>
      </c>
      <c r="F25" s="238">
        <v>45230</v>
      </c>
      <c r="G25" s="239">
        <v>281</v>
      </c>
    </row>
    <row r="26" spans="1:7" x14ac:dyDescent="0.25">
      <c r="A26" s="221">
        <v>44946</v>
      </c>
      <c r="B26" t="s">
        <v>302</v>
      </c>
      <c r="C26">
        <v>2592534.11</v>
      </c>
      <c r="D26" s="238">
        <v>45046</v>
      </c>
      <c r="E26" s="239">
        <v>100</v>
      </c>
      <c r="F26" s="238">
        <v>45230</v>
      </c>
      <c r="G26" s="239">
        <v>284</v>
      </c>
    </row>
    <row r="27" spans="1:7" x14ac:dyDescent="0.25">
      <c r="A27" s="221">
        <v>44945</v>
      </c>
      <c r="B27" t="s">
        <v>302</v>
      </c>
      <c r="C27">
        <v>2590757.65</v>
      </c>
      <c r="D27" s="238">
        <v>45046</v>
      </c>
      <c r="E27" s="239">
        <v>101</v>
      </c>
      <c r="F27" s="238">
        <v>45230</v>
      </c>
      <c r="G27" s="239">
        <v>285</v>
      </c>
    </row>
    <row r="28" spans="1:7" x14ac:dyDescent="0.25">
      <c r="A28" s="221">
        <v>44944</v>
      </c>
      <c r="B28" t="s">
        <v>302</v>
      </c>
      <c r="C28">
        <v>2588982.44</v>
      </c>
      <c r="D28" s="238">
        <v>45046</v>
      </c>
      <c r="E28" s="239">
        <v>102</v>
      </c>
      <c r="F28" s="238">
        <v>45230</v>
      </c>
      <c r="G28" s="239">
        <v>286</v>
      </c>
    </row>
    <row r="29" spans="1:7" x14ac:dyDescent="0.25">
      <c r="A29" s="221">
        <v>44943</v>
      </c>
      <c r="B29" t="s">
        <v>302</v>
      </c>
      <c r="C29">
        <v>2587208.46</v>
      </c>
      <c r="D29" s="238">
        <v>45046</v>
      </c>
      <c r="E29" s="239">
        <v>103</v>
      </c>
      <c r="F29" s="238">
        <v>45230</v>
      </c>
      <c r="G29" s="239">
        <v>287</v>
      </c>
    </row>
    <row r="30" spans="1:7" x14ac:dyDescent="0.25">
      <c r="A30" s="221">
        <v>44942</v>
      </c>
      <c r="B30" t="s">
        <v>302</v>
      </c>
      <c r="C30">
        <v>2585435.66</v>
      </c>
      <c r="D30" s="238">
        <v>45046</v>
      </c>
      <c r="E30" s="239">
        <v>104</v>
      </c>
      <c r="F30" s="238">
        <v>45230</v>
      </c>
      <c r="G30" s="239">
        <v>288</v>
      </c>
    </row>
    <row r="31" spans="1:7" x14ac:dyDescent="0.25">
      <c r="A31" s="221">
        <v>44939</v>
      </c>
      <c r="B31" t="s">
        <v>302</v>
      </c>
      <c r="C31">
        <v>2583547.35</v>
      </c>
      <c r="D31" s="238">
        <v>45046</v>
      </c>
      <c r="E31" s="239">
        <v>107</v>
      </c>
      <c r="F31" s="238">
        <v>45230</v>
      </c>
      <c r="G31" s="239">
        <v>291</v>
      </c>
    </row>
    <row r="32" spans="1:7" x14ac:dyDescent="0.25">
      <c r="A32" s="221">
        <v>44938</v>
      </c>
      <c r="B32" t="s">
        <v>302</v>
      </c>
      <c r="C32">
        <v>2581660.42</v>
      </c>
      <c r="D32" s="238">
        <v>45046</v>
      </c>
      <c r="E32" s="239">
        <v>108</v>
      </c>
      <c r="F32" s="238">
        <v>45230</v>
      </c>
      <c r="G32" s="239">
        <v>292</v>
      </c>
    </row>
    <row r="33" spans="1:7" x14ac:dyDescent="0.25">
      <c r="A33" s="221">
        <v>44937</v>
      </c>
      <c r="B33" t="s">
        <v>302</v>
      </c>
      <c r="C33">
        <v>2579774.89</v>
      </c>
      <c r="D33" s="238">
        <v>45046</v>
      </c>
      <c r="E33" s="239">
        <v>109</v>
      </c>
      <c r="F33" s="238">
        <v>45230</v>
      </c>
      <c r="G33" s="239">
        <v>293</v>
      </c>
    </row>
    <row r="34" spans="1:7" x14ac:dyDescent="0.25">
      <c r="A34" s="221">
        <v>44936</v>
      </c>
      <c r="B34" t="s">
        <v>302</v>
      </c>
      <c r="C34">
        <v>2577890.7200000002</v>
      </c>
      <c r="D34" s="238">
        <v>45046</v>
      </c>
      <c r="E34" s="239">
        <v>110</v>
      </c>
      <c r="F34" s="238">
        <v>45230</v>
      </c>
      <c r="G34" s="239">
        <v>294</v>
      </c>
    </row>
    <row r="35" spans="1:7" x14ac:dyDescent="0.25">
      <c r="A35" s="221">
        <v>44935</v>
      </c>
      <c r="B35" t="s">
        <v>302</v>
      </c>
      <c r="C35">
        <v>2572249</v>
      </c>
      <c r="D35" s="238">
        <v>45046</v>
      </c>
      <c r="E35" s="239">
        <v>111</v>
      </c>
      <c r="F35" s="238">
        <v>45230</v>
      </c>
      <c r="G35" s="239">
        <v>295</v>
      </c>
    </row>
    <row r="36" spans="1:7" x14ac:dyDescent="0.25">
      <c r="A36" s="221">
        <v>44932</v>
      </c>
      <c r="B36" t="s">
        <v>302</v>
      </c>
      <c r="C36">
        <v>2570591.13</v>
      </c>
      <c r="D36" s="238">
        <v>45046</v>
      </c>
      <c r="E36" s="239">
        <v>114</v>
      </c>
      <c r="F36" s="238">
        <v>45230</v>
      </c>
      <c r="G36" s="239">
        <v>298</v>
      </c>
    </row>
    <row r="37" spans="1:7" x14ac:dyDescent="0.25">
      <c r="A37" s="221">
        <v>44931</v>
      </c>
      <c r="B37" t="s">
        <v>302</v>
      </c>
      <c r="C37">
        <v>2568934.33</v>
      </c>
      <c r="D37" s="238">
        <v>45046</v>
      </c>
      <c r="E37" s="239">
        <v>115</v>
      </c>
      <c r="F37" s="238">
        <v>45230</v>
      </c>
      <c r="G37" s="239">
        <v>299</v>
      </c>
    </row>
    <row r="38" spans="1:7" x14ac:dyDescent="0.25">
      <c r="A38" s="221">
        <v>44930</v>
      </c>
      <c r="B38" t="s">
        <v>302</v>
      </c>
      <c r="C38">
        <v>2567278.6</v>
      </c>
      <c r="D38" s="238">
        <v>45046</v>
      </c>
      <c r="E38" s="239">
        <v>116</v>
      </c>
      <c r="F38" s="238">
        <v>45230</v>
      </c>
      <c r="G38" s="239">
        <v>300</v>
      </c>
    </row>
    <row r="39" spans="1:7" x14ac:dyDescent="0.25">
      <c r="A39" s="221">
        <v>44929</v>
      </c>
      <c r="B39" t="s">
        <v>302</v>
      </c>
      <c r="C39">
        <v>2565623.92</v>
      </c>
      <c r="D39" s="238">
        <v>45046</v>
      </c>
      <c r="E39" s="239">
        <v>117</v>
      </c>
      <c r="F39" s="238">
        <v>45230</v>
      </c>
      <c r="G39" s="239">
        <v>301</v>
      </c>
    </row>
    <row r="40" spans="1:7" x14ac:dyDescent="0.25">
      <c r="A40" s="221">
        <v>44928</v>
      </c>
      <c r="B40" t="s">
        <v>302</v>
      </c>
      <c r="C40">
        <v>2563970.31</v>
      </c>
      <c r="D40" s="238">
        <v>45046</v>
      </c>
      <c r="E40" s="239">
        <v>118</v>
      </c>
      <c r="F40" s="238">
        <v>45230</v>
      </c>
      <c r="G40" s="239">
        <v>302</v>
      </c>
    </row>
    <row r="41" spans="1:7" x14ac:dyDescent="0.25">
      <c r="A41" s="221">
        <v>44925</v>
      </c>
      <c r="B41" t="s">
        <v>302</v>
      </c>
      <c r="C41">
        <v>2562317.77</v>
      </c>
      <c r="D41" s="238">
        <v>45046</v>
      </c>
      <c r="E41" s="239">
        <v>121</v>
      </c>
      <c r="F41" s="238">
        <v>45230</v>
      </c>
      <c r="G41" s="239">
        <v>305</v>
      </c>
    </row>
    <row r="42" spans="1:7" x14ac:dyDescent="0.25">
      <c r="A42" s="221">
        <v>44924</v>
      </c>
      <c r="B42" t="s">
        <v>302</v>
      </c>
      <c r="C42">
        <v>2560666.31</v>
      </c>
      <c r="D42" s="238">
        <v>45046</v>
      </c>
      <c r="E42" s="239">
        <v>122</v>
      </c>
      <c r="F42" s="238">
        <v>45230</v>
      </c>
      <c r="G42" s="239">
        <v>306</v>
      </c>
    </row>
    <row r="43" spans="1:7" x14ac:dyDescent="0.25">
      <c r="A43" s="221">
        <v>44923</v>
      </c>
      <c r="B43" t="s">
        <v>302</v>
      </c>
      <c r="C43">
        <v>2559015.9</v>
      </c>
      <c r="D43" s="238">
        <v>45046</v>
      </c>
      <c r="E43" s="239">
        <v>123</v>
      </c>
      <c r="F43" s="238">
        <v>45230</v>
      </c>
      <c r="G43" s="239">
        <v>307</v>
      </c>
    </row>
    <row r="44" spans="1:7" x14ac:dyDescent="0.25">
      <c r="A44" s="221">
        <v>44922</v>
      </c>
      <c r="B44" t="s">
        <v>302</v>
      </c>
      <c r="C44">
        <v>2557366.56</v>
      </c>
      <c r="D44" s="238">
        <v>45046</v>
      </c>
      <c r="E44" s="239">
        <v>124</v>
      </c>
      <c r="F44" s="238">
        <v>45230</v>
      </c>
      <c r="G44" s="239">
        <v>308</v>
      </c>
    </row>
    <row r="45" spans="1:7" x14ac:dyDescent="0.25">
      <c r="A45" s="221">
        <v>44921</v>
      </c>
      <c r="B45" t="s">
        <v>302</v>
      </c>
      <c r="C45">
        <v>2555718.2799999998</v>
      </c>
      <c r="D45" s="238">
        <v>45046</v>
      </c>
      <c r="E45" s="239">
        <v>125</v>
      </c>
      <c r="F45" s="238">
        <v>45230</v>
      </c>
      <c r="G45" s="239">
        <v>309</v>
      </c>
    </row>
    <row r="46" spans="1:7" x14ac:dyDescent="0.25">
      <c r="A46" s="221">
        <v>44918</v>
      </c>
      <c r="B46" t="s">
        <v>302</v>
      </c>
      <c r="C46">
        <v>2554071.08</v>
      </c>
      <c r="D46" s="238">
        <v>45046</v>
      </c>
      <c r="E46" s="239">
        <v>128</v>
      </c>
      <c r="F46" s="238">
        <v>45230</v>
      </c>
      <c r="G46" s="239">
        <v>312</v>
      </c>
    </row>
    <row r="47" spans="1:7" x14ac:dyDescent="0.25">
      <c r="A47" s="221">
        <v>44917</v>
      </c>
      <c r="B47" t="s">
        <v>302</v>
      </c>
      <c r="C47">
        <v>2553117.7200000002</v>
      </c>
      <c r="D47" s="238">
        <v>45046</v>
      </c>
      <c r="E47" s="239">
        <v>129</v>
      </c>
      <c r="F47" s="238">
        <v>45230</v>
      </c>
      <c r="G47" s="239">
        <v>313</v>
      </c>
    </row>
    <row r="48" spans="1:7" x14ac:dyDescent="0.25">
      <c r="A48" s="221">
        <v>44916</v>
      </c>
      <c r="B48" t="s">
        <v>302</v>
      </c>
      <c r="C48">
        <v>2551333.6800000002</v>
      </c>
      <c r="D48" s="238">
        <v>45046</v>
      </c>
      <c r="E48" s="239">
        <v>130</v>
      </c>
      <c r="F48" s="238">
        <v>45230</v>
      </c>
      <c r="G48" s="239">
        <v>314</v>
      </c>
    </row>
    <row r="49" spans="1:7" x14ac:dyDescent="0.25">
      <c r="A49" s="221">
        <v>44915</v>
      </c>
      <c r="B49" t="s">
        <v>302</v>
      </c>
      <c r="C49">
        <v>2549550.9</v>
      </c>
      <c r="D49" s="238">
        <v>45046</v>
      </c>
      <c r="E49" s="239">
        <v>131</v>
      </c>
      <c r="F49" s="238">
        <v>45230</v>
      </c>
      <c r="G49" s="239">
        <v>315</v>
      </c>
    </row>
    <row r="50" spans="1:7" x14ac:dyDescent="0.25">
      <c r="A50" s="221">
        <v>44914</v>
      </c>
      <c r="B50" t="s">
        <v>302</v>
      </c>
      <c r="C50">
        <v>2547769.36</v>
      </c>
      <c r="D50" s="238">
        <v>45046</v>
      </c>
      <c r="E50" s="239">
        <v>132</v>
      </c>
      <c r="F50" s="238">
        <v>45230</v>
      </c>
      <c r="G50" s="239">
        <v>316</v>
      </c>
    </row>
    <row r="51" spans="1:7" x14ac:dyDescent="0.25">
      <c r="A51" s="221">
        <v>44911</v>
      </c>
      <c r="B51" t="s">
        <v>302</v>
      </c>
      <c r="C51">
        <v>2545989.06</v>
      </c>
      <c r="D51" s="238">
        <v>45046</v>
      </c>
      <c r="E51" s="239">
        <v>135</v>
      </c>
      <c r="F51" s="238">
        <v>45230</v>
      </c>
      <c r="G51" s="239">
        <v>319</v>
      </c>
    </row>
    <row r="52" spans="1:7" x14ac:dyDescent="0.25">
      <c r="A52" s="221">
        <v>44910</v>
      </c>
      <c r="B52" t="s">
        <v>302</v>
      </c>
      <c r="C52">
        <v>2544210.02</v>
      </c>
      <c r="D52" s="238">
        <v>45046</v>
      </c>
      <c r="E52" s="239">
        <v>136</v>
      </c>
      <c r="F52" s="238">
        <v>45230</v>
      </c>
      <c r="G52" s="239">
        <v>320</v>
      </c>
    </row>
    <row r="53" spans="1:7" x14ac:dyDescent="0.25">
      <c r="A53" s="221">
        <v>44909</v>
      </c>
      <c r="B53" t="s">
        <v>302</v>
      </c>
      <c r="C53">
        <v>2542570.77</v>
      </c>
      <c r="D53" s="238">
        <v>45046</v>
      </c>
      <c r="E53" s="239">
        <v>137</v>
      </c>
      <c r="F53" s="238">
        <v>45230</v>
      </c>
      <c r="G53" s="239">
        <v>321</v>
      </c>
    </row>
    <row r="54" spans="1:7" x14ac:dyDescent="0.25">
      <c r="A54" s="221">
        <v>44908</v>
      </c>
      <c r="B54" t="s">
        <v>302</v>
      </c>
      <c r="C54">
        <v>2540932.58</v>
      </c>
      <c r="D54" s="238">
        <v>45046</v>
      </c>
      <c r="E54" s="239">
        <v>138</v>
      </c>
      <c r="F54" s="238">
        <v>45230</v>
      </c>
      <c r="G54" s="239">
        <v>322</v>
      </c>
    </row>
    <row r="55" spans="1:7" x14ac:dyDescent="0.25">
      <c r="A55" s="221">
        <v>44907</v>
      </c>
      <c r="B55" t="s">
        <v>302</v>
      </c>
      <c r="C55">
        <v>2539295.42</v>
      </c>
      <c r="D55" s="238">
        <v>45046</v>
      </c>
      <c r="E55" s="239">
        <v>139</v>
      </c>
      <c r="F55" s="238">
        <v>45230</v>
      </c>
      <c r="G55" s="239">
        <v>323</v>
      </c>
    </row>
    <row r="56" spans="1:7" x14ac:dyDescent="0.25">
      <c r="A56" s="221">
        <v>44904</v>
      </c>
      <c r="B56" t="s">
        <v>302</v>
      </c>
      <c r="C56">
        <v>2537659.34</v>
      </c>
      <c r="D56" s="238">
        <v>45046</v>
      </c>
      <c r="E56" s="239">
        <v>142</v>
      </c>
      <c r="F56" s="238">
        <v>45230</v>
      </c>
      <c r="G56" s="239">
        <v>326</v>
      </c>
    </row>
    <row r="57" spans="1:7" x14ac:dyDescent="0.25">
      <c r="A57" s="221">
        <v>44903</v>
      </c>
      <c r="B57" t="s">
        <v>302</v>
      </c>
      <c r="C57">
        <v>2536399.59</v>
      </c>
      <c r="D57" s="238">
        <v>45046</v>
      </c>
      <c r="E57" s="239">
        <v>143</v>
      </c>
      <c r="F57" s="238">
        <v>45230</v>
      </c>
      <c r="G57" s="239">
        <v>327</v>
      </c>
    </row>
    <row r="58" spans="1:7" x14ac:dyDescent="0.25">
      <c r="A58" s="221">
        <v>44902</v>
      </c>
      <c r="B58" t="s">
        <v>302</v>
      </c>
      <c r="C58">
        <v>2534717.2000000002</v>
      </c>
      <c r="D58" s="238">
        <v>45046</v>
      </c>
      <c r="E58" s="239">
        <v>144</v>
      </c>
      <c r="F58" s="238">
        <v>45230</v>
      </c>
      <c r="G58" s="239">
        <v>328</v>
      </c>
    </row>
    <row r="59" spans="1:7" x14ac:dyDescent="0.25">
      <c r="A59" s="221">
        <v>44901</v>
      </c>
      <c r="B59" t="s">
        <v>302</v>
      </c>
      <c r="C59">
        <v>1333831.8700000001</v>
      </c>
      <c r="D59" s="238">
        <v>45046</v>
      </c>
      <c r="E59" s="239">
        <v>145</v>
      </c>
      <c r="F59" s="238">
        <v>45230</v>
      </c>
      <c r="G59" s="239">
        <v>329</v>
      </c>
    </row>
    <row r="60" spans="1:7" x14ac:dyDescent="0.25">
      <c r="A60" s="221">
        <v>44900</v>
      </c>
      <c r="B60" t="s">
        <v>302</v>
      </c>
      <c r="C60">
        <v>1133079.8</v>
      </c>
      <c r="D60" s="238">
        <v>45046</v>
      </c>
      <c r="E60" s="239">
        <v>146</v>
      </c>
      <c r="F60" s="238">
        <v>45230</v>
      </c>
      <c r="G60" s="239">
        <v>330</v>
      </c>
    </row>
    <row r="61" spans="1:7" x14ac:dyDescent="0.25">
      <c r="A61" s="221">
        <v>44897</v>
      </c>
      <c r="B61" t="s">
        <v>302</v>
      </c>
      <c r="C61">
        <v>1132328.22</v>
      </c>
      <c r="D61" s="238">
        <v>45046</v>
      </c>
      <c r="E61" s="239">
        <v>149</v>
      </c>
      <c r="F61" s="238">
        <v>45230</v>
      </c>
      <c r="G61" s="239">
        <v>333</v>
      </c>
    </row>
    <row r="62" spans="1:7" x14ac:dyDescent="0.25">
      <c r="A62" s="221">
        <v>44896</v>
      </c>
      <c r="B62" t="s">
        <v>302</v>
      </c>
      <c r="C62">
        <v>1131577.1499999999</v>
      </c>
      <c r="D62" s="238">
        <v>45046</v>
      </c>
      <c r="E62" s="239">
        <v>150</v>
      </c>
      <c r="F62" s="238">
        <v>45230</v>
      </c>
      <c r="G62" s="239">
        <v>334</v>
      </c>
    </row>
    <row r="63" spans="1:7" x14ac:dyDescent="0.25">
      <c r="A63" s="221">
        <v>44895</v>
      </c>
      <c r="B63" t="s">
        <v>302</v>
      </c>
      <c r="C63">
        <v>1130826.57</v>
      </c>
      <c r="D63" s="238">
        <v>45046</v>
      </c>
      <c r="E63" s="239">
        <v>151</v>
      </c>
      <c r="F63" s="238">
        <v>45230</v>
      </c>
      <c r="G63" s="239">
        <v>335</v>
      </c>
    </row>
    <row r="64" spans="1:7" x14ac:dyDescent="0.25">
      <c r="A64" s="221">
        <v>44894</v>
      </c>
      <c r="B64" t="s">
        <v>302</v>
      </c>
      <c r="C64">
        <v>1130076.48</v>
      </c>
      <c r="D64" s="238">
        <v>45046</v>
      </c>
      <c r="E64" s="239">
        <v>152</v>
      </c>
      <c r="F64" s="238">
        <v>45230</v>
      </c>
      <c r="G64" s="239">
        <v>336</v>
      </c>
    </row>
    <row r="65" spans="1:7" x14ac:dyDescent="0.25">
      <c r="A65" s="221">
        <v>44893</v>
      </c>
      <c r="B65" t="s">
        <v>302</v>
      </c>
      <c r="C65">
        <v>1129326.8999999999</v>
      </c>
      <c r="D65" s="238">
        <v>45046</v>
      </c>
      <c r="E65" s="239">
        <v>153</v>
      </c>
      <c r="F65" s="238">
        <v>45230</v>
      </c>
      <c r="G65" s="239">
        <v>337</v>
      </c>
    </row>
    <row r="66" spans="1:7" x14ac:dyDescent="0.25">
      <c r="A66" s="221">
        <v>44890</v>
      </c>
      <c r="B66" t="s">
        <v>302</v>
      </c>
      <c r="C66">
        <v>1128577.82</v>
      </c>
      <c r="D66" s="238">
        <v>45046</v>
      </c>
      <c r="E66" s="239">
        <v>156</v>
      </c>
      <c r="F66" s="238">
        <v>45230</v>
      </c>
      <c r="G66" s="239">
        <v>340</v>
      </c>
    </row>
    <row r="67" spans="1:7" x14ac:dyDescent="0.25">
      <c r="A67" s="221">
        <v>44889</v>
      </c>
      <c r="B67" t="s">
        <v>302</v>
      </c>
      <c r="C67">
        <v>1127829.24</v>
      </c>
      <c r="D67" s="238">
        <v>45046</v>
      </c>
      <c r="E67" s="239">
        <v>157</v>
      </c>
      <c r="F67" s="238">
        <v>45230</v>
      </c>
      <c r="G67" s="239">
        <v>341</v>
      </c>
    </row>
    <row r="68" spans="1:7" x14ac:dyDescent="0.25">
      <c r="A68" s="221">
        <v>44888</v>
      </c>
      <c r="B68" t="s">
        <v>302</v>
      </c>
      <c r="C68">
        <v>1127081.1399999999</v>
      </c>
      <c r="D68" s="238">
        <v>45046</v>
      </c>
      <c r="E68" s="239">
        <v>158</v>
      </c>
      <c r="F68" s="238">
        <v>45230</v>
      </c>
      <c r="G68" s="239">
        <v>342</v>
      </c>
    </row>
    <row r="69" spans="1:7" x14ac:dyDescent="0.25">
      <c r="A69" s="221">
        <v>44887</v>
      </c>
      <c r="B69" t="s">
        <v>302</v>
      </c>
      <c r="C69">
        <v>1126333.56</v>
      </c>
      <c r="D69" s="238">
        <v>45046</v>
      </c>
      <c r="E69" s="239">
        <v>159</v>
      </c>
      <c r="F69" s="238">
        <v>45230</v>
      </c>
      <c r="G69" s="239">
        <v>343</v>
      </c>
    </row>
    <row r="70" spans="1:7" x14ac:dyDescent="0.25">
      <c r="A70" s="221">
        <v>44886</v>
      </c>
      <c r="B70" t="s">
        <v>302</v>
      </c>
      <c r="C70">
        <v>1125586.45</v>
      </c>
      <c r="D70" s="238">
        <v>45046</v>
      </c>
      <c r="E70" s="239">
        <v>160</v>
      </c>
      <c r="F70" s="238">
        <v>45230</v>
      </c>
      <c r="G70" s="239">
        <v>344</v>
      </c>
    </row>
    <row r="71" spans="1:7" x14ac:dyDescent="0.25">
      <c r="A71" s="221">
        <v>44883</v>
      </c>
      <c r="B71" t="s">
        <v>302</v>
      </c>
      <c r="C71">
        <v>1124839.8400000001</v>
      </c>
      <c r="D71" s="238">
        <v>45046</v>
      </c>
      <c r="E71" s="239">
        <v>163</v>
      </c>
      <c r="F71" s="238">
        <v>45230</v>
      </c>
      <c r="G71" s="239">
        <v>347</v>
      </c>
    </row>
    <row r="72" spans="1:7" x14ac:dyDescent="0.25">
      <c r="A72" s="221">
        <v>44882</v>
      </c>
      <c r="B72" t="s">
        <v>302</v>
      </c>
      <c r="C72">
        <v>1124093.73</v>
      </c>
      <c r="D72" s="238">
        <v>45046</v>
      </c>
      <c r="E72" s="239">
        <v>164</v>
      </c>
      <c r="F72" s="238">
        <v>45230</v>
      </c>
      <c r="G72" s="239">
        <v>348</v>
      </c>
    </row>
    <row r="73" spans="1:7" x14ac:dyDescent="0.25">
      <c r="A73" s="221">
        <v>44881</v>
      </c>
      <c r="B73" t="s">
        <v>302</v>
      </c>
      <c r="C73">
        <v>1123348.1200000001</v>
      </c>
      <c r="D73" s="238">
        <v>45046</v>
      </c>
      <c r="E73" s="239">
        <v>165</v>
      </c>
      <c r="F73" s="238">
        <v>45230</v>
      </c>
      <c r="G73" s="239">
        <v>349</v>
      </c>
    </row>
    <row r="74" spans="1:7" x14ac:dyDescent="0.25">
      <c r="A74" s="221">
        <v>44879</v>
      </c>
      <c r="B74" t="s">
        <v>302</v>
      </c>
      <c r="C74">
        <v>1122512.83</v>
      </c>
      <c r="D74" s="238">
        <v>45046</v>
      </c>
      <c r="E74" s="239">
        <v>167</v>
      </c>
      <c r="F74" s="238">
        <v>45230</v>
      </c>
      <c r="G74" s="239">
        <v>351</v>
      </c>
    </row>
    <row r="75" spans="1:7" x14ac:dyDescent="0.25">
      <c r="A75" s="221">
        <v>44876</v>
      </c>
      <c r="B75" t="s">
        <v>302</v>
      </c>
      <c r="C75">
        <v>1121678.1599999999</v>
      </c>
      <c r="D75" s="238">
        <v>45046</v>
      </c>
      <c r="E75" s="239">
        <v>170</v>
      </c>
      <c r="F75" s="238">
        <v>45230</v>
      </c>
      <c r="G75" s="239">
        <v>354</v>
      </c>
    </row>
    <row r="76" spans="1:7" x14ac:dyDescent="0.25">
      <c r="A76" s="221">
        <v>44875</v>
      </c>
      <c r="B76" t="s">
        <v>302</v>
      </c>
      <c r="C76">
        <v>501305.13</v>
      </c>
      <c r="D76" s="238">
        <v>45046</v>
      </c>
      <c r="E76" s="239">
        <v>171</v>
      </c>
      <c r="F76" s="238">
        <v>45230</v>
      </c>
      <c r="G76" s="239">
        <v>355</v>
      </c>
    </row>
    <row r="77" spans="1:7" x14ac:dyDescent="0.25">
      <c r="A77" s="221">
        <v>44874</v>
      </c>
      <c r="B77" t="s">
        <v>302</v>
      </c>
      <c r="C77">
        <v>250923.36</v>
      </c>
      <c r="D77" s="238">
        <v>45046</v>
      </c>
      <c r="E77" s="239">
        <v>172</v>
      </c>
      <c r="F77" s="238">
        <v>45230</v>
      </c>
      <c r="G77" s="239">
        <v>356</v>
      </c>
    </row>
    <row r="78" spans="1:7" x14ac:dyDescent="0.25">
      <c r="A78" s="221">
        <v>44873</v>
      </c>
      <c r="B78" t="s">
        <v>302</v>
      </c>
      <c r="C78">
        <v>250769.23</v>
      </c>
      <c r="D78" s="238">
        <v>45046</v>
      </c>
      <c r="E78" s="239">
        <v>173</v>
      </c>
      <c r="F78" s="238">
        <v>45230</v>
      </c>
      <c r="G78" s="239">
        <v>357</v>
      </c>
    </row>
    <row r="79" spans="1:7" x14ac:dyDescent="0.25">
      <c r="A79" s="221">
        <v>44872</v>
      </c>
      <c r="B79" t="s">
        <v>302</v>
      </c>
      <c r="C79">
        <v>250615.2</v>
      </c>
      <c r="D79" s="238">
        <v>45046</v>
      </c>
      <c r="E79" s="239">
        <v>174</v>
      </c>
      <c r="F79" s="238">
        <v>45230</v>
      </c>
      <c r="G79" s="239">
        <v>358</v>
      </c>
    </row>
    <row r="80" spans="1:7" x14ac:dyDescent="0.25">
      <c r="A80" s="221">
        <v>44869</v>
      </c>
      <c r="B80" t="s">
        <v>302</v>
      </c>
      <c r="C80">
        <v>250461.25</v>
      </c>
      <c r="D80" s="238">
        <v>45046</v>
      </c>
      <c r="E80" s="239">
        <v>177</v>
      </c>
      <c r="F80" s="238">
        <v>45230</v>
      </c>
      <c r="G80" s="239">
        <v>361</v>
      </c>
    </row>
    <row r="81" spans="1:7" x14ac:dyDescent="0.25">
      <c r="A81" s="221">
        <v>44868</v>
      </c>
      <c r="B81" t="s">
        <v>302</v>
      </c>
      <c r="C81">
        <v>250307.41</v>
      </c>
      <c r="D81" s="238">
        <v>45046</v>
      </c>
      <c r="E81" s="239">
        <v>178</v>
      </c>
      <c r="F81" s="238">
        <v>45230</v>
      </c>
      <c r="G81" s="239">
        <v>362</v>
      </c>
    </row>
    <row r="82" spans="1:7" x14ac:dyDescent="0.25">
      <c r="A82" s="221">
        <v>44866</v>
      </c>
      <c r="B82" t="s">
        <v>302</v>
      </c>
      <c r="C82">
        <v>250153.65</v>
      </c>
      <c r="D82" s="238">
        <v>45046</v>
      </c>
      <c r="E82" s="239">
        <v>180</v>
      </c>
      <c r="F82" s="238">
        <v>45230</v>
      </c>
      <c r="G82" s="239">
        <v>364</v>
      </c>
    </row>
    <row r="83" spans="1:7" x14ac:dyDescent="0.25">
      <c r="A83" s="221">
        <v>44865</v>
      </c>
      <c r="B83" t="s">
        <v>302</v>
      </c>
      <c r="C83">
        <v>250000</v>
      </c>
      <c r="D83" s="238">
        <v>45046</v>
      </c>
      <c r="E83" s="239">
        <v>181</v>
      </c>
      <c r="F83" s="238">
        <v>45230</v>
      </c>
      <c r="G83" s="239">
        <v>365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H121"/>
  <sheetViews>
    <sheetView workbookViewId="0">
      <selection activeCell="F2" sqref="F2"/>
    </sheetView>
  </sheetViews>
  <sheetFormatPr defaultRowHeight="15" x14ac:dyDescent="0.25"/>
  <cols>
    <col min="1" max="1" width="10.42578125" style="147" bestFit="1" customWidth="1"/>
    <col min="2" max="2" width="12" bestFit="1" customWidth="1"/>
    <col min="3" max="3" width="8.28515625" bestFit="1" customWidth="1"/>
    <col min="4" max="4" width="15.85546875" bestFit="1" customWidth="1"/>
    <col min="5" max="5" width="17.7109375" bestFit="1" customWidth="1"/>
    <col min="6" max="6" width="12" bestFit="1" customWidth="1"/>
    <col min="7" max="7" width="15.42578125" bestFit="1" customWidth="1"/>
    <col min="8" max="8" width="9.140625" customWidth="1"/>
  </cols>
  <sheetData>
    <row r="1" spans="1:6" x14ac:dyDescent="0.25">
      <c r="A1" t="s">
        <v>303</v>
      </c>
      <c r="B1" t="s">
        <v>304</v>
      </c>
      <c r="C1" t="s">
        <v>305</v>
      </c>
      <c r="D1" t="s">
        <v>306</v>
      </c>
      <c r="E1" t="s">
        <v>307</v>
      </c>
      <c r="F1" t="s">
        <v>296</v>
      </c>
    </row>
    <row r="2" spans="1:6" x14ac:dyDescent="0.25">
      <c r="A2" s="221">
        <v>44985</v>
      </c>
      <c r="B2" t="s">
        <v>308</v>
      </c>
      <c r="C2" t="s">
        <v>309</v>
      </c>
      <c r="D2">
        <v>1267.5473089</v>
      </c>
      <c r="E2">
        <v>1267.5473089</v>
      </c>
      <c r="F2">
        <v>776.52654310000003</v>
      </c>
    </row>
    <row r="3" spans="1:6" x14ac:dyDescent="0.25">
      <c r="A3" s="221">
        <v>44981</v>
      </c>
      <c r="B3" t="s">
        <v>308</v>
      </c>
      <c r="C3" t="s">
        <v>309</v>
      </c>
      <c r="D3">
        <v>1203.1580096</v>
      </c>
      <c r="E3">
        <v>1203.1580096</v>
      </c>
      <c r="F3">
        <v>778.28843970000003</v>
      </c>
    </row>
    <row r="4" spans="1:6" x14ac:dyDescent="0.25">
      <c r="A4" s="221">
        <v>44980</v>
      </c>
      <c r="B4" t="s">
        <v>308</v>
      </c>
      <c r="C4" t="s">
        <v>309</v>
      </c>
      <c r="D4">
        <v>1203.1580096</v>
      </c>
      <c r="E4">
        <v>1203.1580096</v>
      </c>
      <c r="F4">
        <v>781.06225658000005</v>
      </c>
    </row>
    <row r="5" spans="1:6" x14ac:dyDescent="0.25">
      <c r="A5" s="221">
        <v>44979</v>
      </c>
      <c r="B5" t="s">
        <v>308</v>
      </c>
      <c r="C5" t="s">
        <v>309</v>
      </c>
      <c r="D5">
        <v>1203.1580096</v>
      </c>
      <c r="E5">
        <v>1203.1580096</v>
      </c>
      <c r="F5">
        <v>782.46295372999998</v>
      </c>
    </row>
    <row r="6" spans="1:6" x14ac:dyDescent="0.25">
      <c r="A6" s="221">
        <v>44974</v>
      </c>
      <c r="B6" t="s">
        <v>308</v>
      </c>
      <c r="C6" t="s">
        <v>309</v>
      </c>
      <c r="D6">
        <v>1203.1580096</v>
      </c>
      <c r="E6">
        <v>1203.1580096</v>
      </c>
      <c r="F6">
        <v>784.0453311</v>
      </c>
    </row>
    <row r="7" spans="1:6" x14ac:dyDescent="0.25">
      <c r="A7" s="221">
        <v>44973</v>
      </c>
      <c r="B7" t="s">
        <v>308</v>
      </c>
      <c r="C7" t="s">
        <v>309</v>
      </c>
      <c r="D7">
        <v>1203.1580096</v>
      </c>
      <c r="E7">
        <v>1203.1580096</v>
      </c>
      <c r="F7">
        <v>786.05087815000002</v>
      </c>
    </row>
    <row r="8" spans="1:6" x14ac:dyDescent="0.25">
      <c r="A8" s="221">
        <v>44972</v>
      </c>
      <c r="B8" t="s">
        <v>308</v>
      </c>
      <c r="C8" t="s">
        <v>309</v>
      </c>
      <c r="D8">
        <v>1203.1580096</v>
      </c>
      <c r="E8">
        <v>1203.1580096</v>
      </c>
      <c r="F8">
        <v>787.50860854999996</v>
      </c>
    </row>
    <row r="9" spans="1:6" x14ac:dyDescent="0.25">
      <c r="A9" s="221">
        <v>44971</v>
      </c>
      <c r="B9" t="s">
        <v>308</v>
      </c>
      <c r="C9" t="s">
        <v>309</v>
      </c>
      <c r="D9">
        <v>1203.1580096</v>
      </c>
      <c r="E9">
        <v>1203.1580096</v>
      </c>
      <c r="F9">
        <v>790.02043158000004</v>
      </c>
    </row>
    <row r="10" spans="1:6" x14ac:dyDescent="0.25">
      <c r="A10" s="221">
        <v>44970</v>
      </c>
      <c r="B10" t="s">
        <v>308</v>
      </c>
      <c r="C10" t="s">
        <v>309</v>
      </c>
      <c r="D10">
        <v>950</v>
      </c>
      <c r="E10">
        <v>950</v>
      </c>
      <c r="F10">
        <v>791.78233683999997</v>
      </c>
    </row>
    <row r="11" spans="1:6" x14ac:dyDescent="0.25">
      <c r="A11" s="221">
        <v>44967</v>
      </c>
      <c r="B11" t="s">
        <v>308</v>
      </c>
      <c r="C11" t="s">
        <v>309</v>
      </c>
      <c r="D11">
        <v>950</v>
      </c>
      <c r="E11">
        <v>950</v>
      </c>
      <c r="F11">
        <v>799.02030525999999</v>
      </c>
    </row>
    <row r="12" spans="1:6" x14ac:dyDescent="0.25">
      <c r="A12" s="221">
        <v>44966</v>
      </c>
      <c r="B12" t="s">
        <v>308</v>
      </c>
      <c r="C12" t="s">
        <v>309</v>
      </c>
      <c r="D12">
        <v>950</v>
      </c>
      <c r="E12">
        <v>950</v>
      </c>
      <c r="F12">
        <v>801.61201053000002</v>
      </c>
    </row>
    <row r="13" spans="1:6" x14ac:dyDescent="0.25">
      <c r="A13" s="221">
        <v>44965</v>
      </c>
      <c r="B13" t="s">
        <v>308</v>
      </c>
      <c r="C13" t="s">
        <v>309</v>
      </c>
      <c r="D13">
        <v>950</v>
      </c>
      <c r="E13">
        <v>950</v>
      </c>
      <c r="F13">
        <v>804.07290525999997</v>
      </c>
    </row>
    <row r="14" spans="1:6" x14ac:dyDescent="0.25">
      <c r="A14" s="221">
        <v>44964</v>
      </c>
      <c r="B14" t="s">
        <v>308</v>
      </c>
      <c r="C14" t="s">
        <v>309</v>
      </c>
      <c r="D14">
        <v>950</v>
      </c>
      <c r="E14">
        <v>950</v>
      </c>
      <c r="F14">
        <v>806.53944210999998</v>
      </c>
    </row>
    <row r="15" spans="1:6" x14ac:dyDescent="0.25">
      <c r="A15" s="221">
        <v>44963</v>
      </c>
      <c r="B15" t="s">
        <v>308</v>
      </c>
      <c r="C15" t="s">
        <v>309</v>
      </c>
      <c r="D15">
        <v>950</v>
      </c>
      <c r="E15">
        <v>950</v>
      </c>
      <c r="F15">
        <v>809.19662104999998</v>
      </c>
    </row>
    <row r="16" spans="1:6" x14ac:dyDescent="0.25">
      <c r="A16" s="221">
        <v>44960</v>
      </c>
      <c r="B16" t="s">
        <v>308</v>
      </c>
      <c r="C16" t="s">
        <v>309</v>
      </c>
      <c r="D16">
        <v>950</v>
      </c>
      <c r="E16">
        <v>950</v>
      </c>
      <c r="F16">
        <v>811.45730526</v>
      </c>
    </row>
    <row r="17" spans="1:8" x14ac:dyDescent="0.25">
      <c r="A17" s="221">
        <v>44959</v>
      </c>
      <c r="B17" t="s">
        <v>308</v>
      </c>
      <c r="C17" t="s">
        <v>309</v>
      </c>
      <c r="D17">
        <v>950</v>
      </c>
      <c r="E17">
        <v>950</v>
      </c>
      <c r="F17">
        <v>814.66438946999995</v>
      </c>
    </row>
    <row r="18" spans="1:8" x14ac:dyDescent="0.25">
      <c r="A18" s="221">
        <v>44958</v>
      </c>
      <c r="B18" t="s">
        <v>308</v>
      </c>
      <c r="C18" t="s">
        <v>309</v>
      </c>
      <c r="D18">
        <v>950</v>
      </c>
      <c r="E18">
        <v>950</v>
      </c>
      <c r="F18">
        <v>817.37798946999999</v>
      </c>
    </row>
    <row r="19" spans="1:8" x14ac:dyDescent="0.25">
      <c r="A19" s="221">
        <v>44957</v>
      </c>
      <c r="B19" t="s">
        <v>308</v>
      </c>
      <c r="C19" t="s">
        <v>309</v>
      </c>
      <c r="D19">
        <v>950</v>
      </c>
      <c r="E19">
        <v>950</v>
      </c>
      <c r="F19">
        <v>819.97557895</v>
      </c>
    </row>
    <row r="20" spans="1:8" x14ac:dyDescent="0.25">
      <c r="A20" s="221">
        <v>44956</v>
      </c>
      <c r="B20" t="s">
        <v>308</v>
      </c>
      <c r="C20" t="s">
        <v>309</v>
      </c>
      <c r="D20">
        <v>950</v>
      </c>
      <c r="E20">
        <v>950</v>
      </c>
      <c r="F20">
        <v>821.66401053000004</v>
      </c>
    </row>
    <row r="21" spans="1:8" x14ac:dyDescent="0.25">
      <c r="A21" s="221">
        <v>44953</v>
      </c>
      <c r="B21" t="s">
        <v>308</v>
      </c>
      <c r="C21" t="s">
        <v>309</v>
      </c>
      <c r="D21">
        <v>950</v>
      </c>
      <c r="E21">
        <v>950</v>
      </c>
      <c r="F21">
        <v>823.41218947000004</v>
      </c>
    </row>
    <row r="22" spans="1:8" x14ac:dyDescent="0.25">
      <c r="A22" s="221">
        <v>44952</v>
      </c>
      <c r="B22" t="s">
        <v>308</v>
      </c>
      <c r="C22" t="s">
        <v>309</v>
      </c>
      <c r="D22">
        <v>950</v>
      </c>
      <c r="E22">
        <v>950</v>
      </c>
      <c r="F22">
        <v>825.37138947000005</v>
      </c>
    </row>
    <row r="23" spans="1:8" x14ac:dyDescent="0.25">
      <c r="A23" s="221">
        <v>44951</v>
      </c>
      <c r="B23" t="s">
        <v>308</v>
      </c>
      <c r="C23" t="s">
        <v>309</v>
      </c>
      <c r="D23">
        <v>950</v>
      </c>
      <c r="E23">
        <v>950</v>
      </c>
      <c r="F23">
        <v>827.39492631999997</v>
      </c>
      <c r="H23" s="160"/>
    </row>
    <row r="24" spans="1:8" x14ac:dyDescent="0.25">
      <c r="A24" s="221">
        <v>44950</v>
      </c>
      <c r="B24" t="s">
        <v>308</v>
      </c>
      <c r="C24" t="s">
        <v>309</v>
      </c>
      <c r="D24">
        <v>950</v>
      </c>
      <c r="E24">
        <v>950</v>
      </c>
      <c r="F24">
        <v>829.42158946999996</v>
      </c>
    </row>
    <row r="25" spans="1:8" x14ac:dyDescent="0.25">
      <c r="A25" s="221">
        <v>44949</v>
      </c>
      <c r="B25" t="s">
        <v>308</v>
      </c>
      <c r="C25" t="s">
        <v>309</v>
      </c>
      <c r="D25">
        <v>950</v>
      </c>
      <c r="E25">
        <v>950</v>
      </c>
      <c r="F25">
        <v>830.79792631999999</v>
      </c>
    </row>
    <row r="26" spans="1:8" x14ac:dyDescent="0.25">
      <c r="A26" s="221">
        <v>44946</v>
      </c>
      <c r="B26" t="s">
        <v>308</v>
      </c>
      <c r="C26" t="s">
        <v>309</v>
      </c>
      <c r="D26">
        <v>950</v>
      </c>
      <c r="E26">
        <v>950</v>
      </c>
      <c r="F26">
        <v>833.00722105</v>
      </c>
    </row>
    <row r="27" spans="1:8" x14ac:dyDescent="0.25">
      <c r="A27" s="221">
        <v>44945</v>
      </c>
      <c r="B27" t="s">
        <v>308</v>
      </c>
      <c r="C27" t="s">
        <v>309</v>
      </c>
      <c r="D27">
        <v>950</v>
      </c>
      <c r="E27">
        <v>950</v>
      </c>
      <c r="F27">
        <v>835.56666315999996</v>
      </c>
    </row>
    <row r="28" spans="1:8" x14ac:dyDescent="0.25">
      <c r="A28" s="221">
        <v>44944</v>
      </c>
      <c r="B28" t="s">
        <v>308</v>
      </c>
      <c r="C28" t="s">
        <v>309</v>
      </c>
      <c r="D28">
        <v>950</v>
      </c>
      <c r="E28">
        <v>950</v>
      </c>
      <c r="F28">
        <v>837.33208420999995</v>
      </c>
    </row>
    <row r="29" spans="1:8" x14ac:dyDescent="0.25">
      <c r="A29" s="221">
        <v>44943</v>
      </c>
      <c r="B29" t="s">
        <v>308</v>
      </c>
      <c r="C29" t="s">
        <v>309</v>
      </c>
      <c r="D29">
        <v>950</v>
      </c>
      <c r="E29">
        <v>950</v>
      </c>
      <c r="F29">
        <v>839.28353684000001</v>
      </c>
    </row>
    <row r="30" spans="1:8" x14ac:dyDescent="0.25">
      <c r="A30" s="221">
        <v>44942</v>
      </c>
      <c r="B30" t="s">
        <v>308</v>
      </c>
      <c r="C30" t="s">
        <v>309</v>
      </c>
      <c r="D30">
        <v>950</v>
      </c>
      <c r="E30">
        <v>950</v>
      </c>
      <c r="F30">
        <v>840.88104210999995</v>
      </c>
    </row>
    <row r="31" spans="1:8" x14ac:dyDescent="0.25">
      <c r="A31" s="221">
        <v>44939</v>
      </c>
      <c r="B31" t="s">
        <v>308</v>
      </c>
      <c r="C31" t="s">
        <v>309</v>
      </c>
      <c r="D31">
        <v>950</v>
      </c>
      <c r="E31">
        <v>950</v>
      </c>
      <c r="F31">
        <v>843.34989473999997</v>
      </c>
    </row>
    <row r="32" spans="1:8" x14ac:dyDescent="0.25">
      <c r="A32" s="221">
        <v>44938</v>
      </c>
      <c r="B32" t="s">
        <v>308</v>
      </c>
      <c r="C32" t="s">
        <v>309</v>
      </c>
      <c r="D32">
        <v>950</v>
      </c>
      <c r="E32">
        <v>950</v>
      </c>
      <c r="F32">
        <v>845.34852632000002</v>
      </c>
    </row>
    <row r="33" spans="1:6" x14ac:dyDescent="0.25">
      <c r="A33" s="221">
        <v>44937</v>
      </c>
      <c r="B33" t="s">
        <v>308</v>
      </c>
      <c r="C33" t="s">
        <v>309</v>
      </c>
      <c r="D33">
        <v>950</v>
      </c>
      <c r="E33">
        <v>950</v>
      </c>
      <c r="F33">
        <v>847.09862105000002</v>
      </c>
    </row>
    <row r="34" spans="1:6" x14ac:dyDescent="0.25">
      <c r="A34" s="221">
        <v>44936</v>
      </c>
      <c r="B34" t="s">
        <v>308</v>
      </c>
      <c r="C34" t="s">
        <v>309</v>
      </c>
      <c r="D34">
        <v>950</v>
      </c>
      <c r="E34">
        <v>950</v>
      </c>
      <c r="F34">
        <v>848.35159999999996</v>
      </c>
    </row>
    <row r="35" spans="1:6" x14ac:dyDescent="0.25">
      <c r="A35" s="221">
        <v>44935</v>
      </c>
      <c r="B35" t="s">
        <v>308</v>
      </c>
      <c r="C35" t="s">
        <v>309</v>
      </c>
      <c r="D35">
        <v>950</v>
      </c>
      <c r="E35">
        <v>950</v>
      </c>
      <c r="F35">
        <v>853.72713683999996</v>
      </c>
    </row>
    <row r="36" spans="1:6" x14ac:dyDescent="0.25">
      <c r="A36" s="221">
        <v>44932</v>
      </c>
      <c r="B36" t="s">
        <v>308</v>
      </c>
      <c r="C36" t="s">
        <v>309</v>
      </c>
      <c r="D36">
        <v>950</v>
      </c>
      <c r="E36">
        <v>950</v>
      </c>
      <c r="F36">
        <v>855.48586316000001</v>
      </c>
    </row>
    <row r="37" spans="1:6" x14ac:dyDescent="0.25">
      <c r="A37" s="221">
        <v>44931</v>
      </c>
      <c r="B37" t="s">
        <v>308</v>
      </c>
      <c r="C37" t="s">
        <v>309</v>
      </c>
      <c r="D37">
        <v>950</v>
      </c>
      <c r="E37">
        <v>950</v>
      </c>
      <c r="F37">
        <v>856.76770525999996</v>
      </c>
    </row>
    <row r="38" spans="1:6" x14ac:dyDescent="0.25">
      <c r="A38" s="221">
        <v>44930</v>
      </c>
      <c r="B38" t="s">
        <v>308</v>
      </c>
      <c r="C38" t="s">
        <v>309</v>
      </c>
      <c r="D38">
        <v>950</v>
      </c>
      <c r="E38">
        <v>950</v>
      </c>
      <c r="F38">
        <v>858.22115788999997</v>
      </c>
    </row>
    <row r="39" spans="1:6" x14ac:dyDescent="0.25">
      <c r="A39" s="221">
        <v>44929</v>
      </c>
      <c r="B39" t="s">
        <v>308</v>
      </c>
      <c r="C39" t="s">
        <v>309</v>
      </c>
      <c r="D39">
        <v>950</v>
      </c>
      <c r="E39">
        <v>950</v>
      </c>
      <c r="F39">
        <v>860.08311578999997</v>
      </c>
    </row>
    <row r="40" spans="1:6" x14ac:dyDescent="0.25">
      <c r="A40" s="221">
        <v>44928</v>
      </c>
      <c r="B40" t="s">
        <v>308</v>
      </c>
      <c r="C40" t="s">
        <v>309</v>
      </c>
      <c r="D40">
        <v>950</v>
      </c>
      <c r="E40">
        <v>950</v>
      </c>
      <c r="F40">
        <v>875.79653684000004</v>
      </c>
    </row>
    <row r="41" spans="1:6" x14ac:dyDescent="0.25">
      <c r="A41" s="221">
        <v>44925</v>
      </c>
      <c r="B41" t="s">
        <v>308</v>
      </c>
      <c r="C41" t="s">
        <v>309</v>
      </c>
      <c r="D41">
        <v>950</v>
      </c>
      <c r="E41">
        <v>950</v>
      </c>
      <c r="F41">
        <v>877.01531579000005</v>
      </c>
    </row>
    <row r="42" spans="1:6" x14ac:dyDescent="0.25">
      <c r="A42" s="221">
        <v>44924</v>
      </c>
      <c r="B42" t="s">
        <v>308</v>
      </c>
      <c r="C42" t="s">
        <v>309</v>
      </c>
      <c r="D42">
        <v>950</v>
      </c>
      <c r="E42">
        <v>950</v>
      </c>
      <c r="F42">
        <v>877.57095789000005</v>
      </c>
    </row>
    <row r="43" spans="1:6" x14ac:dyDescent="0.25">
      <c r="A43" s="221">
        <v>44923</v>
      </c>
      <c r="B43" t="s">
        <v>308</v>
      </c>
      <c r="C43" t="s">
        <v>309</v>
      </c>
      <c r="D43">
        <v>950</v>
      </c>
      <c r="E43">
        <v>950</v>
      </c>
      <c r="F43">
        <v>877.59852632000002</v>
      </c>
    </row>
    <row r="44" spans="1:6" x14ac:dyDescent="0.25">
      <c r="A44" s="221">
        <v>44922</v>
      </c>
      <c r="B44" t="s">
        <v>308</v>
      </c>
      <c r="C44" t="s">
        <v>309</v>
      </c>
      <c r="D44">
        <v>950</v>
      </c>
      <c r="E44">
        <v>950</v>
      </c>
      <c r="F44">
        <v>878.19143157999997</v>
      </c>
    </row>
    <row r="45" spans="1:6" x14ac:dyDescent="0.25">
      <c r="A45" s="221">
        <v>44921</v>
      </c>
      <c r="B45" t="s">
        <v>308</v>
      </c>
      <c r="C45" t="s">
        <v>309</v>
      </c>
      <c r="D45">
        <v>950</v>
      </c>
      <c r="E45">
        <v>950</v>
      </c>
      <c r="F45">
        <v>878.62983157999997</v>
      </c>
    </row>
    <row r="46" spans="1:6" x14ac:dyDescent="0.25">
      <c r="A46" s="221">
        <v>44918</v>
      </c>
      <c r="B46" t="s">
        <v>308</v>
      </c>
      <c r="C46" t="s">
        <v>309</v>
      </c>
      <c r="D46">
        <v>950</v>
      </c>
      <c r="E46">
        <v>950</v>
      </c>
      <c r="F46">
        <v>879.19898947000001</v>
      </c>
    </row>
    <row r="47" spans="1:6" x14ac:dyDescent="0.25">
      <c r="A47" s="221">
        <v>44917</v>
      </c>
      <c r="B47" t="s">
        <v>308</v>
      </c>
      <c r="C47" t="s">
        <v>309</v>
      </c>
      <c r="D47">
        <v>950</v>
      </c>
      <c r="E47">
        <v>950</v>
      </c>
      <c r="F47">
        <v>879.47713683999996</v>
      </c>
    </row>
    <row r="48" spans="1:6" x14ac:dyDescent="0.25">
      <c r="A48" s="221">
        <v>44916</v>
      </c>
      <c r="B48" t="s">
        <v>308</v>
      </c>
      <c r="C48" t="s">
        <v>309</v>
      </c>
      <c r="D48">
        <v>950</v>
      </c>
      <c r="E48">
        <v>950</v>
      </c>
      <c r="F48">
        <v>880.04137894999997</v>
      </c>
    </row>
    <row r="49" spans="1:6" x14ac:dyDescent="0.25">
      <c r="A49" s="221">
        <v>44915</v>
      </c>
      <c r="B49" t="s">
        <v>308</v>
      </c>
      <c r="C49" t="s">
        <v>309</v>
      </c>
      <c r="D49">
        <v>950</v>
      </c>
      <c r="E49">
        <v>950</v>
      </c>
      <c r="F49">
        <v>882.55803158000003</v>
      </c>
    </row>
    <row r="50" spans="1:6" x14ac:dyDescent="0.25">
      <c r="A50" s="221">
        <v>44914</v>
      </c>
      <c r="B50" t="s">
        <v>308</v>
      </c>
      <c r="C50" t="s">
        <v>309</v>
      </c>
      <c r="D50">
        <v>950</v>
      </c>
      <c r="E50">
        <v>950</v>
      </c>
      <c r="F50">
        <v>883.42333684000005</v>
      </c>
    </row>
    <row r="51" spans="1:6" x14ac:dyDescent="0.25">
      <c r="A51" s="221">
        <v>44911</v>
      </c>
      <c r="B51" t="s">
        <v>308</v>
      </c>
      <c r="C51" t="s">
        <v>309</v>
      </c>
      <c r="D51">
        <v>950</v>
      </c>
      <c r="E51">
        <v>950</v>
      </c>
      <c r="F51">
        <v>884.62435789000006</v>
      </c>
    </row>
    <row r="52" spans="1:6" x14ac:dyDescent="0.25">
      <c r="A52" s="221">
        <v>44910</v>
      </c>
      <c r="B52" t="s">
        <v>308</v>
      </c>
      <c r="C52" t="s">
        <v>309</v>
      </c>
      <c r="D52">
        <v>950</v>
      </c>
      <c r="E52">
        <v>950</v>
      </c>
      <c r="F52">
        <v>886.07356842000002</v>
      </c>
    </row>
    <row r="53" spans="1:6" x14ac:dyDescent="0.25">
      <c r="A53" s="221">
        <v>44909</v>
      </c>
      <c r="B53" t="s">
        <v>308</v>
      </c>
      <c r="C53" t="s">
        <v>309</v>
      </c>
      <c r="D53">
        <v>950</v>
      </c>
      <c r="E53">
        <v>950</v>
      </c>
      <c r="F53">
        <v>886.92847368000002</v>
      </c>
    </row>
    <row r="54" spans="1:6" x14ac:dyDescent="0.25">
      <c r="A54" s="221">
        <v>44908</v>
      </c>
      <c r="B54" t="s">
        <v>308</v>
      </c>
      <c r="C54" t="s">
        <v>309</v>
      </c>
      <c r="D54">
        <v>950</v>
      </c>
      <c r="E54">
        <v>950</v>
      </c>
      <c r="F54">
        <v>887.85590525999999</v>
      </c>
    </row>
    <row r="55" spans="1:6" x14ac:dyDescent="0.25">
      <c r="A55" s="221">
        <v>44907</v>
      </c>
      <c r="B55" t="s">
        <v>308</v>
      </c>
      <c r="C55" t="s">
        <v>309</v>
      </c>
      <c r="D55">
        <v>950</v>
      </c>
      <c r="E55">
        <v>950</v>
      </c>
      <c r="F55">
        <v>888.95157895</v>
      </c>
    </row>
    <row r="56" spans="1:6" x14ac:dyDescent="0.25">
      <c r="A56" s="221">
        <v>44904</v>
      </c>
      <c r="B56" t="s">
        <v>308</v>
      </c>
      <c r="C56" t="s">
        <v>309</v>
      </c>
      <c r="D56">
        <v>950</v>
      </c>
      <c r="E56">
        <v>950</v>
      </c>
      <c r="F56">
        <v>890.28815788999998</v>
      </c>
    </row>
    <row r="57" spans="1:6" x14ac:dyDescent="0.25">
      <c r="A57" s="221">
        <v>44903</v>
      </c>
      <c r="B57" t="s">
        <v>308</v>
      </c>
      <c r="C57" t="s">
        <v>309</v>
      </c>
      <c r="D57">
        <v>950</v>
      </c>
      <c r="E57">
        <v>950</v>
      </c>
      <c r="F57">
        <v>892.01763158000006</v>
      </c>
    </row>
    <row r="58" spans="1:6" x14ac:dyDescent="0.25">
      <c r="A58" s="221">
        <v>44902</v>
      </c>
      <c r="B58" t="s">
        <v>308</v>
      </c>
      <c r="C58" t="s">
        <v>309</v>
      </c>
      <c r="D58">
        <v>950</v>
      </c>
      <c r="E58">
        <v>950</v>
      </c>
      <c r="F58">
        <v>893.24921053000003</v>
      </c>
    </row>
    <row r="59" spans="1:6" x14ac:dyDescent="0.25">
      <c r="A59" s="221">
        <v>44901</v>
      </c>
      <c r="B59" t="s">
        <v>308</v>
      </c>
      <c r="C59" t="s">
        <v>309</v>
      </c>
      <c r="D59">
        <v>950</v>
      </c>
      <c r="E59">
        <v>950</v>
      </c>
      <c r="F59">
        <v>893.99221052999997</v>
      </c>
    </row>
    <row r="60" spans="1:6" x14ac:dyDescent="0.25">
      <c r="A60" s="221">
        <v>44900</v>
      </c>
      <c r="B60" t="s">
        <v>308</v>
      </c>
      <c r="C60" t="s">
        <v>309</v>
      </c>
      <c r="D60">
        <v>950</v>
      </c>
      <c r="E60">
        <v>950</v>
      </c>
      <c r="F60">
        <v>895.32180000000005</v>
      </c>
    </row>
    <row r="61" spans="1:6" x14ac:dyDescent="0.25">
      <c r="A61" s="221">
        <v>44897</v>
      </c>
      <c r="B61" t="s">
        <v>308</v>
      </c>
      <c r="C61" t="s">
        <v>309</v>
      </c>
      <c r="D61">
        <v>950</v>
      </c>
      <c r="E61">
        <v>950</v>
      </c>
      <c r="F61">
        <v>896.75942105000001</v>
      </c>
    </row>
    <row r="62" spans="1:6" x14ac:dyDescent="0.25">
      <c r="A62" s="221">
        <v>44896</v>
      </c>
      <c r="B62" t="s">
        <v>308</v>
      </c>
      <c r="C62" t="s">
        <v>309</v>
      </c>
      <c r="D62">
        <v>950</v>
      </c>
      <c r="E62">
        <v>950</v>
      </c>
      <c r="F62">
        <v>897.35247368</v>
      </c>
    </row>
    <row r="63" spans="1:6" x14ac:dyDescent="0.25">
      <c r="A63" s="221">
        <v>44895</v>
      </c>
      <c r="B63" t="s">
        <v>308</v>
      </c>
      <c r="C63" t="s">
        <v>309</v>
      </c>
      <c r="D63">
        <v>950</v>
      </c>
      <c r="E63">
        <v>950</v>
      </c>
      <c r="F63">
        <v>899.24810525999999</v>
      </c>
    </row>
    <row r="64" spans="1:6" x14ac:dyDescent="0.25">
      <c r="A64" s="221">
        <v>44894</v>
      </c>
      <c r="B64" t="s">
        <v>308</v>
      </c>
      <c r="C64" t="s">
        <v>309</v>
      </c>
      <c r="D64">
        <v>950</v>
      </c>
      <c r="E64">
        <v>950</v>
      </c>
      <c r="F64">
        <v>899.76376842000002</v>
      </c>
    </row>
    <row r="65" spans="1:6" x14ac:dyDescent="0.25">
      <c r="A65" s="221">
        <v>44893</v>
      </c>
      <c r="B65" t="s">
        <v>308</v>
      </c>
      <c r="C65" t="s">
        <v>309</v>
      </c>
      <c r="D65">
        <v>950</v>
      </c>
      <c r="E65">
        <v>950</v>
      </c>
      <c r="F65">
        <v>899.92989474000001</v>
      </c>
    </row>
    <row r="66" spans="1:6" x14ac:dyDescent="0.25">
      <c r="A66" s="221">
        <v>44890</v>
      </c>
      <c r="B66" t="s">
        <v>308</v>
      </c>
      <c r="C66" t="s">
        <v>309</v>
      </c>
      <c r="D66">
        <v>950</v>
      </c>
      <c r="E66">
        <v>950</v>
      </c>
      <c r="F66">
        <v>900.86192631999995</v>
      </c>
    </row>
    <row r="67" spans="1:6" x14ac:dyDescent="0.25">
      <c r="A67" s="221">
        <v>44889</v>
      </c>
      <c r="B67" t="s">
        <v>308</v>
      </c>
      <c r="C67" t="s">
        <v>309</v>
      </c>
      <c r="D67">
        <v>950</v>
      </c>
      <c r="E67">
        <v>950</v>
      </c>
      <c r="F67">
        <v>903.26598947000002</v>
      </c>
    </row>
    <row r="68" spans="1:6" x14ac:dyDescent="0.25">
      <c r="A68" s="221">
        <v>44888</v>
      </c>
      <c r="B68" t="s">
        <v>308</v>
      </c>
      <c r="C68" t="s">
        <v>309</v>
      </c>
      <c r="D68">
        <v>950</v>
      </c>
      <c r="E68">
        <v>950</v>
      </c>
      <c r="F68">
        <v>903.98989473999995</v>
      </c>
    </row>
    <row r="69" spans="1:6" x14ac:dyDescent="0.25">
      <c r="A69" s="221">
        <v>44887</v>
      </c>
      <c r="B69" t="s">
        <v>308</v>
      </c>
      <c r="C69" t="s">
        <v>309</v>
      </c>
      <c r="D69">
        <v>950</v>
      </c>
      <c r="E69">
        <v>950</v>
      </c>
      <c r="F69">
        <v>905.59729474000005</v>
      </c>
    </row>
    <row r="70" spans="1:6" x14ac:dyDescent="0.25">
      <c r="A70" s="221">
        <v>44886</v>
      </c>
      <c r="B70" t="s">
        <v>308</v>
      </c>
      <c r="C70" t="s">
        <v>309</v>
      </c>
      <c r="D70">
        <v>950</v>
      </c>
      <c r="E70">
        <v>950</v>
      </c>
      <c r="F70">
        <v>907.23553684000001</v>
      </c>
    </row>
    <row r="71" spans="1:6" x14ac:dyDescent="0.25">
      <c r="A71" s="221">
        <v>44883</v>
      </c>
      <c r="B71" t="s">
        <v>308</v>
      </c>
      <c r="C71" t="s">
        <v>309</v>
      </c>
      <c r="D71">
        <v>950</v>
      </c>
      <c r="E71">
        <v>950</v>
      </c>
      <c r="F71">
        <v>908.46032632000004</v>
      </c>
    </row>
    <row r="72" spans="1:6" x14ac:dyDescent="0.25">
      <c r="A72" s="221">
        <v>44882</v>
      </c>
      <c r="B72" t="s">
        <v>308</v>
      </c>
      <c r="C72" t="s">
        <v>309</v>
      </c>
      <c r="D72">
        <v>950</v>
      </c>
      <c r="E72">
        <v>950</v>
      </c>
      <c r="F72">
        <v>910.24006315999998</v>
      </c>
    </row>
    <row r="73" spans="1:6" x14ac:dyDescent="0.25">
      <c r="A73" s="221">
        <v>44881</v>
      </c>
      <c r="B73" t="s">
        <v>308</v>
      </c>
      <c r="C73" t="s">
        <v>309</v>
      </c>
      <c r="D73">
        <v>950</v>
      </c>
      <c r="E73">
        <v>950</v>
      </c>
      <c r="F73">
        <v>911.49829474000001</v>
      </c>
    </row>
    <row r="74" spans="1:6" x14ac:dyDescent="0.25">
      <c r="A74" s="221">
        <v>44879</v>
      </c>
      <c r="B74" t="s">
        <v>308</v>
      </c>
      <c r="C74" t="s">
        <v>309</v>
      </c>
      <c r="D74">
        <v>950</v>
      </c>
      <c r="E74">
        <v>950</v>
      </c>
      <c r="F74">
        <v>913.58336842000006</v>
      </c>
    </row>
    <row r="75" spans="1:6" x14ac:dyDescent="0.25">
      <c r="A75" s="221">
        <v>44876</v>
      </c>
      <c r="B75" t="s">
        <v>308</v>
      </c>
      <c r="C75" t="s">
        <v>309</v>
      </c>
      <c r="D75">
        <v>950</v>
      </c>
      <c r="E75">
        <v>950</v>
      </c>
      <c r="F75">
        <v>919.04263158000003</v>
      </c>
    </row>
    <row r="76" spans="1:6" x14ac:dyDescent="0.25">
      <c r="A76" s="221">
        <v>44875</v>
      </c>
      <c r="B76" t="s">
        <v>308</v>
      </c>
      <c r="C76" t="s">
        <v>309</v>
      </c>
      <c r="D76">
        <v>950</v>
      </c>
      <c r="E76">
        <v>950</v>
      </c>
      <c r="F76">
        <v>920.50639999999999</v>
      </c>
    </row>
    <row r="77" spans="1:6" x14ac:dyDescent="0.25">
      <c r="A77" s="221">
        <v>44874</v>
      </c>
      <c r="B77" t="s">
        <v>308</v>
      </c>
      <c r="C77" t="s">
        <v>309</v>
      </c>
      <c r="D77">
        <v>950</v>
      </c>
      <c r="E77">
        <v>950</v>
      </c>
      <c r="F77">
        <v>923.72254737000003</v>
      </c>
    </row>
    <row r="78" spans="1:6" x14ac:dyDescent="0.25">
      <c r="A78" s="221">
        <v>44873</v>
      </c>
      <c r="B78" t="s">
        <v>308</v>
      </c>
      <c r="C78" t="s">
        <v>309</v>
      </c>
      <c r="D78">
        <v>950</v>
      </c>
      <c r="E78">
        <v>950</v>
      </c>
      <c r="F78">
        <v>925.26944211</v>
      </c>
    </row>
    <row r="79" spans="1:6" x14ac:dyDescent="0.25">
      <c r="A79" s="221">
        <v>44872</v>
      </c>
      <c r="B79" t="s">
        <v>308</v>
      </c>
      <c r="C79" t="s">
        <v>309</v>
      </c>
      <c r="D79">
        <v>950</v>
      </c>
      <c r="E79">
        <v>950</v>
      </c>
      <c r="F79">
        <v>926.69705263000003</v>
      </c>
    </row>
    <row r="80" spans="1:6" x14ac:dyDescent="0.25">
      <c r="A80" s="221">
        <v>44869</v>
      </c>
      <c r="B80" t="s">
        <v>308</v>
      </c>
      <c r="C80" t="s">
        <v>309</v>
      </c>
      <c r="D80">
        <v>950</v>
      </c>
      <c r="E80">
        <v>950</v>
      </c>
      <c r="F80">
        <v>928.75584211</v>
      </c>
    </row>
    <row r="81" spans="1:6" x14ac:dyDescent="0.25">
      <c r="A81" s="221">
        <v>44868</v>
      </c>
      <c r="B81" t="s">
        <v>308</v>
      </c>
      <c r="C81" t="s">
        <v>309</v>
      </c>
      <c r="D81">
        <v>950</v>
      </c>
      <c r="E81">
        <v>950</v>
      </c>
      <c r="F81">
        <v>931.37447368000005</v>
      </c>
    </row>
    <row r="82" spans="1:6" x14ac:dyDescent="0.25">
      <c r="A82" s="221">
        <v>44866</v>
      </c>
      <c r="B82" t="s">
        <v>308</v>
      </c>
      <c r="C82" t="s">
        <v>309</v>
      </c>
      <c r="D82">
        <v>950</v>
      </c>
      <c r="E82">
        <v>950</v>
      </c>
      <c r="F82">
        <v>933.08755788999997</v>
      </c>
    </row>
    <row r="83" spans="1:6" x14ac:dyDescent="0.25">
      <c r="A83" s="221">
        <v>44865</v>
      </c>
      <c r="B83" t="s">
        <v>308</v>
      </c>
      <c r="C83" t="s">
        <v>309</v>
      </c>
      <c r="D83">
        <v>950</v>
      </c>
      <c r="E83">
        <v>950</v>
      </c>
      <c r="F83">
        <v>935.40485263000005</v>
      </c>
    </row>
    <row r="84" spans="1:6" x14ac:dyDescent="0.25">
      <c r="A84" s="221">
        <v>44862</v>
      </c>
      <c r="B84" t="s">
        <v>308</v>
      </c>
      <c r="C84" t="s">
        <v>309</v>
      </c>
      <c r="D84">
        <v>950</v>
      </c>
      <c r="E84">
        <v>950</v>
      </c>
      <c r="F84">
        <v>936.57689473999994</v>
      </c>
    </row>
    <row r="85" spans="1:6" x14ac:dyDescent="0.25">
      <c r="A85" s="221">
        <v>44861</v>
      </c>
      <c r="B85" t="s">
        <v>308</v>
      </c>
      <c r="C85" t="s">
        <v>309</v>
      </c>
      <c r="D85">
        <v>950</v>
      </c>
      <c r="E85">
        <v>950</v>
      </c>
      <c r="F85">
        <v>938.20711578999999</v>
      </c>
    </row>
    <row r="86" spans="1:6" x14ac:dyDescent="0.25">
      <c r="A86" s="221">
        <v>44860</v>
      </c>
      <c r="B86" t="s">
        <v>308</v>
      </c>
      <c r="C86" t="s">
        <v>309</v>
      </c>
      <c r="D86">
        <v>950</v>
      </c>
      <c r="E86">
        <v>950</v>
      </c>
      <c r="F86">
        <v>939.85335788999998</v>
      </c>
    </row>
    <row r="87" spans="1:6" x14ac:dyDescent="0.25">
      <c r="A87" s="221">
        <v>44859</v>
      </c>
      <c r="B87" t="s">
        <v>308</v>
      </c>
      <c r="C87" t="s">
        <v>309</v>
      </c>
      <c r="D87">
        <v>950</v>
      </c>
      <c r="E87">
        <v>950</v>
      </c>
      <c r="F87">
        <v>941.78911578999998</v>
      </c>
    </row>
    <row r="88" spans="1:6" x14ac:dyDescent="0.25">
      <c r="A88" s="221">
        <v>44858</v>
      </c>
      <c r="B88" t="s">
        <v>308</v>
      </c>
      <c r="C88" t="s">
        <v>309</v>
      </c>
      <c r="D88">
        <v>950</v>
      </c>
      <c r="E88">
        <v>950</v>
      </c>
      <c r="F88">
        <v>943.88705262999997</v>
      </c>
    </row>
    <row r="89" spans="1:6" x14ac:dyDescent="0.25">
      <c r="A89" s="221">
        <v>44855</v>
      </c>
      <c r="B89" t="s">
        <v>308</v>
      </c>
      <c r="C89" t="s">
        <v>309</v>
      </c>
      <c r="D89">
        <v>950</v>
      </c>
      <c r="E89">
        <v>950</v>
      </c>
      <c r="F89">
        <v>945.62353684000004</v>
      </c>
    </row>
    <row r="90" spans="1:6" x14ac:dyDescent="0.25">
      <c r="A90" s="221">
        <v>44854</v>
      </c>
      <c r="B90" t="s">
        <v>308</v>
      </c>
      <c r="C90" t="s">
        <v>309</v>
      </c>
      <c r="D90">
        <v>950</v>
      </c>
      <c r="E90">
        <v>950</v>
      </c>
      <c r="F90">
        <v>948.20930525999995</v>
      </c>
    </row>
    <row r="91" spans="1:6" x14ac:dyDescent="0.25">
      <c r="A91" s="221">
        <v>44853</v>
      </c>
      <c r="B91" t="s">
        <v>308</v>
      </c>
      <c r="C91" t="s">
        <v>309</v>
      </c>
      <c r="D91">
        <v>950</v>
      </c>
      <c r="E91">
        <v>950</v>
      </c>
      <c r="F91">
        <v>949.94815788999995</v>
      </c>
    </row>
    <row r="92" spans="1:6" x14ac:dyDescent="0.25">
      <c r="A92" s="221">
        <v>44852</v>
      </c>
      <c r="B92" t="s">
        <v>308</v>
      </c>
      <c r="C92" t="s">
        <v>309</v>
      </c>
      <c r="D92">
        <v>950</v>
      </c>
      <c r="E92">
        <v>950</v>
      </c>
      <c r="F92">
        <v>952.26396841999997</v>
      </c>
    </row>
    <row r="93" spans="1:6" x14ac:dyDescent="0.25">
      <c r="A93" s="221">
        <v>44851</v>
      </c>
      <c r="B93" t="s">
        <v>308</v>
      </c>
      <c r="C93" t="s">
        <v>309</v>
      </c>
      <c r="D93">
        <v>950</v>
      </c>
      <c r="E93">
        <v>950</v>
      </c>
      <c r="F93">
        <v>954.00608421000004</v>
      </c>
    </row>
    <row r="94" spans="1:6" x14ac:dyDescent="0.25">
      <c r="A94" s="221">
        <v>44848</v>
      </c>
      <c r="B94" t="s">
        <v>308</v>
      </c>
      <c r="C94" t="s">
        <v>309</v>
      </c>
      <c r="D94">
        <v>950</v>
      </c>
      <c r="E94">
        <v>950</v>
      </c>
      <c r="F94">
        <v>955.75065262999999</v>
      </c>
    </row>
    <row r="95" spans="1:6" x14ac:dyDescent="0.25">
      <c r="A95" s="221">
        <v>44847</v>
      </c>
      <c r="B95" t="s">
        <v>308</v>
      </c>
      <c r="C95" t="s">
        <v>309</v>
      </c>
      <c r="D95">
        <v>950</v>
      </c>
      <c r="E95">
        <v>950</v>
      </c>
      <c r="F95">
        <v>956.97173683999995</v>
      </c>
    </row>
    <row r="96" spans="1:6" x14ac:dyDescent="0.25">
      <c r="A96" s="221">
        <v>44845</v>
      </c>
      <c r="B96" t="s">
        <v>308</v>
      </c>
      <c r="C96" t="s">
        <v>309</v>
      </c>
      <c r="D96">
        <v>950</v>
      </c>
      <c r="E96">
        <v>950</v>
      </c>
      <c r="F96">
        <v>958.19416841999998</v>
      </c>
    </row>
    <row r="97" spans="1:6" x14ac:dyDescent="0.25">
      <c r="A97" s="221">
        <v>44844</v>
      </c>
      <c r="B97" t="s">
        <v>308</v>
      </c>
      <c r="C97" t="s">
        <v>309</v>
      </c>
      <c r="D97">
        <v>950</v>
      </c>
      <c r="E97">
        <v>950</v>
      </c>
      <c r="F97">
        <v>959.41847368000003</v>
      </c>
    </row>
    <row r="98" spans="1:6" x14ac:dyDescent="0.25">
      <c r="A98" s="221">
        <v>44841</v>
      </c>
      <c r="B98" t="s">
        <v>308</v>
      </c>
      <c r="C98" t="s">
        <v>309</v>
      </c>
      <c r="D98">
        <v>950</v>
      </c>
      <c r="E98">
        <v>950</v>
      </c>
      <c r="F98">
        <v>961.82550526</v>
      </c>
    </row>
    <row r="99" spans="1:6" x14ac:dyDescent="0.25">
      <c r="A99" s="221">
        <v>44840</v>
      </c>
      <c r="B99" t="s">
        <v>308</v>
      </c>
      <c r="C99" t="s">
        <v>309</v>
      </c>
      <c r="D99">
        <v>950</v>
      </c>
      <c r="E99">
        <v>950</v>
      </c>
      <c r="F99">
        <v>963.04523157999995</v>
      </c>
    </row>
    <row r="100" spans="1:6" x14ac:dyDescent="0.25">
      <c r="A100" s="221">
        <v>44839</v>
      </c>
      <c r="B100" t="s">
        <v>308</v>
      </c>
      <c r="C100" t="s">
        <v>309</v>
      </c>
      <c r="D100">
        <v>950</v>
      </c>
      <c r="E100">
        <v>950</v>
      </c>
      <c r="F100">
        <v>964.38391578999995</v>
      </c>
    </row>
    <row r="101" spans="1:6" x14ac:dyDescent="0.25">
      <c r="A101" s="221">
        <v>44838</v>
      </c>
      <c r="B101" t="s">
        <v>308</v>
      </c>
      <c r="C101" t="s">
        <v>309</v>
      </c>
      <c r="D101">
        <v>950</v>
      </c>
      <c r="E101">
        <v>950</v>
      </c>
      <c r="F101">
        <v>965.72353683999995</v>
      </c>
    </row>
    <row r="102" spans="1:6" x14ac:dyDescent="0.25">
      <c r="A102" s="221">
        <v>44837</v>
      </c>
      <c r="B102" t="s">
        <v>308</v>
      </c>
      <c r="C102" t="s">
        <v>309</v>
      </c>
      <c r="D102">
        <v>950</v>
      </c>
      <c r="E102">
        <v>950</v>
      </c>
      <c r="F102">
        <v>967.06529474000001</v>
      </c>
    </row>
    <row r="103" spans="1:6" x14ac:dyDescent="0.25">
      <c r="A103" s="221">
        <v>44834</v>
      </c>
      <c r="B103" t="s">
        <v>308</v>
      </c>
      <c r="C103" t="s">
        <v>309</v>
      </c>
      <c r="D103">
        <v>950</v>
      </c>
      <c r="E103">
        <v>950</v>
      </c>
      <c r="F103">
        <v>968.40762104999999</v>
      </c>
    </row>
    <row r="104" spans="1:6" x14ac:dyDescent="0.25">
      <c r="A104" s="221">
        <v>44833</v>
      </c>
      <c r="B104" t="s">
        <v>308</v>
      </c>
      <c r="C104" t="s">
        <v>309</v>
      </c>
      <c r="D104">
        <v>950</v>
      </c>
      <c r="E104">
        <v>950</v>
      </c>
      <c r="F104">
        <v>981.42657895000002</v>
      </c>
    </row>
    <row r="105" spans="1:6" x14ac:dyDescent="0.25">
      <c r="A105" s="221">
        <v>44832</v>
      </c>
      <c r="B105" t="s">
        <v>308</v>
      </c>
      <c r="C105" t="s">
        <v>309</v>
      </c>
      <c r="D105">
        <v>950</v>
      </c>
      <c r="E105">
        <v>950</v>
      </c>
      <c r="F105">
        <v>981.25823158000003</v>
      </c>
    </row>
    <row r="106" spans="1:6" x14ac:dyDescent="0.25">
      <c r="A106" s="221">
        <v>44831</v>
      </c>
      <c r="B106" t="s">
        <v>308</v>
      </c>
      <c r="C106" t="s">
        <v>309</v>
      </c>
      <c r="D106">
        <v>950</v>
      </c>
      <c r="E106">
        <v>950</v>
      </c>
      <c r="F106">
        <v>982.39052632000005</v>
      </c>
    </row>
    <row r="107" spans="1:6" x14ac:dyDescent="0.25">
      <c r="A107" s="221">
        <v>44830</v>
      </c>
      <c r="B107" t="s">
        <v>308</v>
      </c>
      <c r="C107" t="s">
        <v>309</v>
      </c>
      <c r="D107">
        <v>950</v>
      </c>
      <c r="E107">
        <v>950</v>
      </c>
      <c r="F107">
        <v>985.72413684000003</v>
      </c>
    </row>
    <row r="108" spans="1:6" x14ac:dyDescent="0.25">
      <c r="A108" s="221">
        <v>44827</v>
      </c>
      <c r="B108" t="s">
        <v>308</v>
      </c>
      <c r="C108" t="s">
        <v>309</v>
      </c>
      <c r="D108">
        <v>950</v>
      </c>
      <c r="E108">
        <v>950</v>
      </c>
      <c r="F108">
        <v>986.89483157999996</v>
      </c>
    </row>
    <row r="109" spans="1:6" x14ac:dyDescent="0.25">
      <c r="A109" s="221">
        <v>44826</v>
      </c>
      <c r="B109" t="s">
        <v>308</v>
      </c>
      <c r="C109" t="s">
        <v>309</v>
      </c>
      <c r="D109">
        <v>950</v>
      </c>
      <c r="E109">
        <v>950</v>
      </c>
      <c r="F109">
        <v>988.21446316000004</v>
      </c>
    </row>
    <row r="110" spans="1:6" x14ac:dyDescent="0.25">
      <c r="A110" s="221">
        <v>44825</v>
      </c>
      <c r="B110" t="s">
        <v>308</v>
      </c>
      <c r="C110" t="s">
        <v>309</v>
      </c>
      <c r="D110">
        <v>950</v>
      </c>
      <c r="E110">
        <v>950</v>
      </c>
      <c r="F110">
        <v>989.38036841999997</v>
      </c>
    </row>
    <row r="111" spans="1:6" x14ac:dyDescent="0.25">
      <c r="A111" s="221">
        <v>44824</v>
      </c>
      <c r="B111" t="s">
        <v>308</v>
      </c>
      <c r="C111" t="s">
        <v>309</v>
      </c>
      <c r="D111">
        <v>950</v>
      </c>
      <c r="E111">
        <v>950</v>
      </c>
      <c r="F111">
        <v>990.54446315999996</v>
      </c>
    </row>
    <row r="112" spans="1:6" x14ac:dyDescent="0.25">
      <c r="A112" s="221">
        <v>44823</v>
      </c>
      <c r="B112" t="s">
        <v>308</v>
      </c>
      <c r="C112" t="s">
        <v>309</v>
      </c>
      <c r="D112">
        <v>950</v>
      </c>
      <c r="E112">
        <v>950</v>
      </c>
      <c r="F112">
        <v>991.71030526000004</v>
      </c>
    </row>
    <row r="113" spans="1:6" x14ac:dyDescent="0.25">
      <c r="A113" s="221">
        <v>44820</v>
      </c>
      <c r="B113" t="s">
        <v>308</v>
      </c>
      <c r="C113" t="s">
        <v>309</v>
      </c>
      <c r="D113">
        <v>950</v>
      </c>
      <c r="E113">
        <v>950</v>
      </c>
      <c r="F113">
        <v>992.87667367999995</v>
      </c>
    </row>
    <row r="114" spans="1:6" x14ac:dyDescent="0.25">
      <c r="A114" s="221">
        <v>44819</v>
      </c>
      <c r="B114" t="s">
        <v>308</v>
      </c>
      <c r="C114" t="s">
        <v>309</v>
      </c>
      <c r="D114">
        <v>950</v>
      </c>
      <c r="E114">
        <v>950</v>
      </c>
      <c r="F114">
        <v>967.71948421000002</v>
      </c>
    </row>
    <row r="115" spans="1:6" x14ac:dyDescent="0.25">
      <c r="A115" s="221">
        <v>44818</v>
      </c>
      <c r="B115" t="s">
        <v>308</v>
      </c>
      <c r="C115" t="s">
        <v>309</v>
      </c>
      <c r="D115">
        <v>950</v>
      </c>
      <c r="E115">
        <v>950</v>
      </c>
      <c r="F115">
        <v>971.75156842000001</v>
      </c>
    </row>
    <row r="116" spans="1:6" x14ac:dyDescent="0.25">
      <c r="A116" s="221">
        <v>44817</v>
      </c>
      <c r="B116" t="s">
        <v>308</v>
      </c>
      <c r="C116" t="s">
        <v>309</v>
      </c>
      <c r="D116">
        <v>950</v>
      </c>
      <c r="E116">
        <v>950</v>
      </c>
      <c r="F116">
        <v>975.78567367999995</v>
      </c>
    </row>
    <row r="117" spans="1:6" x14ac:dyDescent="0.25">
      <c r="A117" s="221">
        <v>44816</v>
      </c>
      <c r="B117" t="s">
        <v>308</v>
      </c>
      <c r="C117" t="s">
        <v>309</v>
      </c>
      <c r="D117">
        <v>950</v>
      </c>
      <c r="E117">
        <v>950</v>
      </c>
      <c r="F117">
        <v>983.77487368000004</v>
      </c>
    </row>
    <row r="118" spans="1:6" x14ac:dyDescent="0.25">
      <c r="A118" s="221">
        <v>44813</v>
      </c>
      <c r="B118" t="s">
        <v>308</v>
      </c>
      <c r="C118" t="s">
        <v>309</v>
      </c>
      <c r="D118">
        <v>950</v>
      </c>
      <c r="E118">
        <v>950</v>
      </c>
      <c r="F118">
        <v>987.85129473999996</v>
      </c>
    </row>
    <row r="119" spans="1:6" x14ac:dyDescent="0.25">
      <c r="A119" s="221">
        <v>44812</v>
      </c>
      <c r="B119" t="s">
        <v>308</v>
      </c>
      <c r="C119" t="s">
        <v>309</v>
      </c>
      <c r="D119">
        <v>950</v>
      </c>
      <c r="E119">
        <v>950</v>
      </c>
      <c r="F119">
        <v>991.88833683999997</v>
      </c>
    </row>
    <row r="120" spans="1:6" x14ac:dyDescent="0.25">
      <c r="A120" s="221">
        <v>44810</v>
      </c>
      <c r="B120" t="s">
        <v>308</v>
      </c>
      <c r="C120" t="s">
        <v>309</v>
      </c>
      <c r="D120">
        <v>950</v>
      </c>
      <c r="E120">
        <v>950</v>
      </c>
      <c r="F120">
        <v>995.92938947000005</v>
      </c>
    </row>
    <row r="121" spans="1:6" x14ac:dyDescent="0.25">
      <c r="A121" s="221">
        <v>44809</v>
      </c>
      <c r="B121" t="s">
        <v>308</v>
      </c>
      <c r="C121" t="s">
        <v>309</v>
      </c>
      <c r="D121">
        <v>950</v>
      </c>
      <c r="E121">
        <v>950</v>
      </c>
      <c r="F121">
        <v>1000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57"/>
  <sheetViews>
    <sheetView workbookViewId="0">
      <selection activeCell="E16" sqref="E16"/>
    </sheetView>
  </sheetViews>
  <sheetFormatPr defaultRowHeight="15" x14ac:dyDescent="0.25"/>
  <cols>
    <col min="1" max="1" width="10.42578125" bestFit="1" customWidth="1"/>
    <col min="2" max="2" width="12" bestFit="1" customWidth="1"/>
    <col min="3" max="3" width="8.28515625" bestFit="1" customWidth="1"/>
    <col min="4" max="4" width="15.85546875" bestFit="1" customWidth="1"/>
    <col min="5" max="5" width="17.7109375" bestFit="1" customWidth="1"/>
    <col min="6" max="6" width="12" bestFit="1" customWidth="1"/>
  </cols>
  <sheetData>
    <row r="1" spans="1:6" x14ac:dyDescent="0.25">
      <c r="A1" t="s">
        <v>303</v>
      </c>
      <c r="B1" t="s">
        <v>304</v>
      </c>
      <c r="C1" t="s">
        <v>305</v>
      </c>
      <c r="D1" t="s">
        <v>306</v>
      </c>
      <c r="E1" t="s">
        <v>307</v>
      </c>
      <c r="F1" t="s">
        <v>296</v>
      </c>
    </row>
    <row r="2" spans="1:6" x14ac:dyDescent="0.25">
      <c r="A2" s="221">
        <v>44985</v>
      </c>
      <c r="B2" t="s">
        <v>308</v>
      </c>
      <c r="C2" t="s">
        <v>310</v>
      </c>
      <c r="D2">
        <v>3438.5857219899999</v>
      </c>
      <c r="E2">
        <v>3438.5857219899999</v>
      </c>
      <c r="F2">
        <v>1060.2587647299999</v>
      </c>
    </row>
    <row r="3" spans="1:6" x14ac:dyDescent="0.25">
      <c r="A3" s="221">
        <v>44984</v>
      </c>
      <c r="B3" t="s">
        <v>308</v>
      </c>
      <c r="C3" t="s">
        <v>310</v>
      </c>
      <c r="D3">
        <v>3060.65790264</v>
      </c>
      <c r="E3">
        <v>3060.65790264</v>
      </c>
      <c r="F3">
        <v>1059.33056001</v>
      </c>
    </row>
    <row r="4" spans="1:6" x14ac:dyDescent="0.25">
      <c r="A4" s="221">
        <v>44981</v>
      </c>
      <c r="B4" t="s">
        <v>308</v>
      </c>
      <c r="C4" t="s">
        <v>310</v>
      </c>
      <c r="D4">
        <v>3060.65790264</v>
      </c>
      <c r="E4">
        <v>3060.65790264</v>
      </c>
      <c r="F4">
        <v>1058.5198552300001</v>
      </c>
    </row>
    <row r="5" spans="1:6" x14ac:dyDescent="0.25">
      <c r="A5" s="221">
        <v>44980</v>
      </c>
      <c r="B5" t="s">
        <v>308</v>
      </c>
      <c r="C5" t="s">
        <v>310</v>
      </c>
      <c r="D5">
        <v>3060.65790264</v>
      </c>
      <c r="E5">
        <v>3060.65790264</v>
      </c>
      <c r="F5">
        <v>1057.5698536</v>
      </c>
    </row>
    <row r="6" spans="1:6" x14ac:dyDescent="0.25">
      <c r="A6" s="221">
        <v>44979</v>
      </c>
      <c r="B6" t="s">
        <v>308</v>
      </c>
      <c r="C6" t="s">
        <v>310</v>
      </c>
      <c r="D6">
        <v>3060.65790264</v>
      </c>
      <c r="E6">
        <v>3060.65790264</v>
      </c>
      <c r="F6">
        <v>1056.62070472</v>
      </c>
    </row>
    <row r="7" spans="1:6" x14ac:dyDescent="0.25">
      <c r="A7" s="221">
        <v>44974</v>
      </c>
      <c r="B7" t="s">
        <v>308</v>
      </c>
      <c r="C7" t="s">
        <v>310</v>
      </c>
      <c r="D7">
        <v>3060.65790264</v>
      </c>
      <c r="E7">
        <v>3060.65790264</v>
      </c>
      <c r="F7">
        <v>1055.6724151400001</v>
      </c>
    </row>
    <row r="8" spans="1:6" x14ac:dyDescent="0.25">
      <c r="A8" s="221">
        <v>44973</v>
      </c>
      <c r="B8" t="s">
        <v>308</v>
      </c>
      <c r="C8" t="s">
        <v>310</v>
      </c>
      <c r="D8">
        <v>3060.65790264</v>
      </c>
      <c r="E8">
        <v>3060.65790264</v>
      </c>
      <c r="F8">
        <v>1054.72496525</v>
      </c>
    </row>
    <row r="9" spans="1:6" x14ac:dyDescent="0.25">
      <c r="A9" s="221">
        <v>44972</v>
      </c>
      <c r="B9" t="s">
        <v>308</v>
      </c>
      <c r="C9" t="s">
        <v>310</v>
      </c>
      <c r="D9">
        <v>3060.65790264</v>
      </c>
      <c r="E9">
        <v>3060.65790264</v>
      </c>
      <c r="F9">
        <v>1053.7783746499999</v>
      </c>
    </row>
    <row r="10" spans="1:6" x14ac:dyDescent="0.25">
      <c r="A10" s="221">
        <v>44971</v>
      </c>
      <c r="B10" t="s">
        <v>308</v>
      </c>
      <c r="C10" t="s">
        <v>310</v>
      </c>
      <c r="D10">
        <v>2491.01623002</v>
      </c>
      <c r="E10" s="255">
        <v>2491.01623002</v>
      </c>
      <c r="F10">
        <v>1053.05156923</v>
      </c>
    </row>
    <row r="11" spans="1:6" x14ac:dyDescent="0.25">
      <c r="A11" s="221">
        <v>44970</v>
      </c>
      <c r="B11" t="s">
        <v>308</v>
      </c>
      <c r="C11" t="s">
        <v>310</v>
      </c>
      <c r="D11" s="255">
        <v>2491.01623002</v>
      </c>
      <c r="E11">
        <v>2491.01623002</v>
      </c>
      <c r="F11">
        <v>1052.32527127</v>
      </c>
    </row>
    <row r="12" spans="1:6" x14ac:dyDescent="0.25">
      <c r="A12" s="221">
        <v>44967</v>
      </c>
      <c r="B12" t="s">
        <v>308</v>
      </c>
      <c r="C12" t="s">
        <v>310</v>
      </c>
      <c r="D12">
        <v>2491.01623002</v>
      </c>
      <c r="E12">
        <v>2491.01623002</v>
      </c>
      <c r="F12">
        <v>1051.5994711000001</v>
      </c>
    </row>
    <row r="13" spans="1:6" x14ac:dyDescent="0.25">
      <c r="A13" s="221">
        <v>44966</v>
      </c>
      <c r="B13" t="s">
        <v>308</v>
      </c>
      <c r="C13" t="s">
        <v>310</v>
      </c>
      <c r="D13">
        <v>2491.01623002</v>
      </c>
      <c r="E13">
        <v>2491.01623002</v>
      </c>
      <c r="F13">
        <v>1050.8741767500001</v>
      </c>
    </row>
    <row r="14" spans="1:6" x14ac:dyDescent="0.25">
      <c r="A14" s="221">
        <v>44965</v>
      </c>
      <c r="B14" t="s">
        <v>308</v>
      </c>
      <c r="C14" t="s">
        <v>310</v>
      </c>
      <c r="D14">
        <v>2491.01623002</v>
      </c>
      <c r="E14">
        <v>2491.01623002</v>
      </c>
      <c r="F14">
        <v>1050.39185954</v>
      </c>
    </row>
    <row r="15" spans="1:6" x14ac:dyDescent="0.25">
      <c r="A15" s="221">
        <v>44964</v>
      </c>
      <c r="B15" t="s">
        <v>308</v>
      </c>
      <c r="C15" t="s">
        <v>310</v>
      </c>
      <c r="D15">
        <v>2491.01623002</v>
      </c>
      <c r="E15">
        <v>2491.01623002</v>
      </c>
      <c r="F15">
        <v>1049.65313694</v>
      </c>
    </row>
    <row r="16" spans="1:6" x14ac:dyDescent="0.25">
      <c r="A16" s="221">
        <v>44963</v>
      </c>
      <c r="B16" t="s">
        <v>308</v>
      </c>
      <c r="C16" t="s">
        <v>310</v>
      </c>
      <c r="D16">
        <v>2491.01623002</v>
      </c>
      <c r="E16">
        <v>2491.01623002</v>
      </c>
      <c r="F16">
        <v>1048.91493621</v>
      </c>
    </row>
    <row r="17" spans="1:6" x14ac:dyDescent="0.25">
      <c r="A17" s="221">
        <v>44960</v>
      </c>
      <c r="B17" t="s">
        <v>308</v>
      </c>
      <c r="C17" t="s">
        <v>310</v>
      </c>
      <c r="D17">
        <v>2491.01623002</v>
      </c>
      <c r="E17">
        <v>2491.01623002</v>
      </c>
      <c r="F17">
        <v>1048.1772533400001</v>
      </c>
    </row>
    <row r="18" spans="1:6" x14ac:dyDescent="0.25">
      <c r="A18" s="221">
        <v>44959</v>
      </c>
      <c r="B18" t="s">
        <v>308</v>
      </c>
      <c r="C18" t="s">
        <v>310</v>
      </c>
      <c r="D18">
        <v>2491.01623002</v>
      </c>
      <c r="E18">
        <v>2491.01623002</v>
      </c>
      <c r="F18">
        <v>1047.44008431</v>
      </c>
    </row>
    <row r="19" spans="1:6" x14ac:dyDescent="0.25">
      <c r="A19" s="221">
        <v>44958</v>
      </c>
      <c r="B19" t="s">
        <v>308</v>
      </c>
      <c r="C19" t="s">
        <v>310</v>
      </c>
      <c r="D19">
        <v>2491.01623002</v>
      </c>
      <c r="E19">
        <v>2491.01623002</v>
      </c>
      <c r="F19">
        <v>1046.7034371699999</v>
      </c>
    </row>
    <row r="20" spans="1:6" x14ac:dyDescent="0.25">
      <c r="A20" s="221">
        <v>44957</v>
      </c>
      <c r="B20" t="s">
        <v>308</v>
      </c>
      <c r="C20" t="s">
        <v>310</v>
      </c>
      <c r="D20">
        <v>2491.01623002</v>
      </c>
      <c r="E20">
        <v>2491.01623002</v>
      </c>
      <c r="F20">
        <v>1045.9673078799999</v>
      </c>
    </row>
    <row r="21" spans="1:6" x14ac:dyDescent="0.25">
      <c r="A21" s="221">
        <v>44956</v>
      </c>
      <c r="B21" t="s">
        <v>308</v>
      </c>
      <c r="C21" t="s">
        <v>310</v>
      </c>
      <c r="D21">
        <v>2491.01623002</v>
      </c>
      <c r="E21">
        <v>2491.01623002</v>
      </c>
      <c r="F21">
        <v>1045.23169244</v>
      </c>
    </row>
    <row r="22" spans="1:6" x14ac:dyDescent="0.25">
      <c r="A22" s="221">
        <v>44953</v>
      </c>
      <c r="B22" t="s">
        <v>308</v>
      </c>
      <c r="C22" t="s">
        <v>310</v>
      </c>
      <c r="D22">
        <v>2491.01623002</v>
      </c>
      <c r="E22">
        <v>2491.01623002</v>
      </c>
      <c r="F22">
        <v>1044.4966069</v>
      </c>
    </row>
    <row r="23" spans="1:6" x14ac:dyDescent="0.25">
      <c r="A23" s="221">
        <v>44952</v>
      </c>
      <c r="B23" t="s">
        <v>308</v>
      </c>
      <c r="C23" t="s">
        <v>310</v>
      </c>
      <c r="D23">
        <v>2491.01623002</v>
      </c>
      <c r="E23">
        <v>2491.01623002</v>
      </c>
      <c r="F23">
        <v>1043.76202719</v>
      </c>
    </row>
    <row r="24" spans="1:6" x14ac:dyDescent="0.25">
      <c r="A24" s="221">
        <v>44951</v>
      </c>
      <c r="B24" t="s">
        <v>308</v>
      </c>
      <c r="C24" t="s">
        <v>310</v>
      </c>
      <c r="D24">
        <v>2491.01623002</v>
      </c>
      <c r="E24">
        <v>2491.01623002</v>
      </c>
      <c r="F24">
        <v>1043.02797336</v>
      </c>
    </row>
    <row r="25" spans="1:6" x14ac:dyDescent="0.25">
      <c r="A25" s="221">
        <v>44950</v>
      </c>
      <c r="B25" t="s">
        <v>308</v>
      </c>
      <c r="C25" t="s">
        <v>310</v>
      </c>
      <c r="D25">
        <v>2491.01623002</v>
      </c>
      <c r="E25">
        <v>2491.01623002</v>
      </c>
      <c r="F25">
        <v>1042.18133496</v>
      </c>
    </row>
    <row r="26" spans="1:6" x14ac:dyDescent="0.25">
      <c r="A26" s="221">
        <v>44949</v>
      </c>
      <c r="B26" t="s">
        <v>308</v>
      </c>
      <c r="C26" t="s">
        <v>310</v>
      </c>
      <c r="D26">
        <v>2491.01623002</v>
      </c>
      <c r="E26">
        <v>2491.01623002</v>
      </c>
      <c r="F26">
        <v>1041.4672207799999</v>
      </c>
    </row>
    <row r="27" spans="1:6" x14ac:dyDescent="0.25">
      <c r="A27" s="221">
        <v>44946</v>
      </c>
      <c r="B27" t="s">
        <v>308</v>
      </c>
      <c r="C27" t="s">
        <v>310</v>
      </c>
      <c r="D27">
        <v>2491.01623002</v>
      </c>
      <c r="E27">
        <v>2491.01623002</v>
      </c>
      <c r="F27">
        <v>1040.7536003800001</v>
      </c>
    </row>
    <row r="28" spans="1:6" x14ac:dyDescent="0.25">
      <c r="A28" s="221">
        <v>44945</v>
      </c>
      <c r="B28" t="s">
        <v>308</v>
      </c>
      <c r="C28" t="s">
        <v>310</v>
      </c>
      <c r="D28">
        <v>2491.01623002</v>
      </c>
      <c r="E28">
        <v>2491.01623002</v>
      </c>
      <c r="F28">
        <v>1040.0404536799999</v>
      </c>
    </row>
    <row r="29" spans="1:6" x14ac:dyDescent="0.25">
      <c r="A29" s="221">
        <v>44944</v>
      </c>
      <c r="B29" t="s">
        <v>308</v>
      </c>
      <c r="C29" t="s">
        <v>310</v>
      </c>
      <c r="D29">
        <v>2491.01623002</v>
      </c>
      <c r="E29">
        <v>2491.01623002</v>
      </c>
      <c r="F29">
        <v>1039.3278087900001</v>
      </c>
    </row>
    <row r="30" spans="1:6" x14ac:dyDescent="0.25">
      <c r="A30" s="221">
        <v>44943</v>
      </c>
      <c r="B30" t="s">
        <v>308</v>
      </c>
      <c r="C30" t="s">
        <v>310</v>
      </c>
      <c r="D30">
        <v>2491.01623002</v>
      </c>
      <c r="E30">
        <v>2491.01623002</v>
      </c>
      <c r="F30">
        <v>1038.61565767</v>
      </c>
    </row>
    <row r="31" spans="1:6" x14ac:dyDescent="0.25">
      <c r="A31" s="221">
        <v>44942</v>
      </c>
      <c r="B31" t="s">
        <v>308</v>
      </c>
      <c r="C31" t="s">
        <v>310</v>
      </c>
      <c r="D31">
        <v>2491.01623002</v>
      </c>
      <c r="E31">
        <v>2491.01623002</v>
      </c>
      <c r="F31">
        <v>1037.9039802499999</v>
      </c>
    </row>
    <row r="32" spans="1:6" x14ac:dyDescent="0.25">
      <c r="A32" s="221">
        <v>44939</v>
      </c>
      <c r="B32" t="s">
        <v>308</v>
      </c>
      <c r="C32" t="s">
        <v>310</v>
      </c>
      <c r="D32">
        <v>2491.01623002</v>
      </c>
      <c r="E32">
        <v>2491.01623002</v>
      </c>
      <c r="F32">
        <v>1037.1459322000001</v>
      </c>
    </row>
    <row r="33" spans="1:6" x14ac:dyDescent="0.25">
      <c r="A33" s="221">
        <v>44938</v>
      </c>
      <c r="B33" t="s">
        <v>308</v>
      </c>
      <c r="C33" t="s">
        <v>310</v>
      </c>
      <c r="D33">
        <v>2491.01623002</v>
      </c>
      <c r="E33">
        <v>2491.01623002</v>
      </c>
      <c r="F33">
        <v>1036.3884381400001</v>
      </c>
    </row>
    <row r="34" spans="1:6" x14ac:dyDescent="0.25">
      <c r="A34" s="221">
        <v>44937</v>
      </c>
      <c r="B34" t="s">
        <v>308</v>
      </c>
      <c r="C34" t="s">
        <v>310</v>
      </c>
      <c r="D34">
        <v>2491.01623002</v>
      </c>
      <c r="E34">
        <v>2491.01623002</v>
      </c>
      <c r="F34">
        <v>1035.6315060899999</v>
      </c>
    </row>
    <row r="35" spans="1:6" x14ac:dyDescent="0.25">
      <c r="A35" s="221">
        <v>44936</v>
      </c>
      <c r="B35" t="s">
        <v>308</v>
      </c>
      <c r="C35" t="s">
        <v>310</v>
      </c>
      <c r="D35">
        <v>2491.01623002</v>
      </c>
      <c r="E35">
        <v>2491.01623002</v>
      </c>
      <c r="F35">
        <v>1034.87512001</v>
      </c>
    </row>
    <row r="36" spans="1:6" x14ac:dyDescent="0.25">
      <c r="A36" s="221">
        <v>44935</v>
      </c>
      <c r="B36" t="s">
        <v>308</v>
      </c>
      <c r="C36" t="s">
        <v>310</v>
      </c>
      <c r="D36">
        <v>2491.01623002</v>
      </c>
      <c r="E36">
        <v>2491.01623002</v>
      </c>
      <c r="F36">
        <v>1032.61029334</v>
      </c>
    </row>
    <row r="37" spans="1:6" x14ac:dyDescent="0.25">
      <c r="A37" s="221">
        <v>44932</v>
      </c>
      <c r="B37" t="s">
        <v>308</v>
      </c>
      <c r="C37" t="s">
        <v>310</v>
      </c>
      <c r="D37">
        <v>2491.01623002</v>
      </c>
      <c r="E37">
        <v>2491.01623002</v>
      </c>
      <c r="F37">
        <v>1031.9447537200001</v>
      </c>
    </row>
    <row r="38" spans="1:6" x14ac:dyDescent="0.25">
      <c r="A38" s="221">
        <v>44931</v>
      </c>
      <c r="B38" t="s">
        <v>308</v>
      </c>
      <c r="C38" t="s">
        <v>310</v>
      </c>
      <c r="D38">
        <v>2491.01623002</v>
      </c>
      <c r="E38">
        <v>2491.01623002</v>
      </c>
      <c r="F38">
        <v>1031.2796436399999</v>
      </c>
    </row>
    <row r="39" spans="1:6" x14ac:dyDescent="0.25">
      <c r="A39" s="221">
        <v>44930</v>
      </c>
      <c r="B39" t="s">
        <v>308</v>
      </c>
      <c r="C39" t="s">
        <v>310</v>
      </c>
      <c r="D39">
        <v>2491.01623002</v>
      </c>
      <c r="E39">
        <v>2491.01623002</v>
      </c>
      <c r="F39">
        <v>1030.61496311</v>
      </c>
    </row>
    <row r="40" spans="1:6" x14ac:dyDescent="0.25">
      <c r="A40" s="221">
        <v>44929</v>
      </c>
      <c r="B40" t="s">
        <v>308</v>
      </c>
      <c r="C40" t="s">
        <v>310</v>
      </c>
      <c r="D40">
        <v>2491.01623002</v>
      </c>
      <c r="E40">
        <v>2491.01623002</v>
      </c>
      <c r="F40">
        <v>1029.95070409</v>
      </c>
    </row>
    <row r="41" spans="1:6" x14ac:dyDescent="0.25">
      <c r="A41" s="221">
        <v>44928</v>
      </c>
      <c r="B41" t="s">
        <v>308</v>
      </c>
      <c r="C41" t="s">
        <v>310</v>
      </c>
      <c r="D41">
        <v>2491.01623002</v>
      </c>
      <c r="E41">
        <v>2491.01623002</v>
      </c>
      <c r="F41">
        <v>1029.28687461</v>
      </c>
    </row>
    <row r="42" spans="1:6" x14ac:dyDescent="0.25">
      <c r="A42" s="221">
        <v>44925</v>
      </c>
      <c r="B42" t="s">
        <v>308</v>
      </c>
      <c r="C42" t="s">
        <v>310</v>
      </c>
      <c r="D42">
        <v>2491.01623002</v>
      </c>
      <c r="E42">
        <v>2491.01623002</v>
      </c>
      <c r="F42">
        <v>1028.6234746800001</v>
      </c>
    </row>
    <row r="43" spans="1:6" x14ac:dyDescent="0.25">
      <c r="A43" s="221">
        <v>44924</v>
      </c>
      <c r="B43" t="s">
        <v>308</v>
      </c>
      <c r="C43" t="s">
        <v>310</v>
      </c>
      <c r="D43">
        <v>2491.01623002</v>
      </c>
      <c r="E43">
        <v>2491.01623002</v>
      </c>
      <c r="F43">
        <v>1027.9605082999999</v>
      </c>
    </row>
    <row r="44" spans="1:6" x14ac:dyDescent="0.25">
      <c r="A44" s="221">
        <v>44923</v>
      </c>
      <c r="B44" t="s">
        <v>308</v>
      </c>
      <c r="C44" t="s">
        <v>310</v>
      </c>
      <c r="D44">
        <v>2491.01623002</v>
      </c>
      <c r="E44">
        <v>2491.01623002</v>
      </c>
      <c r="F44">
        <v>1027.2979634400001</v>
      </c>
    </row>
    <row r="45" spans="1:6" x14ac:dyDescent="0.25">
      <c r="A45" s="221">
        <v>44922</v>
      </c>
      <c r="B45" t="s">
        <v>308</v>
      </c>
      <c r="C45" t="s">
        <v>310</v>
      </c>
      <c r="D45">
        <v>2491.01623002</v>
      </c>
      <c r="E45">
        <v>2491.01623002</v>
      </c>
      <c r="F45">
        <v>1026.6358481300001</v>
      </c>
    </row>
    <row r="46" spans="1:6" x14ac:dyDescent="0.25">
      <c r="A46" s="221">
        <v>44921</v>
      </c>
      <c r="B46" t="s">
        <v>308</v>
      </c>
      <c r="C46" t="s">
        <v>310</v>
      </c>
      <c r="D46">
        <v>2491.01623002</v>
      </c>
      <c r="E46">
        <v>2491.01623002</v>
      </c>
      <c r="F46">
        <v>1025.97415834</v>
      </c>
    </row>
    <row r="47" spans="1:6" x14ac:dyDescent="0.25">
      <c r="A47" s="221">
        <v>44918</v>
      </c>
      <c r="B47" t="s">
        <v>308</v>
      </c>
      <c r="C47" t="s">
        <v>310</v>
      </c>
      <c r="D47">
        <v>2491.01623002</v>
      </c>
      <c r="E47">
        <v>2491.01623002</v>
      </c>
      <c r="F47">
        <v>1025.3129021100001</v>
      </c>
    </row>
    <row r="48" spans="1:6" x14ac:dyDescent="0.25">
      <c r="A48" s="221">
        <v>44917</v>
      </c>
      <c r="B48" t="s">
        <v>308</v>
      </c>
      <c r="C48" t="s">
        <v>310</v>
      </c>
      <c r="D48">
        <v>2491.01623002</v>
      </c>
      <c r="E48">
        <v>2491.01623002</v>
      </c>
      <c r="F48">
        <v>1024.9301828</v>
      </c>
    </row>
    <row r="49" spans="1:6" x14ac:dyDescent="0.25">
      <c r="A49" s="221">
        <v>44916</v>
      </c>
      <c r="B49" t="s">
        <v>308</v>
      </c>
      <c r="C49" t="s">
        <v>310</v>
      </c>
      <c r="D49">
        <v>2491.01623002</v>
      </c>
      <c r="E49">
        <v>2491.01623002</v>
      </c>
      <c r="F49">
        <v>1024.2139931700001</v>
      </c>
    </row>
    <row r="50" spans="1:6" x14ac:dyDescent="0.25">
      <c r="A50" s="221">
        <v>44915</v>
      </c>
      <c r="B50" t="s">
        <v>308</v>
      </c>
      <c r="C50" t="s">
        <v>310</v>
      </c>
      <c r="D50">
        <v>2491.01623002</v>
      </c>
      <c r="E50">
        <v>2491.01623002</v>
      </c>
      <c r="F50">
        <v>1023.49830935</v>
      </c>
    </row>
    <row r="51" spans="1:6" x14ac:dyDescent="0.25">
      <c r="A51" s="221">
        <v>44914</v>
      </c>
      <c r="B51" t="s">
        <v>308</v>
      </c>
      <c r="C51" t="s">
        <v>310</v>
      </c>
      <c r="D51">
        <v>2491.01623002</v>
      </c>
      <c r="E51">
        <v>2491.01623002</v>
      </c>
      <c r="F51">
        <v>1022.78312333</v>
      </c>
    </row>
    <row r="52" spans="1:6" x14ac:dyDescent="0.25">
      <c r="A52" s="221">
        <v>44911</v>
      </c>
      <c r="B52" t="s">
        <v>308</v>
      </c>
      <c r="C52" t="s">
        <v>310</v>
      </c>
      <c r="D52">
        <v>2491.01623002</v>
      </c>
      <c r="E52">
        <v>2491.01623002</v>
      </c>
      <c r="F52">
        <v>1022.06843509</v>
      </c>
    </row>
    <row r="53" spans="1:6" x14ac:dyDescent="0.25">
      <c r="A53" s="221">
        <v>44910</v>
      </c>
      <c r="B53" t="s">
        <v>308</v>
      </c>
      <c r="C53" t="s">
        <v>310</v>
      </c>
      <c r="D53">
        <v>2491.01623002</v>
      </c>
      <c r="E53">
        <v>2491.01623002</v>
      </c>
      <c r="F53">
        <v>1021.3542526700001</v>
      </c>
    </row>
    <row r="54" spans="1:6" x14ac:dyDescent="0.25">
      <c r="A54" s="221">
        <v>44909</v>
      </c>
      <c r="B54" t="s">
        <v>308</v>
      </c>
      <c r="C54" t="s">
        <v>310</v>
      </c>
      <c r="D54">
        <v>2491.01623002</v>
      </c>
      <c r="E54">
        <v>2491.01623002</v>
      </c>
      <c r="F54">
        <v>1020.69618791</v>
      </c>
    </row>
    <row r="55" spans="1:6" x14ac:dyDescent="0.25">
      <c r="A55" s="221">
        <v>44908</v>
      </c>
      <c r="B55" t="s">
        <v>308</v>
      </c>
      <c r="C55" t="s">
        <v>310</v>
      </c>
      <c r="D55">
        <v>2491.01623002</v>
      </c>
      <c r="E55">
        <v>2491.01623002</v>
      </c>
      <c r="F55">
        <v>1020.03854868</v>
      </c>
    </row>
    <row r="56" spans="1:6" x14ac:dyDescent="0.25">
      <c r="A56" s="221">
        <v>44907</v>
      </c>
      <c r="B56" t="s">
        <v>308</v>
      </c>
      <c r="C56" t="s">
        <v>310</v>
      </c>
      <c r="D56">
        <v>2491.01623002</v>
      </c>
      <c r="E56">
        <v>2491.01623002</v>
      </c>
      <c r="F56">
        <v>1019.38132293</v>
      </c>
    </row>
    <row r="57" spans="1:6" x14ac:dyDescent="0.25">
      <c r="A57" s="221">
        <v>44904</v>
      </c>
      <c r="B57" t="s">
        <v>308</v>
      </c>
      <c r="C57" t="s">
        <v>310</v>
      </c>
      <c r="D57">
        <v>2491.01623002</v>
      </c>
      <c r="E57">
        <v>2491.01623002</v>
      </c>
      <c r="F57">
        <v>1018.89465007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7"/>
  <dimension ref="A1:M229"/>
  <sheetViews>
    <sheetView workbookViewId="0"/>
  </sheetViews>
  <sheetFormatPr defaultRowHeight="15" x14ac:dyDescent="0.25"/>
  <cols>
    <col min="1" max="1" width="4" bestFit="1" customWidth="1"/>
    <col min="2" max="2" width="4.85546875" hidden="1" customWidth="1"/>
    <col min="3" max="3" width="15.28515625" bestFit="1" customWidth="1"/>
    <col min="4" max="4" width="7.5703125" hidden="1" customWidth="1"/>
    <col min="5" max="5" width="3" hidden="1" customWidth="1"/>
    <col min="6" max="6" width="54.42578125" customWidth="1"/>
    <col min="7" max="7" width="12.85546875" bestFit="1" customWidth="1"/>
    <col min="8" max="8" width="11.140625" hidden="1" customWidth="1"/>
    <col min="9" max="9" width="11.140625" bestFit="1" customWidth="1"/>
    <col min="10" max="10" width="6.140625" bestFit="1" customWidth="1"/>
    <col min="11" max="11" width="13.140625" bestFit="1" customWidth="1"/>
    <col min="12" max="12" width="17" style="164" bestFit="1" customWidth="1"/>
    <col min="13" max="13" width="22.85546875" bestFit="1" customWidth="1"/>
  </cols>
  <sheetData>
    <row r="1" spans="1:13" x14ac:dyDescent="0.25">
      <c r="A1" s="11" t="s">
        <v>38</v>
      </c>
      <c r="B1" s="11"/>
      <c r="C1" s="11" t="s">
        <v>39</v>
      </c>
      <c r="D1" s="224" t="s">
        <v>311</v>
      </c>
      <c r="E1" s="11" t="s">
        <v>312</v>
      </c>
      <c r="F1" s="11" t="s">
        <v>40</v>
      </c>
      <c r="G1" s="11" t="s">
        <v>41</v>
      </c>
      <c r="H1" s="11" t="s">
        <v>42</v>
      </c>
      <c r="I1" s="225" t="s">
        <v>313</v>
      </c>
      <c r="J1" s="225" t="s">
        <v>43</v>
      </c>
      <c r="K1" s="225" t="s">
        <v>44</v>
      </c>
      <c r="L1" s="226" t="s">
        <v>45</v>
      </c>
      <c r="M1" s="226" t="s">
        <v>46</v>
      </c>
    </row>
    <row r="2" spans="1:13" x14ac:dyDescent="0.25">
      <c r="A2" s="5" t="s">
        <v>61</v>
      </c>
      <c r="B2" s="13" t="e">
        <f t="shared" ref="B2:B19" si="0">K2/$K$229</f>
        <v>#DIV/0!</v>
      </c>
      <c r="C2" s="5" t="s">
        <v>314</v>
      </c>
      <c r="D2" s="227"/>
      <c r="E2" s="5">
        <v>1</v>
      </c>
      <c r="F2" s="5" t="s">
        <v>315</v>
      </c>
      <c r="G2" s="228">
        <v>5000000</v>
      </c>
      <c r="H2" s="228">
        <v>0</v>
      </c>
      <c r="I2" s="228">
        <v>0</v>
      </c>
      <c r="J2" s="228"/>
      <c r="K2" s="229">
        <f>IFERROR(VLOOKUP(C2,#REF!,2,0),0)</f>
        <v>0</v>
      </c>
      <c r="L2" s="229"/>
    </row>
    <row r="3" spans="1:13" x14ac:dyDescent="0.25">
      <c r="A3" s="5" t="s">
        <v>61</v>
      </c>
      <c r="B3" s="13" t="e">
        <f t="shared" si="0"/>
        <v>#DIV/0!</v>
      </c>
      <c r="C3" s="5" t="s">
        <v>316</v>
      </c>
      <c r="D3" s="227"/>
      <c r="E3" s="5">
        <v>1</v>
      </c>
      <c r="F3" s="5" t="s">
        <v>317</v>
      </c>
      <c r="G3" s="228"/>
      <c r="H3" s="228">
        <v>0</v>
      </c>
      <c r="I3" s="228"/>
      <c r="J3" s="228"/>
      <c r="K3" s="229">
        <f>IFERROR(VLOOKUP(C3,#REF!,2,0),0)</f>
        <v>0</v>
      </c>
      <c r="L3" s="229"/>
    </row>
    <row r="4" spans="1:13" x14ac:dyDescent="0.25">
      <c r="A4" s="5" t="s">
        <v>61</v>
      </c>
      <c r="B4" s="13" t="e">
        <f t="shared" si="0"/>
        <v>#DIV/0!</v>
      </c>
      <c r="C4" s="5" t="s">
        <v>318</v>
      </c>
      <c r="D4" s="227"/>
      <c r="E4" s="5">
        <v>1</v>
      </c>
      <c r="F4" s="5" t="s">
        <v>319</v>
      </c>
      <c r="G4" s="228"/>
      <c r="H4" s="228">
        <v>0</v>
      </c>
      <c r="I4" s="228"/>
      <c r="J4" s="228"/>
      <c r="K4" s="229">
        <f>IFERROR(VLOOKUP(C4,#REF!,2,0),0)</f>
        <v>0</v>
      </c>
      <c r="L4" s="229"/>
    </row>
    <row r="5" spans="1:13" x14ac:dyDescent="0.25">
      <c r="A5" s="5" t="s">
        <v>61</v>
      </c>
      <c r="B5" s="13" t="e">
        <f t="shared" si="0"/>
        <v>#DIV/0!</v>
      </c>
      <c r="C5" s="5" t="s">
        <v>320</v>
      </c>
      <c r="D5" s="227"/>
      <c r="E5" s="5">
        <v>1</v>
      </c>
      <c r="F5" s="5" t="s">
        <v>321</v>
      </c>
      <c r="G5" s="228"/>
      <c r="H5" s="228">
        <v>0</v>
      </c>
      <c r="I5" s="228"/>
      <c r="J5" s="228"/>
      <c r="K5" s="229">
        <f>IFERROR(VLOOKUP(C5,#REF!,2,0),0)</f>
        <v>0</v>
      </c>
      <c r="L5" s="229"/>
    </row>
    <row r="6" spans="1:13" x14ac:dyDescent="0.25">
      <c r="A6" s="5" t="s">
        <v>61</v>
      </c>
      <c r="B6" s="13" t="e">
        <f t="shared" si="0"/>
        <v>#DIV/0!</v>
      </c>
      <c r="C6" s="5" t="s">
        <v>322</v>
      </c>
      <c r="D6" s="227"/>
      <c r="E6" s="5">
        <v>1</v>
      </c>
      <c r="F6" s="5" t="s">
        <v>323</v>
      </c>
      <c r="G6" s="228"/>
      <c r="H6" s="228"/>
      <c r="I6" s="228"/>
      <c r="J6" s="228"/>
      <c r="K6" s="229">
        <f>IFERROR(VLOOKUP(C6,#REF!,2,0),0)</f>
        <v>0</v>
      </c>
      <c r="L6" s="229"/>
    </row>
    <row r="7" spans="1:13" x14ac:dyDescent="0.25">
      <c r="A7" s="5" t="s">
        <v>61</v>
      </c>
      <c r="B7" s="13" t="e">
        <f t="shared" si="0"/>
        <v>#DIV/0!</v>
      </c>
      <c r="C7" s="5" t="s">
        <v>324</v>
      </c>
      <c r="D7" s="227"/>
      <c r="E7" s="5">
        <v>1</v>
      </c>
      <c r="F7" s="5" t="s">
        <v>325</v>
      </c>
      <c r="G7" s="228"/>
      <c r="H7" s="228">
        <v>0</v>
      </c>
      <c r="I7" s="228"/>
      <c r="J7" s="228"/>
      <c r="K7" s="229">
        <f>IFERROR(VLOOKUP(C7,#REF!,2,0),0)</f>
        <v>0</v>
      </c>
      <c r="L7" s="229"/>
    </row>
    <row r="8" spans="1:13" x14ac:dyDescent="0.25">
      <c r="A8" s="5" t="s">
        <v>61</v>
      </c>
      <c r="B8" s="13" t="e">
        <f t="shared" si="0"/>
        <v>#DIV/0!</v>
      </c>
      <c r="C8" s="5" t="s">
        <v>326</v>
      </c>
      <c r="D8" s="227"/>
      <c r="E8" s="5">
        <v>1</v>
      </c>
      <c r="F8" s="5" t="s">
        <v>327</v>
      </c>
      <c r="G8" s="228"/>
      <c r="H8" s="228">
        <v>0</v>
      </c>
      <c r="I8" s="228"/>
      <c r="J8" s="228"/>
      <c r="K8" s="229">
        <f>IFERROR(VLOOKUP(C8,#REF!,2,0),0)</f>
        <v>0</v>
      </c>
      <c r="L8" s="229"/>
    </row>
    <row r="9" spans="1:13" x14ac:dyDescent="0.25">
      <c r="A9" s="5" t="s">
        <v>61</v>
      </c>
      <c r="B9" s="13" t="e">
        <f t="shared" si="0"/>
        <v>#DIV/0!</v>
      </c>
      <c r="C9" s="5" t="s">
        <v>328</v>
      </c>
      <c r="D9" s="227"/>
      <c r="E9" s="5">
        <v>1</v>
      </c>
      <c r="F9" s="5" t="s">
        <v>329</v>
      </c>
      <c r="G9" s="228"/>
      <c r="H9" s="228">
        <v>0</v>
      </c>
      <c r="I9" s="228"/>
      <c r="J9" s="228"/>
      <c r="K9" s="229">
        <f>IFERROR(VLOOKUP(C9,#REF!,2,0),0)</f>
        <v>0</v>
      </c>
      <c r="L9" s="229"/>
    </row>
    <row r="10" spans="1:13" x14ac:dyDescent="0.25">
      <c r="A10" s="5" t="s">
        <v>61</v>
      </c>
      <c r="B10" s="13" t="e">
        <f t="shared" si="0"/>
        <v>#DIV/0!</v>
      </c>
      <c r="C10" s="5" t="s">
        <v>330</v>
      </c>
      <c r="D10" s="227"/>
      <c r="E10" s="5">
        <v>1</v>
      </c>
      <c r="F10" s="5" t="s">
        <v>331</v>
      </c>
      <c r="G10" s="228"/>
      <c r="H10" s="228">
        <v>0</v>
      </c>
      <c r="I10" s="228"/>
      <c r="J10" s="228"/>
      <c r="K10" s="229">
        <f>IFERROR(VLOOKUP(C10,#REF!,2,0),0)</f>
        <v>0</v>
      </c>
      <c r="L10" s="229"/>
    </row>
    <row r="11" spans="1:13" x14ac:dyDescent="0.25">
      <c r="A11" s="5" t="s">
        <v>61</v>
      </c>
      <c r="B11" s="13" t="e">
        <f t="shared" si="0"/>
        <v>#DIV/0!</v>
      </c>
      <c r="C11" s="5" t="s">
        <v>332</v>
      </c>
      <c r="D11" s="227"/>
      <c r="E11" s="5">
        <v>1</v>
      </c>
      <c r="F11" s="5" t="s">
        <v>333</v>
      </c>
      <c r="G11" s="228"/>
      <c r="H11" s="228">
        <v>0</v>
      </c>
      <c r="I11" s="228"/>
      <c r="J11" s="228"/>
      <c r="K11" s="229">
        <f>IFERROR(VLOOKUP(C11,#REF!,2,0),0)</f>
        <v>0</v>
      </c>
      <c r="L11" s="229"/>
    </row>
    <row r="12" spans="1:13" x14ac:dyDescent="0.25">
      <c r="A12" s="5" t="s">
        <v>61</v>
      </c>
      <c r="B12" s="13" t="e">
        <f t="shared" si="0"/>
        <v>#DIV/0!</v>
      </c>
      <c r="C12" s="5" t="s">
        <v>334</v>
      </c>
      <c r="D12" s="227"/>
      <c r="E12" s="5">
        <v>1</v>
      </c>
      <c r="F12" s="5" t="s">
        <v>335</v>
      </c>
      <c r="G12" s="228"/>
      <c r="H12" s="228">
        <v>0</v>
      </c>
      <c r="I12" s="228"/>
      <c r="J12" s="228"/>
      <c r="K12" s="229">
        <f>IFERROR(VLOOKUP(C12,#REF!,2,0),0)</f>
        <v>0</v>
      </c>
      <c r="L12" s="229"/>
    </row>
    <row r="13" spans="1:13" x14ac:dyDescent="0.25">
      <c r="A13" s="5" t="s">
        <v>61</v>
      </c>
      <c r="B13" s="13" t="e">
        <f t="shared" si="0"/>
        <v>#DIV/0!</v>
      </c>
      <c r="C13" s="5" t="s">
        <v>336</v>
      </c>
      <c r="D13" s="227"/>
      <c r="E13" s="5">
        <v>1</v>
      </c>
      <c r="F13" s="5" t="s">
        <v>337</v>
      </c>
      <c r="G13" s="228"/>
      <c r="H13" s="228">
        <v>0</v>
      </c>
      <c r="I13" s="228"/>
      <c r="J13" s="228"/>
      <c r="K13" s="229">
        <f>IFERROR(VLOOKUP(C13,#REF!,2,0),0)</f>
        <v>0</v>
      </c>
      <c r="L13" s="229"/>
    </row>
    <row r="14" spans="1:13" x14ac:dyDescent="0.25">
      <c r="A14" s="5" t="s">
        <v>61</v>
      </c>
      <c r="B14" s="13" t="e">
        <f t="shared" si="0"/>
        <v>#DIV/0!</v>
      </c>
      <c r="C14" s="5" t="s">
        <v>338</v>
      </c>
      <c r="D14" s="227"/>
      <c r="E14" s="5">
        <v>1</v>
      </c>
      <c r="F14" s="5" t="s">
        <v>339</v>
      </c>
      <c r="G14" s="228"/>
      <c r="H14" s="228">
        <v>0</v>
      </c>
      <c r="I14" s="228"/>
      <c r="J14" s="228"/>
      <c r="K14" s="229">
        <f>IFERROR(VLOOKUP(C14,#REF!,2,0),0)</f>
        <v>0</v>
      </c>
      <c r="L14" s="229"/>
    </row>
    <row r="15" spans="1:13" x14ac:dyDescent="0.25">
      <c r="A15" s="5" t="s">
        <v>61</v>
      </c>
      <c r="B15" s="13" t="e">
        <f t="shared" si="0"/>
        <v>#DIV/0!</v>
      </c>
      <c r="C15" s="5" t="s">
        <v>340</v>
      </c>
      <c r="D15" s="227"/>
      <c r="E15" s="5">
        <v>1</v>
      </c>
      <c r="F15" s="5" t="s">
        <v>341</v>
      </c>
      <c r="G15" s="228"/>
      <c r="H15" s="228">
        <v>0</v>
      </c>
      <c r="I15" s="228"/>
      <c r="J15" s="228"/>
      <c r="K15" s="229">
        <f>IFERROR(VLOOKUP(C15,#REF!,2,0),0)</f>
        <v>0</v>
      </c>
      <c r="L15" s="229"/>
    </row>
    <row r="16" spans="1:13" x14ac:dyDescent="0.25">
      <c r="A16" s="5" t="s">
        <v>61</v>
      </c>
      <c r="B16" s="13" t="e">
        <f t="shared" si="0"/>
        <v>#DIV/0!</v>
      </c>
      <c r="C16" s="5" t="s">
        <v>342</v>
      </c>
      <c r="D16" s="227"/>
      <c r="E16" s="5">
        <v>1</v>
      </c>
      <c r="F16" s="5" t="s">
        <v>343</v>
      </c>
      <c r="G16" s="228"/>
      <c r="H16" s="228"/>
      <c r="I16" s="228"/>
      <c r="J16" s="228"/>
      <c r="K16" s="229">
        <f>IFERROR(VLOOKUP(C16,#REF!,2,0),0)</f>
        <v>0</v>
      </c>
      <c r="L16" s="229"/>
    </row>
    <row r="17" spans="1:13" x14ac:dyDescent="0.25">
      <c r="A17" s="5" t="s">
        <v>61</v>
      </c>
      <c r="B17" s="13" t="e">
        <f t="shared" si="0"/>
        <v>#DIV/0!</v>
      </c>
      <c r="C17" s="5" t="s">
        <v>344</v>
      </c>
      <c r="D17" s="227"/>
      <c r="E17" s="5">
        <v>1</v>
      </c>
      <c r="F17" s="5" t="s">
        <v>345</v>
      </c>
      <c r="G17" s="228"/>
      <c r="H17" s="228">
        <v>0</v>
      </c>
      <c r="I17" s="228"/>
      <c r="J17" s="228"/>
      <c r="K17" s="229">
        <f>IFERROR(VLOOKUP(C17,#REF!,2,0),0)</f>
        <v>0</v>
      </c>
      <c r="L17" s="229"/>
    </row>
    <row r="18" spans="1:13" x14ac:dyDescent="0.25">
      <c r="A18" s="5" t="s">
        <v>61</v>
      </c>
      <c r="B18" s="13" t="e">
        <f t="shared" si="0"/>
        <v>#DIV/0!</v>
      </c>
      <c r="C18" s="5" t="s">
        <v>346</v>
      </c>
      <c r="D18" s="227"/>
      <c r="E18" s="5">
        <v>1</v>
      </c>
      <c r="F18" s="5" t="s">
        <v>347</v>
      </c>
      <c r="G18" s="228"/>
      <c r="H18" s="228">
        <v>0</v>
      </c>
      <c r="I18" s="228"/>
      <c r="J18" s="228"/>
      <c r="K18" s="229">
        <f>IFERROR(VLOOKUP(C18,#REF!,2,0),0)</f>
        <v>0</v>
      </c>
      <c r="L18" s="229"/>
    </row>
    <row r="19" spans="1:13" x14ac:dyDescent="0.25">
      <c r="A19" s="5" t="s">
        <v>61</v>
      </c>
      <c r="B19" s="13" t="e">
        <f t="shared" si="0"/>
        <v>#DIV/0!</v>
      </c>
      <c r="C19" s="5" t="s">
        <v>348</v>
      </c>
      <c r="D19" s="227"/>
      <c r="E19" s="5">
        <v>1</v>
      </c>
      <c r="F19" s="5" t="s">
        <v>349</v>
      </c>
      <c r="G19" s="228"/>
      <c r="H19" s="228"/>
      <c r="I19" s="228"/>
      <c r="J19" s="228"/>
      <c r="K19" s="229">
        <f>IFERROR(VLOOKUP(C19,#REF!,2,0),0)</f>
        <v>0</v>
      </c>
      <c r="L19" s="229"/>
    </row>
    <row r="20" spans="1:13" x14ac:dyDescent="0.25">
      <c r="A20" s="10"/>
      <c r="B20" s="13"/>
      <c r="C20" s="10"/>
      <c r="D20" s="230"/>
      <c r="E20" s="10"/>
      <c r="F20" s="10"/>
      <c r="G20" s="231"/>
      <c r="H20" s="231"/>
      <c r="I20" s="232" t="s">
        <v>350</v>
      </c>
      <c r="J20" s="9" t="e">
        <f>K20/$K$229</f>
        <v>#DIV/0!</v>
      </c>
      <c r="K20" s="233">
        <f>SUM(K2:K19)</f>
        <v>0</v>
      </c>
      <c r="L20" s="233">
        <f>G2-K20</f>
        <v>5000000</v>
      </c>
      <c r="M20" s="5" t="str">
        <f>IF(L20&lt;0,"Excedido","OK")</f>
        <v>OK</v>
      </c>
    </row>
    <row r="21" spans="1:13" x14ac:dyDescent="0.25">
      <c r="A21" s="5" t="s">
        <v>61</v>
      </c>
      <c r="B21" s="13" t="e">
        <f>K21/$K$229</f>
        <v>#DIV/0!</v>
      </c>
      <c r="C21" s="5" t="s">
        <v>351</v>
      </c>
      <c r="D21" s="227"/>
      <c r="E21" s="5">
        <v>4</v>
      </c>
      <c r="F21" s="5" t="s">
        <v>352</v>
      </c>
      <c r="G21" s="228">
        <v>5000000</v>
      </c>
      <c r="H21" s="228">
        <v>0</v>
      </c>
      <c r="I21" s="228"/>
      <c r="J21" s="228"/>
      <c r="K21" s="229">
        <f>IFERROR(VLOOKUP(C21,#REF!,2,0),0)</f>
        <v>0</v>
      </c>
      <c r="L21" s="229"/>
      <c r="M21" s="5"/>
    </row>
    <row r="22" spans="1:13" x14ac:dyDescent="0.25">
      <c r="A22" s="5" t="s">
        <v>61</v>
      </c>
      <c r="B22" s="13" t="e">
        <f>K22/$K$229</f>
        <v>#DIV/0!</v>
      </c>
      <c r="C22" s="5" t="s">
        <v>353</v>
      </c>
      <c r="D22" s="227"/>
      <c r="E22" s="5">
        <v>4</v>
      </c>
      <c r="F22" s="5" t="s">
        <v>354</v>
      </c>
      <c r="G22" s="228"/>
      <c r="H22" s="228">
        <v>0</v>
      </c>
      <c r="I22" s="228"/>
      <c r="J22" s="228"/>
      <c r="K22" s="229">
        <f>IFERROR(VLOOKUP(C22,#REF!,2,0),0)</f>
        <v>0</v>
      </c>
      <c r="L22" s="229"/>
      <c r="M22" s="5"/>
    </row>
    <row r="23" spans="1:13" x14ac:dyDescent="0.25">
      <c r="A23" s="10"/>
      <c r="B23" s="13"/>
      <c r="C23" s="10"/>
      <c r="D23" s="230"/>
      <c r="E23" s="10"/>
      <c r="F23" s="10"/>
      <c r="G23" s="231"/>
      <c r="H23" s="231"/>
      <c r="I23" s="232" t="s">
        <v>350</v>
      </c>
      <c r="J23" s="9" t="e">
        <f>K23/$K$229</f>
        <v>#DIV/0!</v>
      </c>
      <c r="K23" s="233">
        <f>SUM(K21:K22)</f>
        <v>0</v>
      </c>
      <c r="L23" s="233">
        <f>G21-K23</f>
        <v>5000000</v>
      </c>
      <c r="M23" s="5" t="str">
        <f>IF(L23&lt;0,"Excedido","OK")</f>
        <v>OK</v>
      </c>
    </row>
    <row r="24" spans="1:13" x14ac:dyDescent="0.25">
      <c r="A24" s="5" t="s">
        <v>61</v>
      </c>
      <c r="B24" s="13" t="e">
        <f>K24/$K$229</f>
        <v>#DIV/0!</v>
      </c>
      <c r="C24" s="5" t="s">
        <v>62</v>
      </c>
      <c r="D24" s="227"/>
      <c r="E24" s="5">
        <v>2</v>
      </c>
      <c r="F24" s="5" t="s">
        <v>63</v>
      </c>
      <c r="G24" s="228">
        <v>1000000</v>
      </c>
      <c r="H24" s="228">
        <v>0</v>
      </c>
      <c r="I24" s="228">
        <v>0</v>
      </c>
      <c r="J24" s="228"/>
      <c r="K24" s="229">
        <f>IFERROR(VLOOKUP(C24,#REF!,2,0),0)</f>
        <v>0</v>
      </c>
      <c r="L24" s="229"/>
      <c r="M24" s="5"/>
    </row>
    <row r="25" spans="1:13" x14ac:dyDescent="0.25">
      <c r="A25" s="5" t="s">
        <v>61</v>
      </c>
      <c r="B25" s="13" t="e">
        <f>K25/$K$229</f>
        <v>#DIV/0!</v>
      </c>
      <c r="C25" s="5" t="s">
        <v>66</v>
      </c>
      <c r="D25" s="227"/>
      <c r="E25" s="5">
        <v>2</v>
      </c>
      <c r="F25" s="5" t="s">
        <v>67</v>
      </c>
      <c r="G25" s="228"/>
      <c r="H25" s="228">
        <v>0</v>
      </c>
      <c r="I25" s="228">
        <v>0</v>
      </c>
      <c r="J25" s="228"/>
      <c r="K25" s="229">
        <f>IFERROR(VLOOKUP(C25,#REF!,2,0),0)</f>
        <v>0</v>
      </c>
      <c r="L25" s="229"/>
      <c r="M25" s="5"/>
    </row>
    <row r="26" spans="1:13" x14ac:dyDescent="0.25">
      <c r="A26" s="5" t="s">
        <v>61</v>
      </c>
      <c r="B26" s="13" t="e">
        <f>K26/$K$229</f>
        <v>#DIV/0!</v>
      </c>
      <c r="C26" s="5" t="s">
        <v>68</v>
      </c>
      <c r="D26" s="227"/>
      <c r="E26" s="5">
        <v>2</v>
      </c>
      <c r="F26" s="5" t="s">
        <v>69</v>
      </c>
      <c r="G26" s="228"/>
      <c r="H26" s="228">
        <v>0</v>
      </c>
      <c r="I26" s="228">
        <v>0</v>
      </c>
      <c r="J26" s="228"/>
      <c r="K26" s="229">
        <f>IFERROR(VLOOKUP(C26,#REF!,2,0),0)</f>
        <v>0</v>
      </c>
      <c r="L26" s="229"/>
      <c r="M26" s="5"/>
    </row>
    <row r="27" spans="1:13" x14ac:dyDescent="0.25">
      <c r="A27" s="10"/>
      <c r="B27" s="13"/>
      <c r="C27" s="10"/>
      <c r="D27" s="230"/>
      <c r="E27" s="10"/>
      <c r="F27" s="10"/>
      <c r="G27" s="231"/>
      <c r="H27" s="231"/>
      <c r="I27" s="232" t="s">
        <v>350</v>
      </c>
      <c r="J27" s="9" t="e">
        <f>K27/$K$229</f>
        <v>#DIV/0!</v>
      </c>
      <c r="K27" s="233">
        <f>SUM(K24:K26)</f>
        <v>0</v>
      </c>
      <c r="L27" s="233">
        <f>G24-K27</f>
        <v>1000000</v>
      </c>
      <c r="M27" s="5" t="str">
        <f>IF(L27&lt;0,"Excedido","OK")</f>
        <v>OK</v>
      </c>
    </row>
    <row r="28" spans="1:13" x14ac:dyDescent="0.25">
      <c r="A28" s="5" t="s">
        <v>61</v>
      </c>
      <c r="B28" s="13" t="e">
        <f>K28/$K$229</f>
        <v>#DIV/0!</v>
      </c>
      <c r="C28" s="5" t="s">
        <v>355</v>
      </c>
      <c r="D28" s="227"/>
      <c r="E28" s="5">
        <v>3</v>
      </c>
      <c r="F28" s="5" t="s">
        <v>356</v>
      </c>
      <c r="G28" s="228">
        <v>15000000</v>
      </c>
      <c r="H28" s="228">
        <v>4950000</v>
      </c>
      <c r="I28" s="228"/>
      <c r="J28" s="228"/>
      <c r="K28" s="229">
        <f>IFERROR(VLOOKUP(C28,#REF!,2,0),0)</f>
        <v>0</v>
      </c>
      <c r="L28" s="229"/>
      <c r="M28" s="5"/>
    </row>
    <row r="29" spans="1:13" x14ac:dyDescent="0.25">
      <c r="A29" s="5" t="s">
        <v>61</v>
      </c>
      <c r="B29" s="13" t="e">
        <f>K29/$K$229</f>
        <v>#DIV/0!</v>
      </c>
      <c r="C29" s="5" t="s">
        <v>357</v>
      </c>
      <c r="D29" s="227"/>
      <c r="E29" s="5">
        <v>3</v>
      </c>
      <c r="F29" s="5" t="s">
        <v>358</v>
      </c>
      <c r="G29" s="228"/>
      <c r="H29" s="228">
        <v>4950000</v>
      </c>
      <c r="I29" s="228"/>
      <c r="J29" s="228"/>
      <c r="K29" s="229">
        <f>IFERROR(VLOOKUP(C29,#REF!,2,0),0)</f>
        <v>0</v>
      </c>
      <c r="L29" s="229"/>
      <c r="M29" s="5"/>
    </row>
    <row r="30" spans="1:13" x14ac:dyDescent="0.25">
      <c r="A30" s="5" t="s">
        <v>61</v>
      </c>
      <c r="B30" s="13" t="e">
        <f>K30/$K$229</f>
        <v>#DIV/0!</v>
      </c>
      <c r="C30" s="5" t="s">
        <v>359</v>
      </c>
      <c r="D30" s="227"/>
      <c r="E30" s="5">
        <v>3</v>
      </c>
      <c r="F30" s="5" t="s">
        <v>360</v>
      </c>
      <c r="G30" s="228"/>
      <c r="H30" s="228">
        <v>4950000</v>
      </c>
      <c r="I30" s="228"/>
      <c r="J30" s="228"/>
      <c r="K30" s="229">
        <f>IFERROR(VLOOKUP(C30,#REF!,2,0),0)</f>
        <v>0</v>
      </c>
      <c r="L30" s="229"/>
      <c r="M30" s="5"/>
    </row>
    <row r="31" spans="1:13" x14ac:dyDescent="0.25">
      <c r="A31" s="10"/>
      <c r="B31" s="13"/>
      <c r="C31" s="10"/>
      <c r="D31" s="230"/>
      <c r="E31" s="10"/>
      <c r="F31" s="10"/>
      <c r="G31" s="231"/>
      <c r="H31" s="231"/>
      <c r="I31" s="232" t="s">
        <v>350</v>
      </c>
      <c r="J31" s="9" t="e">
        <f>K31/$K$229</f>
        <v>#DIV/0!</v>
      </c>
      <c r="K31" s="233">
        <f>SUM(K28:K30)</f>
        <v>0</v>
      </c>
      <c r="L31" s="233">
        <f>G28-K31</f>
        <v>15000000</v>
      </c>
      <c r="M31" s="5" t="str">
        <f>IF(L31&lt;0,"Excedido","OK")</f>
        <v>OK</v>
      </c>
    </row>
    <row r="32" spans="1:13" x14ac:dyDescent="0.25">
      <c r="A32" s="5" t="s">
        <v>61</v>
      </c>
      <c r="B32" s="13" t="e">
        <f>K32/$K$229</f>
        <v>#DIV/0!</v>
      </c>
      <c r="C32" s="5" t="s">
        <v>361</v>
      </c>
      <c r="D32" s="227"/>
      <c r="E32" s="5">
        <v>5</v>
      </c>
      <c r="F32" s="5" t="s">
        <v>362</v>
      </c>
      <c r="G32" s="228">
        <v>9500000</v>
      </c>
      <c r="H32" s="228">
        <v>5000000</v>
      </c>
      <c r="I32" s="228"/>
      <c r="J32" s="228"/>
      <c r="K32" s="229">
        <f>IFERROR(VLOOKUP(C32,#REF!,2,0),0)</f>
        <v>0</v>
      </c>
      <c r="L32" s="229"/>
      <c r="M32" s="5"/>
    </row>
    <row r="33" spans="1:13" x14ac:dyDescent="0.25">
      <c r="A33" s="5" t="s">
        <v>61</v>
      </c>
      <c r="B33" s="13" t="e">
        <f>K33/$K$229</f>
        <v>#DIV/0!</v>
      </c>
      <c r="C33" s="5" t="s">
        <v>363</v>
      </c>
      <c r="D33" s="227"/>
      <c r="E33" s="5">
        <v>5</v>
      </c>
      <c r="F33" s="5" t="s">
        <v>364</v>
      </c>
      <c r="G33" s="228"/>
      <c r="H33" s="228">
        <v>5000000</v>
      </c>
      <c r="I33" s="228"/>
      <c r="J33" s="228"/>
      <c r="K33" s="229">
        <f>IFERROR(VLOOKUP(C33,#REF!,2,0),0)</f>
        <v>0</v>
      </c>
      <c r="L33" s="229"/>
      <c r="M33" s="5"/>
    </row>
    <row r="34" spans="1:13" x14ac:dyDescent="0.25">
      <c r="A34" s="5" t="s">
        <v>61</v>
      </c>
      <c r="B34" s="13" t="e">
        <f>K34/$K$229</f>
        <v>#DIV/0!</v>
      </c>
      <c r="C34" s="5" t="s">
        <v>365</v>
      </c>
      <c r="D34" s="227"/>
      <c r="E34" s="5">
        <v>5</v>
      </c>
      <c r="F34" s="5" t="s">
        <v>364</v>
      </c>
      <c r="G34" s="228"/>
      <c r="H34" s="228">
        <v>5000000</v>
      </c>
      <c r="I34" s="228"/>
      <c r="J34" s="228"/>
      <c r="K34" s="229">
        <f>IFERROR(VLOOKUP(C34,#REF!,2,0),0)</f>
        <v>0</v>
      </c>
      <c r="L34" s="229"/>
      <c r="M34" s="5"/>
    </row>
    <row r="35" spans="1:13" x14ac:dyDescent="0.25">
      <c r="A35" s="10"/>
      <c r="B35" s="13"/>
      <c r="C35" s="10"/>
      <c r="D35" s="230"/>
      <c r="E35" s="10"/>
      <c r="F35" s="10"/>
      <c r="G35" s="231"/>
      <c r="H35" s="231"/>
      <c r="I35" s="232" t="s">
        <v>350</v>
      </c>
      <c r="J35" s="9" t="e">
        <f>K35/$K$229</f>
        <v>#DIV/0!</v>
      </c>
      <c r="K35" s="233">
        <f>SUM(K32:K34)</f>
        <v>0</v>
      </c>
      <c r="L35" s="233">
        <f>G32-K35</f>
        <v>9500000</v>
      </c>
      <c r="M35" s="5" t="str">
        <f>IF(L35&lt;0,"Excedido","OK")</f>
        <v>OK</v>
      </c>
    </row>
    <row r="36" spans="1:13" x14ac:dyDescent="0.25">
      <c r="A36" s="5" t="s">
        <v>61</v>
      </c>
      <c r="B36" s="13" t="e">
        <f>K36/$K$229</f>
        <v>#DIV/0!</v>
      </c>
      <c r="C36" s="5" t="s">
        <v>72</v>
      </c>
      <c r="D36" s="227"/>
      <c r="E36" s="5">
        <v>6</v>
      </c>
      <c r="F36" s="5" t="s">
        <v>73</v>
      </c>
      <c r="G36" s="228">
        <v>2000000</v>
      </c>
      <c r="H36" s="228"/>
      <c r="I36" s="228"/>
      <c r="J36" s="228"/>
      <c r="K36" s="229">
        <f>IFERROR(VLOOKUP(C36,#REF!,2,0),0)</f>
        <v>0</v>
      </c>
      <c r="L36" s="229"/>
      <c r="M36" s="5"/>
    </row>
    <row r="37" spans="1:13" x14ac:dyDescent="0.25">
      <c r="A37" s="5" t="s">
        <v>61</v>
      </c>
      <c r="B37" s="13" t="e">
        <f>K37/$K$229</f>
        <v>#DIV/0!</v>
      </c>
      <c r="C37" s="5" t="s">
        <v>74</v>
      </c>
      <c r="D37" s="227"/>
      <c r="E37" s="5">
        <v>6</v>
      </c>
      <c r="F37" s="5" t="s">
        <v>73</v>
      </c>
      <c r="G37" s="228"/>
      <c r="H37" s="228">
        <v>2000000</v>
      </c>
      <c r="I37" s="228"/>
      <c r="J37" s="228"/>
      <c r="K37" s="229">
        <f>IFERROR(VLOOKUP(C37,#REF!,2,0),0)</f>
        <v>0</v>
      </c>
      <c r="L37" s="229"/>
      <c r="M37" s="5"/>
    </row>
    <row r="38" spans="1:13" x14ac:dyDescent="0.25">
      <c r="A38" s="10"/>
      <c r="B38" s="13"/>
      <c r="C38" s="10"/>
      <c r="D38" s="230"/>
      <c r="E38" s="10"/>
      <c r="F38" s="10"/>
      <c r="G38" s="231"/>
      <c r="H38" s="231"/>
      <c r="I38" s="232" t="s">
        <v>350</v>
      </c>
      <c r="J38" s="9" t="e">
        <f>K38/$K$229</f>
        <v>#DIV/0!</v>
      </c>
      <c r="K38" s="233">
        <f>SUM(K36:K37)</f>
        <v>0</v>
      </c>
      <c r="L38" s="233">
        <f>G36-K38</f>
        <v>2000000</v>
      </c>
      <c r="M38" s="5" t="str">
        <f>IF(L38&lt;0,"Excedido","OK")</f>
        <v>OK</v>
      </c>
    </row>
    <row r="39" spans="1:13" x14ac:dyDescent="0.25">
      <c r="A39" s="5" t="s">
        <v>61</v>
      </c>
      <c r="B39" s="13" t="e">
        <f>K39/$K$229</f>
        <v>#DIV/0!</v>
      </c>
      <c r="C39" s="5" t="s">
        <v>75</v>
      </c>
      <c r="D39" s="227"/>
      <c r="E39" s="5">
        <v>7</v>
      </c>
      <c r="F39" s="5" t="s">
        <v>76</v>
      </c>
      <c r="G39" s="228">
        <v>9000000</v>
      </c>
      <c r="H39" s="228">
        <v>0</v>
      </c>
      <c r="I39" s="228">
        <v>0</v>
      </c>
      <c r="J39" s="228"/>
      <c r="K39" s="229">
        <f>IFERROR(VLOOKUP(C39,#REF!,2,0),0)</f>
        <v>0</v>
      </c>
      <c r="L39" s="229"/>
      <c r="M39" s="5"/>
    </row>
    <row r="40" spans="1:13" x14ac:dyDescent="0.25">
      <c r="A40" s="5" t="s">
        <v>61</v>
      </c>
      <c r="B40" s="13" t="e">
        <f>K40/$K$229</f>
        <v>#DIV/0!</v>
      </c>
      <c r="C40" s="5" t="s">
        <v>78</v>
      </c>
      <c r="D40" s="227"/>
      <c r="E40" s="5">
        <v>7</v>
      </c>
      <c r="F40" s="5" t="s">
        <v>79</v>
      </c>
      <c r="G40" s="5"/>
      <c r="H40" s="228">
        <v>5200000</v>
      </c>
      <c r="I40" s="228"/>
      <c r="J40" s="228"/>
      <c r="K40" s="229">
        <f>IFERROR(VLOOKUP(C40,#REF!,2,0),0)</f>
        <v>0</v>
      </c>
      <c r="L40" s="229"/>
      <c r="M40" s="5"/>
    </row>
    <row r="41" spans="1:13" x14ac:dyDescent="0.25">
      <c r="A41" s="10"/>
      <c r="B41" s="13"/>
      <c r="C41" s="10"/>
      <c r="D41" s="230"/>
      <c r="E41" s="10"/>
      <c r="F41" s="10"/>
      <c r="G41" s="231"/>
      <c r="H41" s="231"/>
      <c r="I41" s="232" t="s">
        <v>350</v>
      </c>
      <c r="J41" s="9" t="e">
        <f>K41/$K$229</f>
        <v>#DIV/0!</v>
      </c>
      <c r="K41" s="233">
        <f>SUM(K39:K40)</f>
        <v>0</v>
      </c>
      <c r="L41" s="233">
        <f>G39-K41</f>
        <v>9000000</v>
      </c>
      <c r="M41" s="5" t="str">
        <f>IF(L41&lt;0,"Excedido","OK")</f>
        <v>OK</v>
      </c>
    </row>
    <row r="42" spans="1:13" x14ac:dyDescent="0.25">
      <c r="A42" s="5" t="s">
        <v>61</v>
      </c>
      <c r="B42" s="13" t="e">
        <f>K42/$K$229</f>
        <v>#DIV/0!</v>
      </c>
      <c r="C42" s="5" t="s">
        <v>366</v>
      </c>
      <c r="D42" s="227"/>
      <c r="E42" s="5">
        <v>8</v>
      </c>
      <c r="F42" s="5" t="s">
        <v>367</v>
      </c>
      <c r="G42" s="228">
        <v>500000</v>
      </c>
      <c r="H42" s="228">
        <v>1150000</v>
      </c>
      <c r="I42" s="228"/>
      <c r="J42" s="228"/>
      <c r="K42" s="229">
        <f>IFERROR(VLOOKUP(C42,#REF!,2,0),0)</f>
        <v>0</v>
      </c>
      <c r="L42" s="229"/>
      <c r="M42" s="5"/>
    </row>
    <row r="43" spans="1:13" x14ac:dyDescent="0.25">
      <c r="A43" s="5" t="s">
        <v>61</v>
      </c>
      <c r="B43" s="13" t="e">
        <f>K43/$K$229</f>
        <v>#DIV/0!</v>
      </c>
      <c r="C43" s="5" t="s">
        <v>368</v>
      </c>
      <c r="D43" s="227"/>
      <c r="E43" s="5">
        <v>8</v>
      </c>
      <c r="F43" s="5" t="s">
        <v>369</v>
      </c>
      <c r="G43" s="228"/>
      <c r="H43" s="228">
        <v>2500000</v>
      </c>
      <c r="I43" s="228"/>
      <c r="J43" s="228"/>
      <c r="K43" s="229">
        <f>IFERROR(VLOOKUP(C43,#REF!,2,0),0)</f>
        <v>0</v>
      </c>
      <c r="L43" s="229"/>
      <c r="M43" s="5"/>
    </row>
    <row r="44" spans="1:13" x14ac:dyDescent="0.25">
      <c r="A44" s="10"/>
      <c r="B44" s="13"/>
      <c r="C44" s="10"/>
      <c r="D44" s="230"/>
      <c r="E44" s="10"/>
      <c r="F44" s="10"/>
      <c r="G44" s="231"/>
      <c r="H44" s="231"/>
      <c r="I44" s="232" t="s">
        <v>350</v>
      </c>
      <c r="J44" s="9" t="e">
        <f>K44/$K$229</f>
        <v>#DIV/0!</v>
      </c>
      <c r="K44" s="233">
        <f>SUM(K42:K43)</f>
        <v>0</v>
      </c>
      <c r="L44" s="233">
        <f>G42-K44</f>
        <v>500000</v>
      </c>
      <c r="M44" s="5" t="str">
        <f>IF(L44&lt;0,"Excedido","OK")</f>
        <v>OK</v>
      </c>
    </row>
    <row r="45" spans="1:13" x14ac:dyDescent="0.25">
      <c r="A45" s="5" t="s">
        <v>61</v>
      </c>
      <c r="B45" s="13" t="e">
        <f>K45/$K$229</f>
        <v>#DIV/0!</v>
      </c>
      <c r="C45" s="5" t="s">
        <v>370</v>
      </c>
      <c r="D45" s="227"/>
      <c r="E45" s="5">
        <v>9</v>
      </c>
      <c r="F45" s="5" t="s">
        <v>371</v>
      </c>
      <c r="G45" s="228">
        <v>800000</v>
      </c>
      <c r="H45" s="228">
        <v>1000000</v>
      </c>
      <c r="J45" s="228"/>
      <c r="K45" s="229">
        <f>IFERROR(VLOOKUP(C45,#REF!,2,0),0)</f>
        <v>0</v>
      </c>
      <c r="L45" s="229"/>
      <c r="M45" s="5"/>
    </row>
    <row r="46" spans="1:13" x14ac:dyDescent="0.25">
      <c r="A46" s="5" t="s">
        <v>61</v>
      </c>
      <c r="B46" s="13" t="e">
        <f>K46/$K$229</f>
        <v>#DIV/0!</v>
      </c>
      <c r="C46" s="5" t="s">
        <v>372</v>
      </c>
      <c r="D46" s="227"/>
      <c r="E46" s="5">
        <v>9</v>
      </c>
      <c r="F46" s="5" t="s">
        <v>373</v>
      </c>
      <c r="G46" s="228"/>
      <c r="H46" s="228">
        <v>1000000</v>
      </c>
      <c r="I46" s="228"/>
      <c r="J46" s="228"/>
      <c r="K46" s="229">
        <f>IFERROR(VLOOKUP(C46,#REF!,2,0),0)</f>
        <v>0</v>
      </c>
      <c r="L46" s="229"/>
      <c r="M46" s="5"/>
    </row>
    <row r="47" spans="1:13" x14ac:dyDescent="0.25">
      <c r="A47" s="10"/>
      <c r="B47" s="13"/>
      <c r="C47" s="10"/>
      <c r="D47" s="230"/>
      <c r="E47" s="10"/>
      <c r="F47" s="10"/>
      <c r="G47" s="231"/>
      <c r="H47" s="231"/>
      <c r="I47" s="232" t="s">
        <v>350</v>
      </c>
      <c r="J47" s="9" t="e">
        <f>K47/$K$229</f>
        <v>#DIV/0!</v>
      </c>
      <c r="K47" s="233">
        <f>SUM(K45:K46)</f>
        <v>0</v>
      </c>
      <c r="L47" s="233">
        <f>G45-K47</f>
        <v>800000</v>
      </c>
      <c r="M47" s="5" t="str">
        <f>IF(L47&lt;0,"Excedido","OK")</f>
        <v>OK</v>
      </c>
    </row>
    <row r="48" spans="1:13" x14ac:dyDescent="0.25">
      <c r="A48" s="5" t="s">
        <v>61</v>
      </c>
      <c r="B48" s="13" t="e">
        <f>K48/$K$229</f>
        <v>#DIV/0!</v>
      </c>
      <c r="C48" s="5" t="s">
        <v>374</v>
      </c>
      <c r="D48" s="227"/>
      <c r="E48" s="5">
        <v>10</v>
      </c>
      <c r="F48" s="5" t="s">
        <v>375</v>
      </c>
      <c r="G48" s="228">
        <v>600000</v>
      </c>
      <c r="H48" s="228">
        <v>600000</v>
      </c>
      <c r="I48" s="228"/>
      <c r="J48" s="228"/>
      <c r="K48" s="229">
        <f>IFERROR(VLOOKUP(C48,#REF!,2,0),0)</f>
        <v>0</v>
      </c>
      <c r="L48" s="229"/>
      <c r="M48" s="5"/>
    </row>
    <row r="49" spans="1:13" x14ac:dyDescent="0.25">
      <c r="A49" s="5" t="s">
        <v>61</v>
      </c>
      <c r="B49" s="13" t="e">
        <f>K49/$K$229</f>
        <v>#DIV/0!</v>
      </c>
      <c r="C49" s="5" t="s">
        <v>376</v>
      </c>
      <c r="D49" s="227"/>
      <c r="E49" s="5">
        <v>10</v>
      </c>
      <c r="F49" s="5" t="s">
        <v>377</v>
      </c>
      <c r="G49" s="228"/>
      <c r="H49" s="228">
        <v>350000</v>
      </c>
      <c r="I49" s="228"/>
      <c r="J49" s="228"/>
      <c r="K49" s="229">
        <f>IFERROR(VLOOKUP(C49,#REF!,2,0),0)</f>
        <v>0</v>
      </c>
      <c r="L49" s="229"/>
      <c r="M49" s="5"/>
    </row>
    <row r="50" spans="1:13" x14ac:dyDescent="0.25">
      <c r="A50" s="10"/>
      <c r="B50" s="13"/>
      <c r="C50" s="10"/>
      <c r="D50" s="230"/>
      <c r="E50" s="10"/>
      <c r="F50" s="10"/>
      <c r="G50" s="231"/>
      <c r="H50" s="231"/>
      <c r="I50" s="232" t="s">
        <v>350</v>
      </c>
      <c r="J50" s="9" t="e">
        <f>K50/$K$229</f>
        <v>#DIV/0!</v>
      </c>
      <c r="K50" s="233">
        <f>SUM(K48:K49)</f>
        <v>0</v>
      </c>
      <c r="L50" s="233">
        <f>G48-K50</f>
        <v>600000</v>
      </c>
      <c r="M50" s="5" t="str">
        <f>IF(L50&lt;0,"Excedido","OK")</f>
        <v>OK</v>
      </c>
    </row>
    <row r="51" spans="1:13" x14ac:dyDescent="0.25">
      <c r="A51" s="5" t="s">
        <v>61</v>
      </c>
      <c r="B51" s="13" t="e">
        <f>K51/$K$229</f>
        <v>#DIV/0!</v>
      </c>
      <c r="C51" s="5" t="s">
        <v>378</v>
      </c>
      <c r="D51" s="227"/>
      <c r="E51" s="5">
        <v>11</v>
      </c>
      <c r="F51" s="5" t="s">
        <v>379</v>
      </c>
      <c r="G51" s="228">
        <v>4500000</v>
      </c>
      <c r="H51" s="228">
        <v>4500000</v>
      </c>
      <c r="I51" s="228"/>
      <c r="J51" s="228"/>
      <c r="K51" s="229">
        <f>IFERROR(VLOOKUP(C51,#REF!,2,0),0)</f>
        <v>0</v>
      </c>
      <c r="L51" s="229"/>
      <c r="M51" s="5"/>
    </row>
    <row r="52" spans="1:13" x14ac:dyDescent="0.25">
      <c r="A52" s="5" t="s">
        <v>61</v>
      </c>
      <c r="B52" s="13" t="e">
        <f>K52/$K$229</f>
        <v>#DIV/0!</v>
      </c>
      <c r="C52" s="5" t="s">
        <v>380</v>
      </c>
      <c r="D52" s="227"/>
      <c r="E52" s="5">
        <v>11</v>
      </c>
      <c r="F52" s="5" t="s">
        <v>379</v>
      </c>
      <c r="G52" s="228"/>
      <c r="H52" s="228"/>
      <c r="I52" s="228"/>
      <c r="J52" s="228"/>
      <c r="K52" s="229">
        <f>IFERROR(VLOOKUP(C52,#REF!,2,0),0)</f>
        <v>0</v>
      </c>
      <c r="L52" s="229"/>
      <c r="M52" s="5"/>
    </row>
    <row r="53" spans="1:13" x14ac:dyDescent="0.25">
      <c r="A53" s="5" t="s">
        <v>61</v>
      </c>
      <c r="B53" s="13" t="e">
        <f>K53/$K$229</f>
        <v>#DIV/0!</v>
      </c>
      <c r="C53" s="5" t="s">
        <v>381</v>
      </c>
      <c r="D53" s="227"/>
      <c r="E53" s="5">
        <v>11</v>
      </c>
      <c r="F53" s="5" t="s">
        <v>382</v>
      </c>
      <c r="G53" s="228"/>
      <c r="H53" s="228"/>
      <c r="I53" s="228"/>
      <c r="J53" s="228"/>
      <c r="K53" s="229">
        <f>IFERROR(VLOOKUP(C53,#REF!,2,0),0)</f>
        <v>0</v>
      </c>
      <c r="L53" s="229"/>
      <c r="M53" s="5"/>
    </row>
    <row r="54" spans="1:13" x14ac:dyDescent="0.25">
      <c r="A54" s="10"/>
      <c r="B54" s="13"/>
      <c r="C54" s="10"/>
      <c r="D54" s="230"/>
      <c r="E54" s="10"/>
      <c r="F54" s="10"/>
      <c r="G54" s="231"/>
      <c r="H54" s="231"/>
      <c r="I54" s="232" t="s">
        <v>350</v>
      </c>
      <c r="J54" s="9" t="e">
        <f>K54/$K$229</f>
        <v>#DIV/0!</v>
      </c>
      <c r="K54" s="233">
        <f>SUM(K51:K53)</f>
        <v>0</v>
      </c>
      <c r="L54" s="233">
        <f>G51-K54</f>
        <v>4500000</v>
      </c>
      <c r="M54" s="5" t="str">
        <f>IF(L54&lt;0,"Excedido","OK")</f>
        <v>OK</v>
      </c>
    </row>
    <row r="55" spans="1:13" x14ac:dyDescent="0.25">
      <c r="A55" s="5" t="s">
        <v>61</v>
      </c>
      <c r="B55" s="13" t="e">
        <f>K55/$K$229</f>
        <v>#DIV/0!</v>
      </c>
      <c r="C55" s="5" t="s">
        <v>383</v>
      </c>
      <c r="D55" s="227"/>
      <c r="E55" s="5">
        <v>12</v>
      </c>
      <c r="F55" s="5" t="s">
        <v>384</v>
      </c>
      <c r="G55" s="228">
        <v>1700000</v>
      </c>
      <c r="H55" s="228">
        <v>950000</v>
      </c>
      <c r="I55" s="228"/>
      <c r="J55" s="228"/>
      <c r="K55" s="229">
        <f>IFERROR(VLOOKUP(C55,#REF!,2,0),0)</f>
        <v>0</v>
      </c>
      <c r="L55" s="229"/>
      <c r="M55" s="5"/>
    </row>
    <row r="56" spans="1:13" x14ac:dyDescent="0.25">
      <c r="A56" s="5" t="s">
        <v>61</v>
      </c>
      <c r="B56" s="13" t="e">
        <f>K56/$K$229</f>
        <v>#DIV/0!</v>
      </c>
      <c r="C56" s="5" t="s">
        <v>385</v>
      </c>
      <c r="D56" s="227"/>
      <c r="E56" s="5">
        <v>12</v>
      </c>
      <c r="F56" s="5" t="s">
        <v>386</v>
      </c>
      <c r="G56" s="228"/>
      <c r="H56" s="228">
        <v>950000</v>
      </c>
      <c r="I56" s="228"/>
      <c r="J56" s="228"/>
      <c r="K56" s="229">
        <f>IFERROR(VLOOKUP(C56,#REF!,2,0),0)</f>
        <v>0</v>
      </c>
      <c r="L56" s="229"/>
      <c r="M56" s="5"/>
    </row>
    <row r="57" spans="1:13" x14ac:dyDescent="0.25">
      <c r="A57" s="10"/>
      <c r="B57" s="13"/>
      <c r="C57" s="10"/>
      <c r="D57" s="230"/>
      <c r="E57" s="10"/>
      <c r="F57" s="10"/>
      <c r="G57" s="231"/>
      <c r="H57" s="231"/>
      <c r="I57" s="232" t="s">
        <v>350</v>
      </c>
      <c r="J57" s="9" t="e">
        <f>K57/$K$229</f>
        <v>#DIV/0!</v>
      </c>
      <c r="K57" s="233">
        <f>SUM(K55:K56)</f>
        <v>0</v>
      </c>
      <c r="L57" s="233">
        <f>G55-K57</f>
        <v>1700000</v>
      </c>
      <c r="M57" s="5" t="str">
        <f>IF(L57&lt;0,"Excedido","OK")</f>
        <v>OK</v>
      </c>
    </row>
    <row r="58" spans="1:13" x14ac:dyDescent="0.25">
      <c r="A58" s="5" t="s">
        <v>61</v>
      </c>
      <c r="B58" s="13" t="e">
        <f>K58/$K$229</f>
        <v>#DIV/0!</v>
      </c>
      <c r="C58" s="5" t="s">
        <v>80</v>
      </c>
      <c r="D58" s="227"/>
      <c r="E58" s="5">
        <v>13</v>
      </c>
      <c r="F58" s="5" t="s">
        <v>81</v>
      </c>
      <c r="G58" s="228">
        <v>6000000</v>
      </c>
      <c r="H58" s="228">
        <v>3000000</v>
      </c>
      <c r="J58" s="228"/>
      <c r="K58" s="229">
        <f>IFERROR(VLOOKUP(C58,#REF!,2,0),0)</f>
        <v>0</v>
      </c>
      <c r="L58" s="229"/>
      <c r="M58" s="5"/>
    </row>
    <row r="59" spans="1:13" x14ac:dyDescent="0.25">
      <c r="A59" s="5" t="s">
        <v>61</v>
      </c>
      <c r="B59" s="13" t="e">
        <f>K59/$K$229</f>
        <v>#DIV/0!</v>
      </c>
      <c r="C59" s="5" t="s">
        <v>82</v>
      </c>
      <c r="D59" s="227"/>
      <c r="E59" s="5">
        <v>13</v>
      </c>
      <c r="F59" s="5" t="s">
        <v>83</v>
      </c>
      <c r="G59" s="228"/>
      <c r="H59" s="228">
        <v>315000</v>
      </c>
      <c r="I59" s="228"/>
      <c r="J59" s="228"/>
      <c r="K59" s="229">
        <f>IFERROR(VLOOKUP(C59,#REF!,2,0),0)</f>
        <v>0</v>
      </c>
      <c r="L59" s="229"/>
      <c r="M59" s="5"/>
    </row>
    <row r="60" spans="1:13" x14ac:dyDescent="0.25">
      <c r="A60" s="10"/>
      <c r="B60" s="13"/>
      <c r="C60" s="10"/>
      <c r="D60" s="230"/>
      <c r="E60" s="10"/>
      <c r="F60" s="10"/>
      <c r="G60" s="231"/>
      <c r="H60" s="231"/>
      <c r="I60" s="232" t="s">
        <v>350</v>
      </c>
      <c r="J60" s="9" t="e">
        <f t="shared" ref="J60:J76" si="1">K60/$K$229</f>
        <v>#DIV/0!</v>
      </c>
      <c r="K60" s="233">
        <f>SUM(K58:K59)</f>
        <v>0</v>
      </c>
      <c r="L60" s="233">
        <f>SUM(G58:G59)-K60</f>
        <v>6000000</v>
      </c>
      <c r="M60" s="5" t="str">
        <f>IF(L60&lt;0,"Excedido","OK")</f>
        <v>OK</v>
      </c>
    </row>
    <row r="61" spans="1:13" x14ac:dyDescent="0.25">
      <c r="A61" s="5" t="s">
        <v>61</v>
      </c>
      <c r="B61" s="13" t="e">
        <f>K61/$K$229</f>
        <v>#DIV/0!</v>
      </c>
      <c r="C61" s="5" t="s">
        <v>387</v>
      </c>
      <c r="D61" s="227"/>
      <c r="E61" s="5">
        <v>14</v>
      </c>
      <c r="F61" s="5" t="s">
        <v>388</v>
      </c>
      <c r="G61" s="228">
        <v>7000000</v>
      </c>
      <c r="H61" s="228"/>
      <c r="I61" s="228"/>
      <c r="J61" s="228" t="e">
        <f t="shared" si="1"/>
        <v>#DIV/0!</v>
      </c>
      <c r="K61" s="229">
        <f>IFERROR(VLOOKUP(C61,#REF!,2,0),0)</f>
        <v>0</v>
      </c>
      <c r="L61" s="229"/>
      <c r="M61" s="5"/>
    </row>
    <row r="62" spans="1:13" x14ac:dyDescent="0.25">
      <c r="A62" s="5" t="s">
        <v>61</v>
      </c>
      <c r="B62" s="13" t="e">
        <f>K62/$K$229</f>
        <v>#DIV/0!</v>
      </c>
      <c r="C62" s="5" t="s">
        <v>389</v>
      </c>
      <c r="D62" s="227"/>
      <c r="E62" s="5">
        <v>14</v>
      </c>
      <c r="F62" s="5" t="s">
        <v>390</v>
      </c>
      <c r="G62" s="228"/>
      <c r="H62" s="228"/>
      <c r="I62" s="228"/>
      <c r="J62" s="228" t="e">
        <f t="shared" si="1"/>
        <v>#DIV/0!</v>
      </c>
      <c r="K62" s="229">
        <f>IFERROR(VLOOKUP(C62,#REF!,2,0),0)</f>
        <v>0</v>
      </c>
      <c r="L62" s="229"/>
      <c r="M62" s="5"/>
    </row>
    <row r="63" spans="1:13" x14ac:dyDescent="0.25">
      <c r="A63" s="10"/>
      <c r="B63" s="13"/>
      <c r="C63" s="10"/>
      <c r="D63" s="230"/>
      <c r="E63" s="10"/>
      <c r="F63" s="10"/>
      <c r="G63" s="231"/>
      <c r="H63" s="231"/>
      <c r="I63" s="232" t="s">
        <v>350</v>
      </c>
      <c r="J63" s="9" t="e">
        <f t="shared" si="1"/>
        <v>#DIV/0!</v>
      </c>
      <c r="K63" s="233">
        <f>SUM(K61:K62)</f>
        <v>0</v>
      </c>
      <c r="L63" s="233">
        <f>G61-K63</f>
        <v>7000000</v>
      </c>
      <c r="M63" s="5" t="str">
        <f>IF(L63&lt;0,"Excedido","OK")</f>
        <v>OK</v>
      </c>
    </row>
    <row r="64" spans="1:13" x14ac:dyDescent="0.25">
      <c r="A64" s="5" t="s">
        <v>61</v>
      </c>
      <c r="B64" s="13" t="e">
        <f>K64/$K$229</f>
        <v>#DIV/0!</v>
      </c>
      <c r="C64" s="5"/>
      <c r="D64" s="227"/>
      <c r="E64" s="5">
        <v>15</v>
      </c>
      <c r="F64" s="5" t="s">
        <v>391</v>
      </c>
      <c r="G64" s="228">
        <v>300000</v>
      </c>
      <c r="H64" s="228"/>
      <c r="I64" s="228"/>
      <c r="J64" s="228" t="e">
        <f t="shared" si="1"/>
        <v>#DIV/0!</v>
      </c>
      <c r="K64" s="229">
        <f>IFERROR(VLOOKUP(C64,#REF!,2,0),0)</f>
        <v>0</v>
      </c>
      <c r="L64" s="229"/>
      <c r="M64" s="5"/>
    </row>
    <row r="65" spans="1:13" x14ac:dyDescent="0.25">
      <c r="A65" s="5" t="s">
        <v>61</v>
      </c>
      <c r="B65" s="13" t="e">
        <f>K65/$K$229</f>
        <v>#DIV/0!</v>
      </c>
      <c r="C65" s="5"/>
      <c r="D65" s="227"/>
      <c r="E65" s="5">
        <v>15</v>
      </c>
      <c r="F65" s="5" t="s">
        <v>392</v>
      </c>
      <c r="G65" s="228"/>
      <c r="H65" s="228"/>
      <c r="I65" s="228"/>
      <c r="J65" s="228" t="e">
        <f t="shared" si="1"/>
        <v>#DIV/0!</v>
      </c>
      <c r="K65" s="229">
        <f>IFERROR(VLOOKUP(C65,#REF!,2,0),0)</f>
        <v>0</v>
      </c>
      <c r="L65" s="229"/>
      <c r="M65" s="5"/>
    </row>
    <row r="66" spans="1:13" x14ac:dyDescent="0.25">
      <c r="A66" s="10"/>
      <c r="B66" s="13"/>
      <c r="C66" s="10"/>
      <c r="D66" s="230"/>
      <c r="E66" s="10"/>
      <c r="F66" s="10"/>
      <c r="G66" s="231"/>
      <c r="H66" s="231"/>
      <c r="I66" s="232" t="s">
        <v>350</v>
      </c>
      <c r="J66" s="9" t="e">
        <f t="shared" si="1"/>
        <v>#DIV/0!</v>
      </c>
      <c r="K66" s="233">
        <f>SUM(K64:K65)</f>
        <v>0</v>
      </c>
      <c r="L66" s="233">
        <f>G64-K66</f>
        <v>300000</v>
      </c>
      <c r="M66" s="5" t="str">
        <f>IF(L66&lt;0,"Excedido","OK")</f>
        <v>OK</v>
      </c>
    </row>
    <row r="67" spans="1:13" x14ac:dyDescent="0.25">
      <c r="A67" s="5" t="s">
        <v>61</v>
      </c>
      <c r="B67" s="13" t="e">
        <f>K67/$K$229</f>
        <v>#DIV/0!</v>
      </c>
      <c r="C67" s="5" t="s">
        <v>393</v>
      </c>
      <c r="D67" s="227"/>
      <c r="E67" s="5">
        <v>16</v>
      </c>
      <c r="F67" s="5" t="s">
        <v>394</v>
      </c>
      <c r="G67" s="228">
        <v>200000</v>
      </c>
      <c r="H67" s="228">
        <v>200000</v>
      </c>
      <c r="J67" s="228" t="e">
        <f t="shared" si="1"/>
        <v>#DIV/0!</v>
      </c>
      <c r="K67" s="229">
        <f>IFERROR(VLOOKUP(C67,#REF!,2,0),0)</f>
        <v>0</v>
      </c>
      <c r="L67" s="229"/>
      <c r="M67" s="5"/>
    </row>
    <row r="68" spans="1:13" x14ac:dyDescent="0.25">
      <c r="A68" s="5" t="s">
        <v>61</v>
      </c>
      <c r="B68" s="13" t="e">
        <f>K68/$K$229</f>
        <v>#DIV/0!</v>
      </c>
      <c r="C68" s="5" t="s">
        <v>395</v>
      </c>
      <c r="D68" s="227"/>
      <c r="E68" s="5">
        <v>16</v>
      </c>
      <c r="F68" s="5" t="s">
        <v>396</v>
      </c>
      <c r="G68" s="228"/>
      <c r="H68" s="228"/>
      <c r="I68" s="228"/>
      <c r="J68" s="228" t="e">
        <f t="shared" si="1"/>
        <v>#DIV/0!</v>
      </c>
      <c r="K68" s="229">
        <f>IFERROR(VLOOKUP(C68,#REF!,2,0),0)</f>
        <v>0</v>
      </c>
      <c r="L68" s="229"/>
      <c r="M68" s="5"/>
    </row>
    <row r="69" spans="1:13" x14ac:dyDescent="0.25">
      <c r="A69" s="10"/>
      <c r="B69" s="13"/>
      <c r="C69" s="10"/>
      <c r="D69" s="230"/>
      <c r="E69" s="10"/>
      <c r="F69" s="10"/>
      <c r="G69" s="231"/>
      <c r="H69" s="231"/>
      <c r="I69" s="232" t="s">
        <v>350</v>
      </c>
      <c r="J69" s="9" t="e">
        <f t="shared" si="1"/>
        <v>#DIV/0!</v>
      </c>
      <c r="K69" s="233">
        <f>SUM(K67:K68)</f>
        <v>0</v>
      </c>
      <c r="L69" s="233">
        <f>G67-K69</f>
        <v>200000</v>
      </c>
      <c r="M69" s="5" t="str">
        <f>IF(L69&lt;0,"Excedido","OK")</f>
        <v>OK</v>
      </c>
    </row>
    <row r="70" spans="1:13" x14ac:dyDescent="0.25">
      <c r="A70" s="5" t="s">
        <v>61</v>
      </c>
      <c r="B70" s="13" t="e">
        <f>K70/$K$229</f>
        <v>#DIV/0!</v>
      </c>
      <c r="C70" s="5" t="s">
        <v>84</v>
      </c>
      <c r="D70" s="227">
        <v>43100</v>
      </c>
      <c r="E70" s="5"/>
      <c r="F70" s="5" t="s">
        <v>85</v>
      </c>
      <c r="G70" s="228">
        <v>1500000</v>
      </c>
      <c r="H70" s="228">
        <v>2000000</v>
      </c>
      <c r="J70" s="8" t="e">
        <f t="shared" si="1"/>
        <v>#DIV/0!</v>
      </c>
      <c r="K70" s="229">
        <f>IFERROR(VLOOKUP(C70,#REF!,2,0),0)</f>
        <v>0</v>
      </c>
      <c r="L70" s="229"/>
      <c r="M70" s="5"/>
    </row>
    <row r="71" spans="1:13" x14ac:dyDescent="0.25">
      <c r="A71" s="5" t="s">
        <v>61</v>
      </c>
      <c r="B71" s="13" t="e">
        <f>K71/$K$229</f>
        <v>#DIV/0!</v>
      </c>
      <c r="C71" s="5" t="s">
        <v>86</v>
      </c>
      <c r="D71" s="227">
        <v>43100</v>
      </c>
      <c r="E71" s="5"/>
      <c r="F71" s="5" t="s">
        <v>87</v>
      </c>
      <c r="G71" s="228"/>
      <c r="H71" s="228">
        <v>1000000</v>
      </c>
      <c r="I71" s="228"/>
      <c r="J71" s="8" t="e">
        <f t="shared" si="1"/>
        <v>#DIV/0!</v>
      </c>
      <c r="K71" s="229">
        <f>IFERROR(VLOOKUP(C71,#REF!,2,0),0)</f>
        <v>0</v>
      </c>
      <c r="L71" s="229"/>
      <c r="M71" s="5"/>
    </row>
    <row r="72" spans="1:13" x14ac:dyDescent="0.25">
      <c r="A72" s="10"/>
      <c r="B72" s="13"/>
      <c r="C72" s="10"/>
      <c r="D72" s="230"/>
      <c r="E72" s="10"/>
      <c r="F72" s="10"/>
      <c r="G72" s="231"/>
      <c r="H72" s="231"/>
      <c r="I72" s="232" t="s">
        <v>350</v>
      </c>
      <c r="J72" s="9" t="e">
        <f t="shared" si="1"/>
        <v>#DIV/0!</v>
      </c>
      <c r="K72" s="233">
        <f>SUM(K70:K71)</f>
        <v>0</v>
      </c>
      <c r="L72" s="233">
        <f>G70-K72</f>
        <v>1500000</v>
      </c>
      <c r="M72" s="5" t="str">
        <f>IF(L72&lt;0,"Excedido","OK")</f>
        <v>OK</v>
      </c>
    </row>
    <row r="73" spans="1:13" x14ac:dyDescent="0.25">
      <c r="A73" s="5" t="s">
        <v>61</v>
      </c>
      <c r="B73" s="13" t="e">
        <f>K73/$K$229</f>
        <v>#DIV/0!</v>
      </c>
      <c r="C73" s="5" t="s">
        <v>88</v>
      </c>
      <c r="D73" s="227"/>
      <c r="E73" s="5"/>
      <c r="F73" s="5" t="s">
        <v>89</v>
      </c>
      <c r="G73" s="228">
        <v>1500000</v>
      </c>
      <c r="H73" s="228">
        <v>1500000</v>
      </c>
      <c r="J73" s="8" t="e">
        <f t="shared" si="1"/>
        <v>#DIV/0!</v>
      </c>
      <c r="K73" s="229">
        <f>IFERROR(VLOOKUP(C73,#REF!,2,0),0)</f>
        <v>0</v>
      </c>
      <c r="L73" s="229"/>
      <c r="M73" s="5"/>
    </row>
    <row r="74" spans="1:13" x14ac:dyDescent="0.25">
      <c r="A74" s="5" t="s">
        <v>61</v>
      </c>
      <c r="B74" s="13" t="e">
        <f>K74/$K$229</f>
        <v>#DIV/0!</v>
      </c>
      <c r="C74" s="5" t="s">
        <v>90</v>
      </c>
      <c r="D74" s="227"/>
      <c r="E74" s="5"/>
      <c r="F74" s="5" t="s">
        <v>91</v>
      </c>
      <c r="G74" s="228"/>
      <c r="H74" s="228"/>
      <c r="I74" s="228"/>
      <c r="J74" s="8" t="e">
        <f t="shared" si="1"/>
        <v>#DIV/0!</v>
      </c>
      <c r="K74" s="229">
        <f>IFERROR(VLOOKUP(C74,#REF!,2,0),0)</f>
        <v>0</v>
      </c>
      <c r="L74" s="229"/>
      <c r="M74" s="5"/>
    </row>
    <row r="75" spans="1:13" x14ac:dyDescent="0.25">
      <c r="A75" s="10"/>
      <c r="B75" s="13"/>
      <c r="C75" s="10"/>
      <c r="D75" s="230"/>
      <c r="E75" s="10"/>
      <c r="F75" s="10"/>
      <c r="G75" s="231"/>
      <c r="H75" s="231"/>
      <c r="I75" s="232" t="s">
        <v>350</v>
      </c>
      <c r="J75" s="9" t="e">
        <f t="shared" si="1"/>
        <v>#DIV/0!</v>
      </c>
      <c r="K75" s="233">
        <f>SUM(K73:K74)</f>
        <v>0</v>
      </c>
      <c r="L75" s="233">
        <f>G73-K75</f>
        <v>1500000</v>
      </c>
      <c r="M75" s="5" t="str">
        <f>IF(L75&lt;0,"Excedido","OK")</f>
        <v>OK</v>
      </c>
    </row>
    <row r="76" spans="1:13" x14ac:dyDescent="0.25">
      <c r="A76" s="5" t="s">
        <v>61</v>
      </c>
      <c r="B76" s="13" t="e">
        <f>K76/$K$229</f>
        <v>#DIV/0!</v>
      </c>
      <c r="C76" s="5" t="s">
        <v>92</v>
      </c>
      <c r="D76" s="227"/>
      <c r="E76" s="5"/>
      <c r="F76" s="5" t="s">
        <v>93</v>
      </c>
      <c r="G76" s="228"/>
      <c r="H76" s="228">
        <v>500000</v>
      </c>
      <c r="I76" s="228">
        <v>500000</v>
      </c>
      <c r="J76" s="8" t="e">
        <f t="shared" si="1"/>
        <v>#DIV/0!</v>
      </c>
      <c r="K76" s="229">
        <f>IFERROR(VLOOKUP(C76,#REF!,2,0),0)</f>
        <v>0</v>
      </c>
      <c r="L76" s="229">
        <f t="shared" ref="L76:L107" si="2">I76-K76</f>
        <v>500000</v>
      </c>
      <c r="M76" s="5" t="str">
        <f>IF(L76&lt;0,"Excedido","OK")</f>
        <v>OK</v>
      </c>
    </row>
    <row r="77" spans="1:13" x14ac:dyDescent="0.25">
      <c r="A77" s="5" t="s">
        <v>61</v>
      </c>
      <c r="B77" s="13"/>
      <c r="C77" s="5" t="s">
        <v>94</v>
      </c>
      <c r="D77" s="227"/>
      <c r="E77" s="5"/>
      <c r="F77" s="5" t="s">
        <v>95</v>
      </c>
      <c r="G77" s="228"/>
      <c r="H77" s="228"/>
      <c r="I77" s="228">
        <v>160000</v>
      </c>
      <c r="J77" s="8"/>
      <c r="K77" s="229">
        <f>IFERROR(VLOOKUP(C77,#REF!,2,0),0)</f>
        <v>0</v>
      </c>
      <c r="L77" s="229">
        <f t="shared" si="2"/>
        <v>160000</v>
      </c>
      <c r="M77" s="5" t="str">
        <f>IF(L77&lt;0,"Excedido","OK")</f>
        <v>OK</v>
      </c>
    </row>
    <row r="78" spans="1:13" x14ac:dyDescent="0.25">
      <c r="A78" s="5" t="s">
        <v>61</v>
      </c>
      <c r="B78" s="13" t="e">
        <f t="shared" ref="B78:B87" si="3">K78/$K$229</f>
        <v>#DIV/0!</v>
      </c>
      <c r="C78" s="5" t="s">
        <v>397</v>
      </c>
      <c r="D78" s="227"/>
      <c r="E78" s="5"/>
      <c r="F78" s="5" t="s">
        <v>398</v>
      </c>
      <c r="G78" s="228"/>
      <c r="H78" s="228">
        <v>0</v>
      </c>
      <c r="I78" s="228">
        <v>0</v>
      </c>
      <c r="J78" s="8" t="e">
        <f>K78/$K$229</f>
        <v>#DIV/0!</v>
      </c>
      <c r="K78" s="229">
        <f>IFERROR(VLOOKUP(C78,#REF!,2,0),0)</f>
        <v>0</v>
      </c>
      <c r="L78" s="229">
        <f t="shared" si="2"/>
        <v>0</v>
      </c>
      <c r="M78" s="5" t="s">
        <v>399</v>
      </c>
    </row>
    <row r="79" spans="1:13" x14ac:dyDescent="0.25">
      <c r="A79" s="5" t="s">
        <v>61</v>
      </c>
      <c r="B79" s="13" t="e">
        <f t="shared" si="3"/>
        <v>#DIV/0!</v>
      </c>
      <c r="C79" s="5" t="s">
        <v>97</v>
      </c>
      <c r="D79" s="227"/>
      <c r="E79" s="5"/>
      <c r="F79" s="5" t="s">
        <v>98</v>
      </c>
      <c r="G79" s="228"/>
      <c r="H79" s="228">
        <v>700000</v>
      </c>
      <c r="I79" s="228">
        <v>700000</v>
      </c>
      <c r="J79" s="8" t="e">
        <f>K79/$K$229</f>
        <v>#DIV/0!</v>
      </c>
      <c r="K79" s="229">
        <f>IFERROR(VLOOKUP(C79,#REF!,2,0),0)</f>
        <v>0</v>
      </c>
      <c r="L79" s="229">
        <f t="shared" si="2"/>
        <v>700000</v>
      </c>
      <c r="M79" s="5" t="str">
        <f>IF(L79&lt;0,"Excedido","OK")</f>
        <v>OK</v>
      </c>
    </row>
    <row r="80" spans="1:13" x14ac:dyDescent="0.25">
      <c r="A80" s="5" t="s">
        <v>61</v>
      </c>
      <c r="B80" s="13" t="e">
        <f t="shared" si="3"/>
        <v>#DIV/0!</v>
      </c>
      <c r="C80" s="5" t="s">
        <v>99</v>
      </c>
      <c r="D80" s="227"/>
      <c r="E80" s="5"/>
      <c r="F80" s="5" t="s">
        <v>100</v>
      </c>
      <c r="G80" s="228"/>
      <c r="H80" s="228">
        <v>1500000</v>
      </c>
      <c r="I80" s="228">
        <v>1500000</v>
      </c>
      <c r="J80" s="8" t="e">
        <f>K80/$K$229</f>
        <v>#DIV/0!</v>
      </c>
      <c r="K80" s="229">
        <f>IFERROR(VLOOKUP(C80,#REF!,2,0),0)</f>
        <v>0</v>
      </c>
      <c r="L80" s="229">
        <f t="shared" si="2"/>
        <v>1500000</v>
      </c>
      <c r="M80" s="5" t="str">
        <f>IF(L80&lt;0,"Excedido","OK")</f>
        <v>OK</v>
      </c>
    </row>
    <row r="81" spans="1:13" x14ac:dyDescent="0.25">
      <c r="A81" s="5" t="s">
        <v>61</v>
      </c>
      <c r="B81" s="13" t="e">
        <f t="shared" si="3"/>
        <v>#DIV/0!</v>
      </c>
      <c r="C81" s="5" t="s">
        <v>400</v>
      </c>
      <c r="D81" s="227"/>
      <c r="E81" s="5"/>
      <c r="F81" s="5" t="s">
        <v>401</v>
      </c>
      <c r="G81" s="228"/>
      <c r="H81" s="228"/>
      <c r="I81" s="228"/>
      <c r="J81" s="8"/>
      <c r="K81" s="229">
        <f>IFERROR(VLOOKUP(C81,#REF!,2,0),0)</f>
        <v>0</v>
      </c>
      <c r="L81" s="229">
        <f t="shared" si="2"/>
        <v>0</v>
      </c>
      <c r="M81" s="5" t="str">
        <f>IF(L81&lt;0,"Excedido","OK")</f>
        <v>OK</v>
      </c>
    </row>
    <row r="82" spans="1:13" x14ac:dyDescent="0.25">
      <c r="A82" s="5" t="s">
        <v>61</v>
      </c>
      <c r="B82" s="13" t="e">
        <f t="shared" si="3"/>
        <v>#DIV/0!</v>
      </c>
      <c r="C82" s="5" t="s">
        <v>101</v>
      </c>
      <c r="D82" s="227"/>
      <c r="E82" s="5"/>
      <c r="F82" s="5" t="s">
        <v>102</v>
      </c>
      <c r="G82" s="228"/>
      <c r="H82" s="228">
        <v>1500000</v>
      </c>
      <c r="I82" s="228">
        <v>0</v>
      </c>
      <c r="J82" s="8" t="e">
        <f t="shared" ref="J82:J87" si="4">K82/$K$229</f>
        <v>#DIV/0!</v>
      </c>
      <c r="K82" s="229">
        <f>IFERROR(VLOOKUP(C82,#REF!,2,0),0)</f>
        <v>0</v>
      </c>
      <c r="L82" s="229">
        <f t="shared" si="2"/>
        <v>0</v>
      </c>
      <c r="M82" s="5" t="str">
        <f>IF(L82&lt;0,"Excedido","OK")</f>
        <v>OK</v>
      </c>
    </row>
    <row r="83" spans="1:13" x14ac:dyDescent="0.25">
      <c r="A83" s="5" t="s">
        <v>61</v>
      </c>
      <c r="B83" s="13" t="e">
        <f t="shared" si="3"/>
        <v>#DIV/0!</v>
      </c>
      <c r="C83" s="5" t="s">
        <v>402</v>
      </c>
      <c r="D83" s="227"/>
      <c r="E83" s="5"/>
      <c r="F83" s="5" t="s">
        <v>403</v>
      </c>
      <c r="G83" s="228"/>
      <c r="H83" s="228">
        <v>0</v>
      </c>
      <c r="I83" s="228">
        <v>0</v>
      </c>
      <c r="J83" s="8" t="e">
        <f t="shared" si="4"/>
        <v>#DIV/0!</v>
      </c>
      <c r="K83" s="229">
        <f>IFERROR(VLOOKUP(C83,#REF!,2,0),0)</f>
        <v>0</v>
      </c>
      <c r="L83" s="229">
        <f t="shared" si="2"/>
        <v>0</v>
      </c>
      <c r="M83" s="5" t="s">
        <v>399</v>
      </c>
    </row>
    <row r="84" spans="1:13" x14ac:dyDescent="0.25">
      <c r="A84" s="5" t="s">
        <v>61</v>
      </c>
      <c r="B84" s="13" t="e">
        <f t="shared" si="3"/>
        <v>#DIV/0!</v>
      </c>
      <c r="C84" s="5">
        <v>0</v>
      </c>
      <c r="D84" s="227"/>
      <c r="E84" s="5"/>
      <c r="F84" s="5" t="s">
        <v>103</v>
      </c>
      <c r="G84" s="228"/>
      <c r="H84" s="228">
        <v>100000</v>
      </c>
      <c r="I84" s="228">
        <v>100000</v>
      </c>
      <c r="J84" s="8" t="e">
        <f t="shared" si="4"/>
        <v>#DIV/0!</v>
      </c>
      <c r="K84" s="229">
        <f>IFERROR(VLOOKUP(C84,#REF!,2,0),0)</f>
        <v>0</v>
      </c>
      <c r="L84" s="229">
        <f t="shared" si="2"/>
        <v>100000</v>
      </c>
      <c r="M84" s="5" t="str">
        <f t="shared" ref="M84:M89" si="5">IF(L84&lt;0,"Excedido","OK")</f>
        <v>OK</v>
      </c>
    </row>
    <row r="85" spans="1:13" x14ac:dyDescent="0.25">
      <c r="A85" s="5" t="s">
        <v>61</v>
      </c>
      <c r="B85" s="13" t="e">
        <f t="shared" si="3"/>
        <v>#DIV/0!</v>
      </c>
      <c r="C85" s="5" t="s">
        <v>104</v>
      </c>
      <c r="D85" s="227"/>
      <c r="E85" s="5"/>
      <c r="F85" s="5" t="s">
        <v>105</v>
      </c>
      <c r="G85" s="228"/>
      <c r="H85" s="228"/>
      <c r="I85" s="228">
        <v>600000</v>
      </c>
      <c r="J85" s="8" t="e">
        <f t="shared" si="4"/>
        <v>#DIV/0!</v>
      </c>
      <c r="K85" s="229">
        <f>IFERROR(VLOOKUP(C85,#REF!,2,0),0)</f>
        <v>0</v>
      </c>
      <c r="L85" s="229">
        <f t="shared" si="2"/>
        <v>600000</v>
      </c>
      <c r="M85" s="5" t="str">
        <f t="shared" si="5"/>
        <v>OK</v>
      </c>
    </row>
    <row r="86" spans="1:13" x14ac:dyDescent="0.25">
      <c r="A86" s="5" t="s">
        <v>61</v>
      </c>
      <c r="B86" s="13" t="e">
        <f t="shared" si="3"/>
        <v>#DIV/0!</v>
      </c>
      <c r="C86" s="5" t="s">
        <v>404</v>
      </c>
      <c r="D86" s="227"/>
      <c r="E86" s="5"/>
      <c r="F86" s="5" t="s">
        <v>405</v>
      </c>
      <c r="G86" s="228"/>
      <c r="H86" s="228"/>
      <c r="I86" s="228"/>
      <c r="J86" s="8" t="e">
        <f t="shared" si="4"/>
        <v>#DIV/0!</v>
      </c>
      <c r="K86" s="229">
        <f>IFERROR(VLOOKUP(C86,#REF!,2,0),0)</f>
        <v>0</v>
      </c>
      <c r="L86" s="229">
        <f t="shared" si="2"/>
        <v>0</v>
      </c>
      <c r="M86" s="5" t="str">
        <f t="shared" si="5"/>
        <v>OK</v>
      </c>
    </row>
    <row r="87" spans="1:13" x14ac:dyDescent="0.25">
      <c r="A87" s="5" t="s">
        <v>61</v>
      </c>
      <c r="B87" s="13" t="e">
        <f t="shared" si="3"/>
        <v>#DIV/0!</v>
      </c>
      <c r="C87" s="5" t="s">
        <v>106</v>
      </c>
      <c r="D87" s="227"/>
      <c r="E87" s="5"/>
      <c r="F87" s="5" t="s">
        <v>107</v>
      </c>
      <c r="G87" s="228"/>
      <c r="H87" s="228">
        <v>1250000</v>
      </c>
      <c r="I87" s="228">
        <v>1000000</v>
      </c>
      <c r="J87" s="8" t="e">
        <f t="shared" si="4"/>
        <v>#DIV/0!</v>
      </c>
      <c r="K87" s="229">
        <f>IFERROR(VLOOKUP(C87,#REF!,2,0),0)</f>
        <v>0</v>
      </c>
      <c r="L87" s="229">
        <f t="shared" si="2"/>
        <v>1000000</v>
      </c>
      <c r="M87" s="5" t="str">
        <f t="shared" si="5"/>
        <v>OK</v>
      </c>
    </row>
    <row r="88" spans="1:13" x14ac:dyDescent="0.25">
      <c r="A88" s="5" t="s">
        <v>61</v>
      </c>
      <c r="B88" s="13"/>
      <c r="C88" s="5" t="s">
        <v>406</v>
      </c>
      <c r="D88" s="227"/>
      <c r="E88" s="5"/>
      <c r="F88" s="5" t="s">
        <v>407</v>
      </c>
      <c r="G88" s="228"/>
      <c r="H88" s="228"/>
      <c r="I88" s="228">
        <v>1000000</v>
      </c>
      <c r="J88" s="8"/>
      <c r="K88" s="229">
        <f>IFERROR(VLOOKUP(C88,#REF!,2,0),0)</f>
        <v>0</v>
      </c>
      <c r="L88" s="229">
        <f t="shared" si="2"/>
        <v>1000000</v>
      </c>
      <c r="M88" s="5" t="str">
        <f t="shared" si="5"/>
        <v>OK</v>
      </c>
    </row>
    <row r="89" spans="1:13" x14ac:dyDescent="0.25">
      <c r="A89" s="5" t="s">
        <v>61</v>
      </c>
      <c r="B89" s="13" t="e">
        <f t="shared" ref="B89:B99" si="6">K89/$K$229</f>
        <v>#DIV/0!</v>
      </c>
      <c r="C89" s="5" t="s">
        <v>108</v>
      </c>
      <c r="D89" s="227">
        <v>43100</v>
      </c>
      <c r="E89" s="5"/>
      <c r="F89" s="5" t="s">
        <v>109</v>
      </c>
      <c r="G89" s="228"/>
      <c r="H89" s="228">
        <v>3000000</v>
      </c>
      <c r="I89" s="228">
        <v>3000000</v>
      </c>
      <c r="J89" s="8" t="e">
        <f t="shared" ref="J89:J99" si="7">K89/$K$229</f>
        <v>#DIV/0!</v>
      </c>
      <c r="K89" s="229">
        <f>IFERROR(VLOOKUP(C89,#REF!,2,0),0)</f>
        <v>0</v>
      </c>
      <c r="L89" s="229">
        <f t="shared" si="2"/>
        <v>3000000</v>
      </c>
      <c r="M89" s="5" t="str">
        <f t="shared" si="5"/>
        <v>OK</v>
      </c>
    </row>
    <row r="90" spans="1:13" x14ac:dyDescent="0.25">
      <c r="A90" s="5" t="s">
        <v>61</v>
      </c>
      <c r="B90" s="13" t="e">
        <f t="shared" si="6"/>
        <v>#DIV/0!</v>
      </c>
      <c r="C90" s="5" t="s">
        <v>408</v>
      </c>
      <c r="D90" s="227"/>
      <c r="E90" s="5"/>
      <c r="F90" s="5" t="s">
        <v>409</v>
      </c>
      <c r="G90" s="228"/>
      <c r="H90" s="228"/>
      <c r="I90" s="228"/>
      <c r="J90" s="8" t="e">
        <f t="shared" si="7"/>
        <v>#DIV/0!</v>
      </c>
      <c r="K90" s="229">
        <f>IFERROR(VLOOKUP(C90,#REF!,2,0),0)</f>
        <v>0</v>
      </c>
      <c r="L90" s="229">
        <f t="shared" si="2"/>
        <v>0</v>
      </c>
      <c r="M90" s="5" t="s">
        <v>399</v>
      </c>
    </row>
    <row r="91" spans="1:13" x14ac:dyDescent="0.25">
      <c r="A91" s="5" t="s">
        <v>61</v>
      </c>
      <c r="B91" s="13" t="e">
        <f t="shared" si="6"/>
        <v>#DIV/0!</v>
      </c>
      <c r="C91" s="5" t="s">
        <v>110</v>
      </c>
      <c r="D91" s="227"/>
      <c r="E91" s="5"/>
      <c r="F91" s="5" t="s">
        <v>111</v>
      </c>
      <c r="G91" s="228"/>
      <c r="H91" s="228">
        <v>1000000</v>
      </c>
      <c r="I91" s="228">
        <v>0</v>
      </c>
      <c r="J91" s="8" t="e">
        <f t="shared" si="7"/>
        <v>#DIV/0!</v>
      </c>
      <c r="K91" s="229">
        <f>IFERROR(VLOOKUP(C91,#REF!,2,0),0)</f>
        <v>0</v>
      </c>
      <c r="L91" s="229">
        <f t="shared" si="2"/>
        <v>0</v>
      </c>
      <c r="M91" s="5" t="str">
        <f>IF(L91&lt;0,"Excedido","OK")</f>
        <v>OK</v>
      </c>
    </row>
    <row r="92" spans="1:13" x14ac:dyDescent="0.25">
      <c r="A92" s="5" t="s">
        <v>61</v>
      </c>
      <c r="B92" s="13" t="e">
        <f t="shared" si="6"/>
        <v>#DIV/0!</v>
      </c>
      <c r="C92" s="5" t="s">
        <v>410</v>
      </c>
      <c r="D92" s="227"/>
      <c r="E92" s="5"/>
      <c r="F92" s="5" t="s">
        <v>411</v>
      </c>
      <c r="G92" s="228"/>
      <c r="H92" s="228"/>
      <c r="I92" s="228"/>
      <c r="J92" s="8" t="e">
        <f t="shared" si="7"/>
        <v>#DIV/0!</v>
      </c>
      <c r="K92" s="229">
        <f>IFERROR(VLOOKUP(C92,#REF!,2,0),0)</f>
        <v>0</v>
      </c>
      <c r="L92" s="229">
        <f t="shared" si="2"/>
        <v>0</v>
      </c>
      <c r="M92" s="5" t="s">
        <v>399</v>
      </c>
    </row>
    <row r="93" spans="1:13" x14ac:dyDescent="0.25">
      <c r="A93" s="5" t="s">
        <v>61</v>
      </c>
      <c r="B93" s="13" t="e">
        <f t="shared" si="6"/>
        <v>#DIV/0!</v>
      </c>
      <c r="C93" s="5" t="s">
        <v>112</v>
      </c>
      <c r="D93" s="227"/>
      <c r="E93" s="5"/>
      <c r="F93" s="5" t="s">
        <v>113</v>
      </c>
      <c r="G93" s="228"/>
      <c r="H93" s="228">
        <v>1500000</v>
      </c>
      <c r="I93" s="228">
        <v>1500000</v>
      </c>
      <c r="J93" s="8" t="e">
        <f t="shared" si="7"/>
        <v>#DIV/0!</v>
      </c>
      <c r="K93" s="229">
        <f>IFERROR(VLOOKUP(C93,#REF!,2,0),0)</f>
        <v>0</v>
      </c>
      <c r="L93" s="229">
        <f t="shared" si="2"/>
        <v>1500000</v>
      </c>
      <c r="M93" s="5" t="str">
        <f t="shared" ref="M93:M106" si="8">IF(L93&lt;0,"Excedido","OK")</f>
        <v>OK</v>
      </c>
    </row>
    <row r="94" spans="1:13" x14ac:dyDescent="0.25">
      <c r="A94" s="5" t="s">
        <v>61</v>
      </c>
      <c r="B94" s="13" t="e">
        <f t="shared" si="6"/>
        <v>#DIV/0!</v>
      </c>
      <c r="C94" s="5" t="s">
        <v>114</v>
      </c>
      <c r="D94" s="227"/>
      <c r="E94" s="5"/>
      <c r="F94" s="5" t="s">
        <v>115</v>
      </c>
      <c r="G94" s="228"/>
      <c r="H94" s="228"/>
      <c r="I94" s="228">
        <v>400000</v>
      </c>
      <c r="J94" s="8" t="e">
        <f t="shared" si="7"/>
        <v>#DIV/0!</v>
      </c>
      <c r="K94" s="229">
        <f>IFERROR(VLOOKUP(C94,#REF!,2,0),0)</f>
        <v>0</v>
      </c>
      <c r="L94" s="229">
        <f t="shared" si="2"/>
        <v>400000</v>
      </c>
      <c r="M94" s="5" t="str">
        <f t="shared" si="8"/>
        <v>OK</v>
      </c>
    </row>
    <row r="95" spans="1:13" x14ac:dyDescent="0.25">
      <c r="A95" s="5" t="s">
        <v>61</v>
      </c>
      <c r="B95" s="13" t="e">
        <f t="shared" si="6"/>
        <v>#DIV/0!</v>
      </c>
      <c r="C95" s="5" t="s">
        <v>116</v>
      </c>
      <c r="D95" s="227"/>
      <c r="E95" s="5"/>
      <c r="F95" s="5" t="s">
        <v>117</v>
      </c>
      <c r="G95" s="228"/>
      <c r="H95" s="228">
        <v>1500000</v>
      </c>
      <c r="I95" s="228">
        <v>1500000</v>
      </c>
      <c r="J95" s="8" t="e">
        <f t="shared" si="7"/>
        <v>#DIV/0!</v>
      </c>
      <c r="K95" s="229">
        <f>IFERROR(VLOOKUP(C95,#REF!,2,0),0)</f>
        <v>0</v>
      </c>
      <c r="L95" s="229">
        <f t="shared" si="2"/>
        <v>1500000</v>
      </c>
      <c r="M95" s="5" t="str">
        <f t="shared" si="8"/>
        <v>OK</v>
      </c>
    </row>
    <row r="96" spans="1:13" x14ac:dyDescent="0.25">
      <c r="A96" s="5" t="s">
        <v>61</v>
      </c>
      <c r="B96" s="13" t="e">
        <f t="shared" si="6"/>
        <v>#DIV/0!</v>
      </c>
      <c r="C96" s="5" t="s">
        <v>118</v>
      </c>
      <c r="D96" s="227"/>
      <c r="E96" s="5"/>
      <c r="F96" s="5" t="s">
        <v>119</v>
      </c>
      <c r="G96" s="228"/>
      <c r="H96" s="228"/>
      <c r="I96" s="228">
        <v>250000</v>
      </c>
      <c r="J96" s="8" t="e">
        <f t="shared" si="7"/>
        <v>#DIV/0!</v>
      </c>
      <c r="K96" s="229">
        <f>IFERROR(VLOOKUP(C96,#REF!,2,0),0)</f>
        <v>0</v>
      </c>
      <c r="L96" s="229">
        <f t="shared" si="2"/>
        <v>250000</v>
      </c>
      <c r="M96" s="5" t="str">
        <f t="shared" si="8"/>
        <v>OK</v>
      </c>
    </row>
    <row r="97" spans="1:13" x14ac:dyDescent="0.25">
      <c r="A97" s="5" t="s">
        <v>61</v>
      </c>
      <c r="B97" s="13" t="e">
        <f t="shared" si="6"/>
        <v>#DIV/0!</v>
      </c>
      <c r="C97" s="5" t="s">
        <v>120</v>
      </c>
      <c r="D97" s="227"/>
      <c r="E97" s="5"/>
      <c r="F97" s="5" t="s">
        <v>121</v>
      </c>
      <c r="G97" s="228"/>
      <c r="H97" s="228"/>
      <c r="I97" s="228">
        <v>200000</v>
      </c>
      <c r="J97" s="8" t="e">
        <f t="shared" si="7"/>
        <v>#DIV/0!</v>
      </c>
      <c r="K97" s="229">
        <f>IFERROR(VLOOKUP(C97,#REF!,2,0),0)</f>
        <v>0</v>
      </c>
      <c r="L97" s="229">
        <f t="shared" si="2"/>
        <v>200000</v>
      </c>
      <c r="M97" s="5" t="str">
        <f t="shared" si="8"/>
        <v>OK</v>
      </c>
    </row>
    <row r="98" spans="1:13" x14ac:dyDescent="0.25">
      <c r="A98" s="5" t="s">
        <v>61</v>
      </c>
      <c r="B98" s="13" t="e">
        <f t="shared" si="6"/>
        <v>#DIV/0!</v>
      </c>
      <c r="C98" s="5" t="s">
        <v>122</v>
      </c>
      <c r="D98" s="227"/>
      <c r="E98" s="5"/>
      <c r="F98" s="5" t="s">
        <v>123</v>
      </c>
      <c r="G98" s="228"/>
      <c r="H98" s="228">
        <v>3000000</v>
      </c>
      <c r="I98" s="228">
        <v>3000000</v>
      </c>
      <c r="J98" s="8" t="e">
        <f t="shared" si="7"/>
        <v>#DIV/0!</v>
      </c>
      <c r="K98" s="229">
        <f>IFERROR(VLOOKUP(C98,#REF!,2,0),0)</f>
        <v>0</v>
      </c>
      <c r="L98" s="229">
        <f t="shared" si="2"/>
        <v>3000000</v>
      </c>
      <c r="M98" s="5" t="str">
        <f t="shared" si="8"/>
        <v>OK</v>
      </c>
    </row>
    <row r="99" spans="1:13" x14ac:dyDescent="0.25">
      <c r="A99" s="5" t="s">
        <v>61</v>
      </c>
      <c r="B99" s="13" t="e">
        <f t="shared" si="6"/>
        <v>#DIV/0!</v>
      </c>
      <c r="C99" s="5" t="s">
        <v>124</v>
      </c>
      <c r="D99" s="227"/>
      <c r="E99" s="5"/>
      <c r="F99" s="5" t="s">
        <v>125</v>
      </c>
      <c r="G99" s="228"/>
      <c r="H99" s="228">
        <v>1100000</v>
      </c>
      <c r="I99" s="228">
        <v>1100000</v>
      </c>
      <c r="J99" s="8" t="e">
        <f t="shared" si="7"/>
        <v>#DIV/0!</v>
      </c>
      <c r="K99" s="229">
        <f>IFERROR(VLOOKUP(C99,#REF!,2,0),0)</f>
        <v>0</v>
      </c>
      <c r="L99" s="229">
        <f t="shared" si="2"/>
        <v>1100000</v>
      </c>
      <c r="M99" s="5" t="str">
        <f t="shared" si="8"/>
        <v>OK</v>
      </c>
    </row>
    <row r="100" spans="1:13" x14ac:dyDescent="0.25">
      <c r="A100" s="5" t="s">
        <v>61</v>
      </c>
      <c r="B100" s="13"/>
      <c r="C100" s="5" t="s">
        <v>412</v>
      </c>
      <c r="D100" s="227"/>
      <c r="E100" s="5"/>
      <c r="F100" s="5" t="s">
        <v>413</v>
      </c>
      <c r="G100" s="228"/>
      <c r="H100" s="228"/>
      <c r="I100" s="228">
        <v>560000</v>
      </c>
      <c r="J100" s="8"/>
      <c r="K100" s="229">
        <f>IFERROR(VLOOKUP(C100,#REF!,2,0),0)</f>
        <v>0</v>
      </c>
      <c r="L100" s="229">
        <f t="shared" si="2"/>
        <v>560000</v>
      </c>
      <c r="M100" s="5" t="str">
        <f t="shared" si="8"/>
        <v>OK</v>
      </c>
    </row>
    <row r="101" spans="1:13" x14ac:dyDescent="0.25">
      <c r="A101" s="5" t="s">
        <v>61</v>
      </c>
      <c r="B101" s="13" t="e">
        <f t="shared" ref="B101:B116" si="9">K101/$K$229</f>
        <v>#DIV/0!</v>
      </c>
      <c r="C101" s="5"/>
      <c r="D101" s="227"/>
      <c r="E101" s="5"/>
      <c r="F101" s="5" t="s">
        <v>414</v>
      </c>
      <c r="G101" s="228"/>
      <c r="H101" s="228"/>
      <c r="I101" s="228">
        <v>400000</v>
      </c>
      <c r="J101" s="8" t="e">
        <f t="shared" ref="J101:J116" si="10">K101/$K$229</f>
        <v>#DIV/0!</v>
      </c>
      <c r="K101" s="229">
        <f>IFERROR(VLOOKUP(C101,#REF!,2,0),0)</f>
        <v>0</v>
      </c>
      <c r="L101" s="229">
        <f t="shared" si="2"/>
        <v>400000</v>
      </c>
      <c r="M101" s="5" t="str">
        <f t="shared" si="8"/>
        <v>OK</v>
      </c>
    </row>
    <row r="102" spans="1:13" x14ac:dyDescent="0.25">
      <c r="A102" s="5" t="s">
        <v>61</v>
      </c>
      <c r="B102" s="13" t="e">
        <f t="shared" si="9"/>
        <v>#DIV/0!</v>
      </c>
      <c r="C102" s="5" t="s">
        <v>126</v>
      </c>
      <c r="D102" s="227"/>
      <c r="E102" s="5"/>
      <c r="F102" s="5" t="s">
        <v>127</v>
      </c>
      <c r="G102" s="228"/>
      <c r="H102" s="228">
        <v>3000000</v>
      </c>
      <c r="I102" s="228">
        <v>3000000</v>
      </c>
      <c r="J102" s="8" t="e">
        <f t="shared" si="10"/>
        <v>#DIV/0!</v>
      </c>
      <c r="K102" s="229">
        <f>IFERROR(VLOOKUP(C102,#REF!,2,0),0)</f>
        <v>0</v>
      </c>
      <c r="L102" s="229">
        <f t="shared" si="2"/>
        <v>3000000</v>
      </c>
      <c r="M102" s="5" t="str">
        <f t="shared" si="8"/>
        <v>OK</v>
      </c>
    </row>
    <row r="103" spans="1:13" x14ac:dyDescent="0.25">
      <c r="A103" s="5" t="s">
        <v>61</v>
      </c>
      <c r="B103" s="13" t="e">
        <f t="shared" si="9"/>
        <v>#DIV/0!</v>
      </c>
      <c r="C103" s="5" t="s">
        <v>415</v>
      </c>
      <c r="D103" s="227"/>
      <c r="E103" s="5"/>
      <c r="F103" s="5" t="s">
        <v>416</v>
      </c>
      <c r="G103" s="228"/>
      <c r="H103" s="228">
        <v>0</v>
      </c>
      <c r="I103" s="228">
        <v>0</v>
      </c>
      <c r="J103" s="8" t="e">
        <f t="shared" si="10"/>
        <v>#DIV/0!</v>
      </c>
      <c r="K103" s="229">
        <f>IFERROR(VLOOKUP(C103,#REF!,2,0),0)</f>
        <v>0</v>
      </c>
      <c r="L103" s="229">
        <f t="shared" si="2"/>
        <v>0</v>
      </c>
      <c r="M103" s="5" t="str">
        <f t="shared" si="8"/>
        <v>OK</v>
      </c>
    </row>
    <row r="104" spans="1:13" x14ac:dyDescent="0.25">
      <c r="A104" s="5" t="s">
        <v>61</v>
      </c>
      <c r="B104" s="13" t="e">
        <f t="shared" si="9"/>
        <v>#DIV/0!</v>
      </c>
      <c r="C104" s="5" t="s">
        <v>128</v>
      </c>
      <c r="D104" s="227"/>
      <c r="E104" s="5"/>
      <c r="F104" s="5" t="s">
        <v>129</v>
      </c>
      <c r="G104" s="228"/>
      <c r="H104" s="228">
        <v>2000000</v>
      </c>
      <c r="I104" s="228">
        <v>3500000</v>
      </c>
      <c r="J104" s="8" t="e">
        <f t="shared" si="10"/>
        <v>#DIV/0!</v>
      </c>
      <c r="K104" s="229">
        <f>IFERROR(VLOOKUP(C104,#REF!,2,0),0)</f>
        <v>0</v>
      </c>
      <c r="L104" s="229">
        <f t="shared" si="2"/>
        <v>3500000</v>
      </c>
      <c r="M104" s="5" t="str">
        <f t="shared" si="8"/>
        <v>OK</v>
      </c>
    </row>
    <row r="105" spans="1:13" x14ac:dyDescent="0.25">
      <c r="A105" s="5" t="s">
        <v>61</v>
      </c>
      <c r="B105" s="13" t="e">
        <f t="shared" si="9"/>
        <v>#DIV/0!</v>
      </c>
      <c r="C105" s="5" t="s">
        <v>130</v>
      </c>
      <c r="D105" s="227"/>
      <c r="E105" s="5"/>
      <c r="F105" s="5" t="s">
        <v>131</v>
      </c>
      <c r="G105" s="228"/>
      <c r="H105" s="228">
        <v>600000</v>
      </c>
      <c r="I105" s="228">
        <v>600000</v>
      </c>
      <c r="J105" s="8" t="e">
        <f t="shared" si="10"/>
        <v>#DIV/0!</v>
      </c>
      <c r="K105" s="229">
        <f>IFERROR(VLOOKUP(C105,#REF!,2,0),0)</f>
        <v>0</v>
      </c>
      <c r="L105" s="229">
        <f t="shared" si="2"/>
        <v>600000</v>
      </c>
      <c r="M105" s="5" t="str">
        <f t="shared" si="8"/>
        <v>OK</v>
      </c>
    </row>
    <row r="106" spans="1:13" x14ac:dyDescent="0.25">
      <c r="A106" s="5" t="s">
        <v>61</v>
      </c>
      <c r="B106" s="13" t="e">
        <f t="shared" si="9"/>
        <v>#DIV/0!</v>
      </c>
      <c r="C106" s="5" t="s">
        <v>417</v>
      </c>
      <c r="D106" s="227"/>
      <c r="E106" s="5"/>
      <c r="F106" s="5" t="s">
        <v>418</v>
      </c>
      <c r="G106" s="228"/>
      <c r="H106" s="228">
        <v>0</v>
      </c>
      <c r="I106" s="228">
        <v>0</v>
      </c>
      <c r="J106" s="8" t="e">
        <f t="shared" si="10"/>
        <v>#DIV/0!</v>
      </c>
      <c r="K106" s="229">
        <f>IFERROR(VLOOKUP(C106,#REF!,2,0),0)</f>
        <v>0</v>
      </c>
      <c r="L106" s="229">
        <f t="shared" si="2"/>
        <v>0</v>
      </c>
      <c r="M106" s="5" t="str">
        <f t="shared" si="8"/>
        <v>OK</v>
      </c>
    </row>
    <row r="107" spans="1:13" x14ac:dyDescent="0.25">
      <c r="A107" s="5" t="s">
        <v>61</v>
      </c>
      <c r="B107" s="13" t="e">
        <f t="shared" si="9"/>
        <v>#DIV/0!</v>
      </c>
      <c r="C107" s="5" t="s">
        <v>419</v>
      </c>
      <c r="D107" s="227"/>
      <c r="E107" s="5"/>
      <c r="F107" s="5" t="s">
        <v>420</v>
      </c>
      <c r="G107" s="228"/>
      <c r="H107" s="228">
        <v>0</v>
      </c>
      <c r="I107" s="228">
        <v>0</v>
      </c>
      <c r="J107" s="8" t="e">
        <f t="shared" si="10"/>
        <v>#DIV/0!</v>
      </c>
      <c r="K107" s="229">
        <f>IFERROR(VLOOKUP(C107,#REF!,2,0),0)</f>
        <v>0</v>
      </c>
      <c r="L107" s="229">
        <f t="shared" si="2"/>
        <v>0</v>
      </c>
      <c r="M107" s="5" t="s">
        <v>399</v>
      </c>
    </row>
    <row r="108" spans="1:13" x14ac:dyDescent="0.25">
      <c r="A108" s="5" t="s">
        <v>61</v>
      </c>
      <c r="B108" s="13" t="e">
        <f t="shared" si="9"/>
        <v>#DIV/0!</v>
      </c>
      <c r="C108" s="5" t="s">
        <v>421</v>
      </c>
      <c r="D108" s="227"/>
      <c r="E108" s="5"/>
      <c r="F108" s="5" t="s">
        <v>422</v>
      </c>
      <c r="G108" s="228"/>
      <c r="H108" s="228">
        <v>1500000</v>
      </c>
      <c r="I108" s="228">
        <v>1500000</v>
      </c>
      <c r="J108" s="8" t="e">
        <f t="shared" si="10"/>
        <v>#DIV/0!</v>
      </c>
      <c r="K108" s="229">
        <f>IFERROR(VLOOKUP(C108,#REF!,2,0),0)</f>
        <v>0</v>
      </c>
      <c r="L108" s="229">
        <f t="shared" ref="L108:L139" si="11">I108-K108</f>
        <v>1500000</v>
      </c>
      <c r="M108" s="5" t="str">
        <f>IF(L108&lt;0,"Excedido","OK")</f>
        <v>OK</v>
      </c>
    </row>
    <row r="109" spans="1:13" x14ac:dyDescent="0.25">
      <c r="A109" s="5" t="s">
        <v>61</v>
      </c>
      <c r="B109" s="13" t="e">
        <f t="shared" si="9"/>
        <v>#DIV/0!</v>
      </c>
      <c r="C109" s="5" t="s">
        <v>132</v>
      </c>
      <c r="D109" s="227"/>
      <c r="E109" s="5"/>
      <c r="F109" s="5" t="s">
        <v>133</v>
      </c>
      <c r="G109" s="228"/>
      <c r="H109" s="228">
        <v>200000</v>
      </c>
      <c r="I109" s="228">
        <v>200000</v>
      </c>
      <c r="J109" s="8" t="e">
        <f t="shared" si="10"/>
        <v>#DIV/0!</v>
      </c>
      <c r="K109" s="229">
        <f>IFERROR(VLOOKUP(C109,#REF!,2,0),0)</f>
        <v>0</v>
      </c>
      <c r="L109" s="229">
        <f t="shared" si="11"/>
        <v>200000</v>
      </c>
      <c r="M109" s="5" t="str">
        <f>IF(L109&lt;0,"Excedido","OK")</f>
        <v>OK</v>
      </c>
    </row>
    <row r="110" spans="1:13" x14ac:dyDescent="0.25">
      <c r="A110" s="5" t="s">
        <v>61</v>
      </c>
      <c r="B110" s="13" t="e">
        <f t="shared" si="9"/>
        <v>#DIV/0!</v>
      </c>
      <c r="C110" s="5" t="s">
        <v>134</v>
      </c>
      <c r="D110" s="227"/>
      <c r="E110" s="5"/>
      <c r="F110" s="5" t="s">
        <v>135</v>
      </c>
      <c r="G110" s="228"/>
      <c r="H110" s="228">
        <v>1500000</v>
      </c>
      <c r="I110" s="228">
        <v>1000000</v>
      </c>
      <c r="J110" s="8" t="e">
        <f t="shared" si="10"/>
        <v>#DIV/0!</v>
      </c>
      <c r="K110" s="229">
        <f>IFERROR(VLOOKUP(C110,#REF!,2,0),0)</f>
        <v>0</v>
      </c>
      <c r="L110" s="229">
        <f t="shared" si="11"/>
        <v>1000000</v>
      </c>
      <c r="M110" s="5" t="str">
        <f>IF(L110&lt;0,"Excedido","OK")</f>
        <v>OK</v>
      </c>
    </row>
    <row r="111" spans="1:13" x14ac:dyDescent="0.25">
      <c r="A111" s="5" t="s">
        <v>61</v>
      </c>
      <c r="B111" s="13" t="e">
        <f t="shared" si="9"/>
        <v>#DIV/0!</v>
      </c>
      <c r="C111" s="5" t="s">
        <v>136</v>
      </c>
      <c r="D111" s="227">
        <v>43100</v>
      </c>
      <c r="E111" s="5"/>
      <c r="F111" s="5" t="s">
        <v>137</v>
      </c>
      <c r="G111" s="228"/>
      <c r="H111" s="228">
        <v>1000000</v>
      </c>
      <c r="I111" s="228">
        <v>1000000</v>
      </c>
      <c r="J111" s="8" t="e">
        <f t="shared" si="10"/>
        <v>#DIV/0!</v>
      </c>
      <c r="K111" s="229">
        <f>IFERROR(VLOOKUP(C111,#REF!,2,0),0)</f>
        <v>0</v>
      </c>
      <c r="L111" s="229">
        <f t="shared" si="11"/>
        <v>1000000</v>
      </c>
      <c r="M111" s="5" t="str">
        <f>IF(L111&lt;0,"Excedido","OK")</f>
        <v>OK</v>
      </c>
    </row>
    <row r="112" spans="1:13" x14ac:dyDescent="0.25">
      <c r="A112" s="5" t="s">
        <v>61</v>
      </c>
      <c r="B112" s="13" t="e">
        <f t="shared" si="9"/>
        <v>#DIV/0!</v>
      </c>
      <c r="C112" s="5" t="s">
        <v>138</v>
      </c>
      <c r="D112" s="227"/>
      <c r="E112" s="5"/>
      <c r="F112" s="5" t="s">
        <v>139</v>
      </c>
      <c r="G112" s="228"/>
      <c r="H112" s="228">
        <v>1400000</v>
      </c>
      <c r="I112" s="228">
        <v>3000000</v>
      </c>
      <c r="J112" s="8" t="e">
        <f t="shared" si="10"/>
        <v>#DIV/0!</v>
      </c>
      <c r="K112" s="229">
        <f>IFERROR(VLOOKUP(C112,#REF!,2,0),0)</f>
        <v>0</v>
      </c>
      <c r="L112" s="229">
        <f t="shared" si="11"/>
        <v>3000000</v>
      </c>
      <c r="M112" s="5" t="str">
        <f>IF(L112&lt;0,"Excedido","OK")</f>
        <v>OK</v>
      </c>
    </row>
    <row r="113" spans="1:13" x14ac:dyDescent="0.25">
      <c r="A113" s="5" t="s">
        <v>61</v>
      </c>
      <c r="B113" s="13" t="e">
        <f t="shared" si="9"/>
        <v>#DIV/0!</v>
      </c>
      <c r="C113" s="5" t="s">
        <v>423</v>
      </c>
      <c r="D113" s="227"/>
      <c r="E113" s="5"/>
      <c r="F113" s="5" t="s">
        <v>424</v>
      </c>
      <c r="G113" s="228"/>
      <c r="H113" s="228"/>
      <c r="I113" s="228"/>
      <c r="J113" s="8" t="e">
        <f t="shared" si="10"/>
        <v>#DIV/0!</v>
      </c>
      <c r="K113" s="229">
        <f>IFERROR(VLOOKUP(C113,#REF!,2,0),0)</f>
        <v>0</v>
      </c>
      <c r="L113" s="229">
        <f t="shared" si="11"/>
        <v>0</v>
      </c>
      <c r="M113" s="5" t="s">
        <v>399</v>
      </c>
    </row>
    <row r="114" spans="1:13" x14ac:dyDescent="0.25">
      <c r="A114" s="5" t="s">
        <v>61</v>
      </c>
      <c r="B114" s="13" t="e">
        <f t="shared" si="9"/>
        <v>#DIV/0!</v>
      </c>
      <c r="C114" s="5" t="s">
        <v>140</v>
      </c>
      <c r="D114" s="227"/>
      <c r="E114" s="5"/>
      <c r="F114" s="5" t="s">
        <v>141</v>
      </c>
      <c r="G114" s="228"/>
      <c r="H114" s="228">
        <v>2000000</v>
      </c>
      <c r="I114" s="228">
        <v>2500000</v>
      </c>
      <c r="J114" s="8" t="e">
        <f t="shared" si="10"/>
        <v>#DIV/0!</v>
      </c>
      <c r="K114" s="229">
        <f>IFERROR(VLOOKUP(C114,#REF!,2,0),0)</f>
        <v>0</v>
      </c>
      <c r="L114" s="229">
        <f t="shared" si="11"/>
        <v>2500000</v>
      </c>
      <c r="M114" s="5" t="str">
        <f t="shared" ref="M114:M119" si="12">IF(L114&lt;0,"Excedido","OK")</f>
        <v>OK</v>
      </c>
    </row>
    <row r="115" spans="1:13" x14ac:dyDescent="0.25">
      <c r="A115" s="5" t="s">
        <v>61</v>
      </c>
      <c r="B115" s="13" t="e">
        <f t="shared" si="9"/>
        <v>#DIV/0!</v>
      </c>
      <c r="C115" s="5" t="s">
        <v>425</v>
      </c>
      <c r="D115" s="227"/>
      <c r="E115" s="5"/>
      <c r="F115" s="5" t="s">
        <v>426</v>
      </c>
      <c r="G115" s="228"/>
      <c r="H115" s="228">
        <v>0</v>
      </c>
      <c r="I115" s="228">
        <v>0</v>
      </c>
      <c r="J115" s="8" t="e">
        <f t="shared" si="10"/>
        <v>#DIV/0!</v>
      </c>
      <c r="K115" s="229">
        <f>IFERROR(VLOOKUP(C115,#REF!,2,0),0)</f>
        <v>0</v>
      </c>
      <c r="L115" s="229">
        <f t="shared" si="11"/>
        <v>0</v>
      </c>
      <c r="M115" s="5" t="str">
        <f t="shared" si="12"/>
        <v>OK</v>
      </c>
    </row>
    <row r="116" spans="1:13" x14ac:dyDescent="0.25">
      <c r="A116" s="5" t="s">
        <v>61</v>
      </c>
      <c r="B116" s="13" t="e">
        <f t="shared" si="9"/>
        <v>#DIV/0!</v>
      </c>
      <c r="C116" s="5" t="s">
        <v>427</v>
      </c>
      <c r="D116" s="227"/>
      <c r="E116" s="5"/>
      <c r="F116" s="5" t="s">
        <v>428</v>
      </c>
      <c r="G116" s="228"/>
      <c r="H116" s="228">
        <v>350000</v>
      </c>
      <c r="I116" s="228">
        <v>600000</v>
      </c>
      <c r="J116" s="8" t="e">
        <f t="shared" si="10"/>
        <v>#DIV/0!</v>
      </c>
      <c r="K116" s="229">
        <f>IFERROR(VLOOKUP(C116,#REF!,2,0),0)</f>
        <v>0</v>
      </c>
      <c r="L116" s="229">
        <f t="shared" si="11"/>
        <v>600000</v>
      </c>
      <c r="M116" s="5" t="str">
        <f t="shared" si="12"/>
        <v>OK</v>
      </c>
    </row>
    <row r="117" spans="1:13" x14ac:dyDescent="0.25">
      <c r="A117" s="5" t="s">
        <v>61</v>
      </c>
      <c r="B117" s="13"/>
      <c r="C117" s="5" t="s">
        <v>429</v>
      </c>
      <c r="D117" s="227"/>
      <c r="E117" s="5"/>
      <c r="F117" s="5" t="s">
        <v>430</v>
      </c>
      <c r="G117" s="228"/>
      <c r="H117" s="228"/>
      <c r="I117" s="228"/>
      <c r="J117" s="8"/>
      <c r="K117" s="229">
        <f>IFERROR(VLOOKUP(C117,#REF!,2,0),0)</f>
        <v>0</v>
      </c>
      <c r="L117" s="229">
        <f t="shared" si="11"/>
        <v>0</v>
      </c>
      <c r="M117" s="5" t="str">
        <f t="shared" si="12"/>
        <v>OK</v>
      </c>
    </row>
    <row r="118" spans="1:13" x14ac:dyDescent="0.25">
      <c r="A118" s="5" t="s">
        <v>61</v>
      </c>
      <c r="B118" s="13" t="e">
        <f t="shared" ref="B118:B127" si="13">K118/$K$229</f>
        <v>#DIV/0!</v>
      </c>
      <c r="C118" s="5" t="s">
        <v>431</v>
      </c>
      <c r="D118" s="227"/>
      <c r="E118" s="5"/>
      <c r="F118" s="5" t="s">
        <v>432</v>
      </c>
      <c r="G118" s="228"/>
      <c r="H118" s="228"/>
      <c r="I118" s="228">
        <v>3500000</v>
      </c>
      <c r="J118" s="8" t="e">
        <f t="shared" ref="J118:J127" si="14">K118/$K$229</f>
        <v>#DIV/0!</v>
      </c>
      <c r="K118" s="229">
        <f>IFERROR(VLOOKUP(C118,#REF!,2,0),0)</f>
        <v>0</v>
      </c>
      <c r="L118" s="229">
        <f t="shared" si="11"/>
        <v>3500000</v>
      </c>
      <c r="M118" s="5" t="str">
        <f t="shared" si="12"/>
        <v>OK</v>
      </c>
    </row>
    <row r="119" spans="1:13" x14ac:dyDescent="0.25">
      <c r="A119" s="5" t="s">
        <v>61</v>
      </c>
      <c r="B119" s="13" t="e">
        <f t="shared" si="13"/>
        <v>#DIV/0!</v>
      </c>
      <c r="C119" s="5" t="s">
        <v>433</v>
      </c>
      <c r="D119" s="227"/>
      <c r="E119" s="5"/>
      <c r="F119" s="5" t="s">
        <v>434</v>
      </c>
      <c r="G119" s="228"/>
      <c r="H119" s="228">
        <v>4000000</v>
      </c>
      <c r="I119" s="228">
        <v>5000000</v>
      </c>
      <c r="J119" s="8" t="e">
        <f t="shared" si="14"/>
        <v>#DIV/0!</v>
      </c>
      <c r="K119" s="229">
        <f>IFERROR(VLOOKUP(C119,#REF!,2,0),0)</f>
        <v>0</v>
      </c>
      <c r="L119" s="229">
        <f t="shared" si="11"/>
        <v>5000000</v>
      </c>
      <c r="M119" s="5" t="str">
        <f t="shared" si="12"/>
        <v>OK</v>
      </c>
    </row>
    <row r="120" spans="1:13" x14ac:dyDescent="0.25">
      <c r="A120" s="5" t="s">
        <v>61</v>
      </c>
      <c r="B120" s="13" t="e">
        <f t="shared" si="13"/>
        <v>#DIV/0!</v>
      </c>
      <c r="C120" s="5" t="s">
        <v>435</v>
      </c>
      <c r="D120" s="227"/>
      <c r="E120" s="5"/>
      <c r="F120" s="5" t="s">
        <v>436</v>
      </c>
      <c r="G120" s="228"/>
      <c r="H120" s="228">
        <v>0</v>
      </c>
      <c r="I120" s="228">
        <v>0</v>
      </c>
      <c r="J120" s="8" t="e">
        <f t="shared" si="14"/>
        <v>#DIV/0!</v>
      </c>
      <c r="K120" s="229">
        <f>IFERROR(VLOOKUP(C120,#REF!,2,0),0)</f>
        <v>0</v>
      </c>
      <c r="L120" s="229">
        <f t="shared" si="11"/>
        <v>0</v>
      </c>
      <c r="M120" s="5" t="s">
        <v>399</v>
      </c>
    </row>
    <row r="121" spans="1:13" x14ac:dyDescent="0.25">
      <c r="A121" s="5" t="s">
        <v>61</v>
      </c>
      <c r="B121" s="13" t="e">
        <f t="shared" si="13"/>
        <v>#DIV/0!</v>
      </c>
      <c r="C121" s="5" t="s">
        <v>437</v>
      </c>
      <c r="D121" s="227"/>
      <c r="E121" s="5"/>
      <c r="F121" s="5" t="s">
        <v>438</v>
      </c>
      <c r="G121" s="228"/>
      <c r="H121" s="228">
        <v>0</v>
      </c>
      <c r="I121" s="228">
        <v>0</v>
      </c>
      <c r="J121" s="8" t="e">
        <f t="shared" si="14"/>
        <v>#DIV/0!</v>
      </c>
      <c r="K121" s="229">
        <f>IFERROR(VLOOKUP(C121,#REF!,2,0),0)</f>
        <v>0</v>
      </c>
      <c r="L121" s="229">
        <f t="shared" si="11"/>
        <v>0</v>
      </c>
      <c r="M121" s="5" t="str">
        <f t="shared" ref="M121:M134" si="15">IF(L121&lt;0,"Excedido","OK")</f>
        <v>OK</v>
      </c>
    </row>
    <row r="122" spans="1:13" x14ac:dyDescent="0.25">
      <c r="A122" s="5" t="s">
        <v>61</v>
      </c>
      <c r="B122" s="13" t="e">
        <f t="shared" si="13"/>
        <v>#DIV/0!</v>
      </c>
      <c r="C122" s="5" t="s">
        <v>439</v>
      </c>
      <c r="D122" s="227"/>
      <c r="E122" s="5"/>
      <c r="F122" s="5" t="s">
        <v>440</v>
      </c>
      <c r="G122" s="228"/>
      <c r="H122" s="228"/>
      <c r="I122" s="228">
        <v>450000</v>
      </c>
      <c r="J122" s="8" t="e">
        <f t="shared" si="14"/>
        <v>#DIV/0!</v>
      </c>
      <c r="K122" s="229">
        <f>IFERROR(VLOOKUP(C122,#REF!,2,0),0)</f>
        <v>0</v>
      </c>
      <c r="L122" s="229">
        <f t="shared" si="11"/>
        <v>450000</v>
      </c>
      <c r="M122" s="5" t="str">
        <f t="shared" si="15"/>
        <v>OK</v>
      </c>
    </row>
    <row r="123" spans="1:13" x14ac:dyDescent="0.25">
      <c r="A123" s="5" t="s">
        <v>61</v>
      </c>
      <c r="B123" s="13" t="e">
        <f t="shared" si="13"/>
        <v>#DIV/0!</v>
      </c>
      <c r="C123" s="5" t="s">
        <v>441</v>
      </c>
      <c r="D123" s="227"/>
      <c r="E123" s="5"/>
      <c r="F123" s="5" t="s">
        <v>442</v>
      </c>
      <c r="G123" s="228"/>
      <c r="H123" s="228"/>
      <c r="I123" s="228">
        <v>3000000</v>
      </c>
      <c r="J123" s="8" t="e">
        <f t="shared" si="14"/>
        <v>#DIV/0!</v>
      </c>
      <c r="K123" s="229">
        <f>IFERROR(VLOOKUP(C123,#REF!,2,0),0)</f>
        <v>0</v>
      </c>
      <c r="L123" s="229">
        <f t="shared" si="11"/>
        <v>3000000</v>
      </c>
      <c r="M123" s="5" t="str">
        <f t="shared" si="15"/>
        <v>OK</v>
      </c>
    </row>
    <row r="124" spans="1:13" x14ac:dyDescent="0.25">
      <c r="A124" s="5" t="s">
        <v>61</v>
      </c>
      <c r="B124" s="13" t="e">
        <f t="shared" si="13"/>
        <v>#DIV/0!</v>
      </c>
      <c r="C124" s="5" t="s">
        <v>443</v>
      </c>
      <c r="D124" s="227"/>
      <c r="E124" s="5"/>
      <c r="F124" s="5" t="s">
        <v>444</v>
      </c>
      <c r="G124" s="228"/>
      <c r="H124" s="228">
        <v>400000</v>
      </c>
      <c r="I124" s="228">
        <v>500000</v>
      </c>
      <c r="J124" s="8" t="e">
        <f t="shared" si="14"/>
        <v>#DIV/0!</v>
      </c>
      <c r="K124" s="229">
        <f>IFERROR(VLOOKUP(C124,#REF!,2,0),0)</f>
        <v>0</v>
      </c>
      <c r="L124" s="229">
        <f t="shared" si="11"/>
        <v>500000</v>
      </c>
      <c r="M124" s="5" t="str">
        <f t="shared" si="15"/>
        <v>OK</v>
      </c>
    </row>
    <row r="125" spans="1:13" x14ac:dyDescent="0.25">
      <c r="A125" s="5" t="s">
        <v>61</v>
      </c>
      <c r="B125" s="13" t="e">
        <f t="shared" si="13"/>
        <v>#DIV/0!</v>
      </c>
      <c r="C125" s="5" t="s">
        <v>445</v>
      </c>
      <c r="D125" s="227"/>
      <c r="E125" s="5"/>
      <c r="F125" s="5" t="s">
        <v>446</v>
      </c>
      <c r="G125" s="228"/>
      <c r="H125" s="228">
        <v>500000</v>
      </c>
      <c r="I125" s="228">
        <v>750000</v>
      </c>
      <c r="J125" s="8" t="e">
        <f t="shared" si="14"/>
        <v>#DIV/0!</v>
      </c>
      <c r="K125" s="229">
        <f>IFERROR(VLOOKUP(C125,#REF!,2,0),0)</f>
        <v>0</v>
      </c>
      <c r="L125" s="229">
        <f t="shared" si="11"/>
        <v>750000</v>
      </c>
      <c r="M125" s="5" t="str">
        <f t="shared" si="15"/>
        <v>OK</v>
      </c>
    </row>
    <row r="126" spans="1:13" x14ac:dyDescent="0.25">
      <c r="A126" s="5" t="s">
        <v>61</v>
      </c>
      <c r="B126" s="13" t="e">
        <f t="shared" si="13"/>
        <v>#DIV/0!</v>
      </c>
      <c r="C126" s="5" t="s">
        <v>447</v>
      </c>
      <c r="D126" s="227"/>
      <c r="E126" s="5"/>
      <c r="F126" s="5" t="s">
        <v>448</v>
      </c>
      <c r="G126" s="228"/>
      <c r="H126" s="228">
        <v>1200000</v>
      </c>
      <c r="I126" s="228">
        <v>1200000</v>
      </c>
      <c r="J126" s="8" t="e">
        <f t="shared" si="14"/>
        <v>#DIV/0!</v>
      </c>
      <c r="K126" s="229">
        <f>IFERROR(VLOOKUP(C126,#REF!,2,0),0)</f>
        <v>0</v>
      </c>
      <c r="L126" s="229">
        <f t="shared" si="11"/>
        <v>1200000</v>
      </c>
      <c r="M126" s="5" t="str">
        <f t="shared" si="15"/>
        <v>OK</v>
      </c>
    </row>
    <row r="127" spans="1:13" x14ac:dyDescent="0.25">
      <c r="A127" s="5" t="s">
        <v>61</v>
      </c>
      <c r="B127" s="13" t="e">
        <f t="shared" si="13"/>
        <v>#DIV/0!</v>
      </c>
      <c r="C127" s="5" t="s">
        <v>449</v>
      </c>
      <c r="D127" s="227"/>
      <c r="E127" s="5"/>
      <c r="F127" s="5" t="s">
        <v>450</v>
      </c>
      <c r="G127" s="228"/>
      <c r="H127" s="228"/>
      <c r="I127" s="228">
        <v>2000000</v>
      </c>
      <c r="J127" s="8" t="e">
        <f t="shared" si="14"/>
        <v>#DIV/0!</v>
      </c>
      <c r="K127" s="229">
        <f>IFERROR(VLOOKUP(C127,#REF!,2,0),0)</f>
        <v>0</v>
      </c>
      <c r="L127" s="229">
        <f t="shared" si="11"/>
        <v>2000000</v>
      </c>
      <c r="M127" s="5" t="str">
        <f t="shared" si="15"/>
        <v>OK</v>
      </c>
    </row>
    <row r="128" spans="1:13" x14ac:dyDescent="0.25">
      <c r="A128" s="5" t="s">
        <v>61</v>
      </c>
      <c r="B128" s="13"/>
      <c r="C128" s="5" t="s">
        <v>451</v>
      </c>
      <c r="D128" s="227"/>
      <c r="E128" s="5"/>
      <c r="F128" s="5" t="s">
        <v>452</v>
      </c>
      <c r="G128" s="228"/>
      <c r="H128" s="228"/>
      <c r="I128" s="228"/>
      <c r="J128" s="8"/>
      <c r="K128" s="229">
        <f>IFERROR(VLOOKUP(C128,#REF!,2,0),0)</f>
        <v>0</v>
      </c>
      <c r="L128" s="229">
        <f t="shared" si="11"/>
        <v>0</v>
      </c>
      <c r="M128" s="5" t="str">
        <f t="shared" si="15"/>
        <v>OK</v>
      </c>
    </row>
    <row r="129" spans="1:13" x14ac:dyDescent="0.25">
      <c r="A129" s="5" t="s">
        <v>61</v>
      </c>
      <c r="B129" s="13" t="e">
        <f t="shared" ref="B129:B135" si="16">K129/$K$229</f>
        <v>#DIV/0!</v>
      </c>
      <c r="C129" s="5" t="s">
        <v>453</v>
      </c>
      <c r="D129" s="227"/>
      <c r="E129" s="5"/>
      <c r="F129" s="5" t="s">
        <v>454</v>
      </c>
      <c r="G129" s="228"/>
      <c r="H129" s="228"/>
      <c r="I129" s="228">
        <v>300000</v>
      </c>
      <c r="J129" s="8" t="e">
        <f t="shared" ref="J129:J135" si="17">K129/$K$229</f>
        <v>#DIV/0!</v>
      </c>
      <c r="K129" s="229">
        <f>IFERROR(VLOOKUP(C129,#REF!,2,0),0)</f>
        <v>0</v>
      </c>
      <c r="L129" s="229">
        <f t="shared" si="11"/>
        <v>300000</v>
      </c>
      <c r="M129" s="5" t="str">
        <f t="shared" si="15"/>
        <v>OK</v>
      </c>
    </row>
    <row r="130" spans="1:13" x14ac:dyDescent="0.25">
      <c r="A130" s="5" t="s">
        <v>61</v>
      </c>
      <c r="B130" s="13" t="e">
        <f t="shared" si="16"/>
        <v>#DIV/0!</v>
      </c>
      <c r="C130" s="5" t="s">
        <v>455</v>
      </c>
      <c r="D130" s="227"/>
      <c r="E130" s="5"/>
      <c r="F130" s="5" t="s">
        <v>456</v>
      </c>
      <c r="G130" s="228"/>
      <c r="H130" s="228">
        <v>3300000</v>
      </c>
      <c r="I130" s="228">
        <v>3300000</v>
      </c>
      <c r="J130" s="8" t="e">
        <f t="shared" si="17"/>
        <v>#DIV/0!</v>
      </c>
      <c r="K130" s="229">
        <f>IFERROR(VLOOKUP(C130,#REF!,2,0),0)</f>
        <v>0</v>
      </c>
      <c r="L130" s="229">
        <f t="shared" si="11"/>
        <v>3300000</v>
      </c>
      <c r="M130" s="5" t="str">
        <f t="shared" si="15"/>
        <v>OK</v>
      </c>
    </row>
    <row r="131" spans="1:13" x14ac:dyDescent="0.25">
      <c r="A131" s="5" t="s">
        <v>61</v>
      </c>
      <c r="B131" s="13" t="e">
        <f t="shared" si="16"/>
        <v>#DIV/0!</v>
      </c>
      <c r="C131" s="5" t="s">
        <v>457</v>
      </c>
      <c r="D131" s="227"/>
      <c r="E131" s="5"/>
      <c r="F131" s="5" t="s">
        <v>458</v>
      </c>
      <c r="G131" s="228"/>
      <c r="H131" s="228">
        <v>1500000</v>
      </c>
      <c r="I131" s="228">
        <v>400000</v>
      </c>
      <c r="J131" s="8" t="e">
        <f t="shared" si="17"/>
        <v>#DIV/0!</v>
      </c>
      <c r="K131" s="229">
        <f>IFERROR(VLOOKUP(C131,#REF!,2,0),0)</f>
        <v>0</v>
      </c>
      <c r="L131" s="229">
        <f t="shared" si="11"/>
        <v>400000</v>
      </c>
      <c r="M131" s="5" t="str">
        <f t="shared" si="15"/>
        <v>OK</v>
      </c>
    </row>
    <row r="132" spans="1:13" x14ac:dyDescent="0.25">
      <c r="A132" s="5" t="s">
        <v>61</v>
      </c>
      <c r="B132" s="13" t="e">
        <f t="shared" si="16"/>
        <v>#DIV/0!</v>
      </c>
      <c r="C132" s="5" t="s">
        <v>142</v>
      </c>
      <c r="D132" s="227"/>
      <c r="E132" s="5"/>
      <c r="F132" s="5" t="s">
        <v>143</v>
      </c>
      <c r="G132" s="228"/>
      <c r="H132" s="228">
        <v>700000</v>
      </c>
      <c r="I132" s="228">
        <v>700000</v>
      </c>
      <c r="J132" s="8" t="e">
        <f t="shared" si="17"/>
        <v>#DIV/0!</v>
      </c>
      <c r="K132" s="229">
        <f>IFERROR(VLOOKUP(C132,#REF!,2,0),0)</f>
        <v>0</v>
      </c>
      <c r="L132" s="229">
        <f t="shared" si="11"/>
        <v>700000</v>
      </c>
      <c r="M132" s="5" t="str">
        <f t="shared" si="15"/>
        <v>OK</v>
      </c>
    </row>
    <row r="133" spans="1:13" x14ac:dyDescent="0.25">
      <c r="A133" s="5" t="s">
        <v>61</v>
      </c>
      <c r="B133" s="13" t="e">
        <f t="shared" si="16"/>
        <v>#DIV/0!</v>
      </c>
      <c r="C133" s="5" t="s">
        <v>459</v>
      </c>
      <c r="D133" s="227"/>
      <c r="E133" s="5"/>
      <c r="F133" s="5" t="s">
        <v>460</v>
      </c>
      <c r="G133" s="228"/>
      <c r="H133" s="228"/>
      <c r="I133" s="228">
        <v>0</v>
      </c>
      <c r="J133" s="8" t="e">
        <f t="shared" si="17"/>
        <v>#DIV/0!</v>
      </c>
      <c r="K133" s="229">
        <f>IFERROR(VLOOKUP(C133,#REF!,2,0),0)</f>
        <v>0</v>
      </c>
      <c r="L133" s="229">
        <f t="shared" si="11"/>
        <v>0</v>
      </c>
      <c r="M133" s="5" t="str">
        <f t="shared" si="15"/>
        <v>OK</v>
      </c>
    </row>
    <row r="134" spans="1:13" x14ac:dyDescent="0.25">
      <c r="A134" s="5" t="s">
        <v>61</v>
      </c>
      <c r="B134" s="13" t="e">
        <f t="shared" si="16"/>
        <v>#DIV/0!</v>
      </c>
      <c r="C134" s="5" t="s">
        <v>461</v>
      </c>
      <c r="D134" s="227"/>
      <c r="E134" s="5"/>
      <c r="F134" s="5" t="s">
        <v>462</v>
      </c>
      <c r="G134" s="228"/>
      <c r="H134" s="228"/>
      <c r="I134" s="228">
        <v>300000</v>
      </c>
      <c r="J134" s="8" t="e">
        <f t="shared" si="17"/>
        <v>#DIV/0!</v>
      </c>
      <c r="K134" s="229">
        <f>IFERROR(VLOOKUP(C134,#REF!,2,0),0)</f>
        <v>0</v>
      </c>
      <c r="L134" s="229">
        <f t="shared" si="11"/>
        <v>300000</v>
      </c>
      <c r="M134" s="5" t="str">
        <f t="shared" si="15"/>
        <v>OK</v>
      </c>
    </row>
    <row r="135" spans="1:13" x14ac:dyDescent="0.25">
      <c r="A135" s="5" t="s">
        <v>61</v>
      </c>
      <c r="B135" s="13" t="e">
        <f t="shared" si="16"/>
        <v>#DIV/0!</v>
      </c>
      <c r="C135" s="5" t="s">
        <v>463</v>
      </c>
      <c r="D135" s="227"/>
      <c r="E135" s="5"/>
      <c r="F135" s="5" t="s">
        <v>464</v>
      </c>
      <c r="G135" s="228"/>
      <c r="H135" s="228"/>
      <c r="I135" s="228">
        <v>0</v>
      </c>
      <c r="J135" s="8" t="e">
        <f t="shared" si="17"/>
        <v>#DIV/0!</v>
      </c>
      <c r="K135" s="229">
        <f>IFERROR(VLOOKUP(C135,#REF!,2,0),0)</f>
        <v>0</v>
      </c>
      <c r="L135" s="229">
        <f t="shared" si="11"/>
        <v>0</v>
      </c>
      <c r="M135" s="5" t="s">
        <v>399</v>
      </c>
    </row>
    <row r="136" spans="1:13" x14ac:dyDescent="0.25">
      <c r="A136" s="5" t="s">
        <v>61</v>
      </c>
      <c r="B136" s="13"/>
      <c r="C136" s="5" t="s">
        <v>465</v>
      </c>
      <c r="D136" s="227"/>
      <c r="E136" s="5"/>
      <c r="F136" s="5" t="s">
        <v>466</v>
      </c>
      <c r="G136" s="228"/>
      <c r="H136" s="228"/>
      <c r="I136" s="228"/>
      <c r="J136" s="8"/>
      <c r="K136" s="229">
        <f>IFERROR(VLOOKUP(C136,#REF!,2,0),0)</f>
        <v>0</v>
      </c>
      <c r="L136" s="229">
        <f t="shared" si="11"/>
        <v>0</v>
      </c>
      <c r="M136" s="5" t="str">
        <f t="shared" ref="M136:M142" si="18">IF(L136&lt;0,"Excedido","OK")</f>
        <v>OK</v>
      </c>
    </row>
    <row r="137" spans="1:13" x14ac:dyDescent="0.25">
      <c r="A137" s="5" t="s">
        <v>61</v>
      </c>
      <c r="B137" s="13" t="e">
        <f t="shared" ref="B137:B164" si="19">K137/$K$229</f>
        <v>#DIV/0!</v>
      </c>
      <c r="C137" s="5" t="s">
        <v>467</v>
      </c>
      <c r="D137" s="227"/>
      <c r="E137" s="5"/>
      <c r="F137" s="5" t="s">
        <v>468</v>
      </c>
      <c r="G137" s="228"/>
      <c r="H137" s="228"/>
      <c r="I137" s="228">
        <v>300000</v>
      </c>
      <c r="J137" s="8" t="e">
        <f t="shared" ref="J137:J164" si="20">K137/$K$229</f>
        <v>#DIV/0!</v>
      </c>
      <c r="K137" s="229">
        <f>IFERROR(VLOOKUP(C137,#REF!,2,0),0)</f>
        <v>0</v>
      </c>
      <c r="L137" s="229">
        <f t="shared" si="11"/>
        <v>300000</v>
      </c>
      <c r="M137" s="5" t="str">
        <f t="shared" si="18"/>
        <v>OK</v>
      </c>
    </row>
    <row r="138" spans="1:13" x14ac:dyDescent="0.25">
      <c r="A138" s="5" t="s">
        <v>61</v>
      </c>
      <c r="B138" s="13" t="e">
        <f t="shared" si="19"/>
        <v>#DIV/0!</v>
      </c>
      <c r="C138" s="5" t="s">
        <v>469</v>
      </c>
      <c r="D138" s="227"/>
      <c r="E138" s="5"/>
      <c r="F138" s="5" t="s">
        <v>470</v>
      </c>
      <c r="G138" s="228"/>
      <c r="H138" s="228">
        <v>0</v>
      </c>
      <c r="I138" s="228">
        <v>0</v>
      </c>
      <c r="J138" s="8" t="e">
        <f t="shared" si="20"/>
        <v>#DIV/0!</v>
      </c>
      <c r="K138" s="229">
        <f>IFERROR(VLOOKUP(C138,#REF!,2,0),0)</f>
        <v>0</v>
      </c>
      <c r="L138" s="229">
        <f t="shared" si="11"/>
        <v>0</v>
      </c>
      <c r="M138" s="5" t="str">
        <f t="shared" si="18"/>
        <v>OK</v>
      </c>
    </row>
    <row r="139" spans="1:13" x14ac:dyDescent="0.25">
      <c r="A139" s="5" t="s">
        <v>61</v>
      </c>
      <c r="B139" s="13" t="e">
        <f t="shared" si="19"/>
        <v>#DIV/0!</v>
      </c>
      <c r="C139" s="5" t="s">
        <v>471</v>
      </c>
      <c r="D139" s="227"/>
      <c r="E139" s="5"/>
      <c r="F139" s="5" t="s">
        <v>472</v>
      </c>
      <c r="G139" s="228"/>
      <c r="H139" s="228"/>
      <c r="I139" s="228">
        <v>800000</v>
      </c>
      <c r="J139" s="8" t="e">
        <f t="shared" si="20"/>
        <v>#DIV/0!</v>
      </c>
      <c r="K139" s="229">
        <f>IFERROR(VLOOKUP(C139,#REF!,2,0),0)</f>
        <v>0</v>
      </c>
      <c r="L139" s="229">
        <f t="shared" si="11"/>
        <v>800000</v>
      </c>
      <c r="M139" s="5" t="str">
        <f t="shared" si="18"/>
        <v>OK</v>
      </c>
    </row>
    <row r="140" spans="1:13" x14ac:dyDescent="0.25">
      <c r="A140" s="5" t="s">
        <v>61</v>
      </c>
      <c r="B140" s="13" t="e">
        <f t="shared" si="19"/>
        <v>#DIV/0!</v>
      </c>
      <c r="C140" s="5" t="s">
        <v>473</v>
      </c>
      <c r="D140" s="227"/>
      <c r="E140" s="5"/>
      <c r="F140" s="5" t="s">
        <v>474</v>
      </c>
      <c r="G140" s="228"/>
      <c r="H140" s="228">
        <v>1200000</v>
      </c>
      <c r="I140" s="228">
        <v>600000</v>
      </c>
      <c r="J140" s="8" t="e">
        <f t="shared" si="20"/>
        <v>#DIV/0!</v>
      </c>
      <c r="K140" s="229">
        <f>IFERROR(VLOOKUP(C140,#REF!,2,0),0)</f>
        <v>0</v>
      </c>
      <c r="L140" s="229">
        <f t="shared" ref="L140:L171" si="21">I140-K140</f>
        <v>600000</v>
      </c>
      <c r="M140" s="5" t="str">
        <f t="shared" si="18"/>
        <v>OK</v>
      </c>
    </row>
    <row r="141" spans="1:13" x14ac:dyDescent="0.25">
      <c r="A141" s="5" t="s">
        <v>61</v>
      </c>
      <c r="B141" s="13" t="e">
        <f t="shared" si="19"/>
        <v>#DIV/0!</v>
      </c>
      <c r="C141" s="5" t="s">
        <v>475</v>
      </c>
      <c r="D141" s="227"/>
      <c r="E141" s="5"/>
      <c r="F141" s="5" t="s">
        <v>476</v>
      </c>
      <c r="G141" s="228"/>
      <c r="H141" s="228">
        <v>0</v>
      </c>
      <c r="I141" s="228">
        <v>0</v>
      </c>
      <c r="J141" s="8" t="e">
        <f t="shared" si="20"/>
        <v>#DIV/0!</v>
      </c>
      <c r="K141" s="229">
        <f>IFERROR(VLOOKUP(C141,#REF!,2,0),0)</f>
        <v>0</v>
      </c>
      <c r="L141" s="229">
        <f t="shared" si="21"/>
        <v>0</v>
      </c>
      <c r="M141" s="5" t="str">
        <f t="shared" si="18"/>
        <v>OK</v>
      </c>
    </row>
    <row r="142" spans="1:13" x14ac:dyDescent="0.25">
      <c r="A142" s="5" t="s">
        <v>61</v>
      </c>
      <c r="B142" s="13" t="e">
        <f t="shared" si="19"/>
        <v>#DIV/0!</v>
      </c>
      <c r="C142" s="5" t="s">
        <v>477</v>
      </c>
      <c r="D142" s="227"/>
      <c r="E142" s="5"/>
      <c r="F142" s="5" t="s">
        <v>478</v>
      </c>
      <c r="G142" s="228"/>
      <c r="H142" s="228">
        <v>450000</v>
      </c>
      <c r="I142" s="228">
        <v>450000</v>
      </c>
      <c r="J142" s="8" t="e">
        <f t="shared" si="20"/>
        <v>#DIV/0!</v>
      </c>
      <c r="K142" s="229">
        <f>IFERROR(VLOOKUP(C142,#REF!,2,0),0)</f>
        <v>0</v>
      </c>
      <c r="L142" s="229">
        <f t="shared" si="21"/>
        <v>450000</v>
      </c>
      <c r="M142" s="5" t="str">
        <f t="shared" si="18"/>
        <v>OK</v>
      </c>
    </row>
    <row r="143" spans="1:13" x14ac:dyDescent="0.25">
      <c r="A143" s="5" t="s">
        <v>61</v>
      </c>
      <c r="B143" s="13" t="e">
        <f t="shared" si="19"/>
        <v>#DIV/0!</v>
      </c>
      <c r="C143" s="5" t="s">
        <v>479</v>
      </c>
      <c r="D143" s="227"/>
      <c r="E143" s="5"/>
      <c r="F143" s="5" t="s">
        <v>480</v>
      </c>
      <c r="G143" s="228"/>
      <c r="H143" s="228">
        <v>0</v>
      </c>
      <c r="I143" s="228"/>
      <c r="J143" s="8" t="e">
        <f t="shared" si="20"/>
        <v>#DIV/0!</v>
      </c>
      <c r="K143" s="229">
        <f>IFERROR(VLOOKUP(C143,#REF!,2,0),0)</f>
        <v>0</v>
      </c>
      <c r="L143" s="229">
        <f t="shared" si="21"/>
        <v>0</v>
      </c>
      <c r="M143" s="5" t="s">
        <v>399</v>
      </c>
    </row>
    <row r="144" spans="1:13" x14ac:dyDescent="0.25">
      <c r="A144" s="5" t="s">
        <v>61</v>
      </c>
      <c r="B144" s="13" t="e">
        <f t="shared" si="19"/>
        <v>#DIV/0!</v>
      </c>
      <c r="C144" s="5" t="s">
        <v>481</v>
      </c>
      <c r="D144" s="227"/>
      <c r="E144" s="5"/>
      <c r="F144" s="5" t="s">
        <v>482</v>
      </c>
      <c r="G144" s="228"/>
      <c r="H144" s="228">
        <v>1650000</v>
      </c>
      <c r="I144" s="228">
        <v>1650000</v>
      </c>
      <c r="J144" s="8" t="e">
        <f t="shared" si="20"/>
        <v>#DIV/0!</v>
      </c>
      <c r="K144" s="229">
        <f>IFERROR(VLOOKUP(C144,#REF!,2,0),0)</f>
        <v>0</v>
      </c>
      <c r="L144" s="229">
        <f t="shared" si="21"/>
        <v>1650000</v>
      </c>
      <c r="M144" s="5" t="str">
        <f t="shared" ref="M144:M152" si="22">IF(L144&lt;0,"Excedido","OK")</f>
        <v>OK</v>
      </c>
    </row>
    <row r="145" spans="1:13" x14ac:dyDescent="0.25">
      <c r="A145" s="5" t="s">
        <v>61</v>
      </c>
      <c r="B145" s="13" t="e">
        <f t="shared" si="19"/>
        <v>#DIV/0!</v>
      </c>
      <c r="C145" s="5" t="s">
        <v>483</v>
      </c>
      <c r="D145" s="227"/>
      <c r="E145" s="5"/>
      <c r="F145" s="5" t="s">
        <v>484</v>
      </c>
      <c r="G145" s="228"/>
      <c r="H145" s="228">
        <v>2500000</v>
      </c>
      <c r="I145" s="228">
        <v>2000000</v>
      </c>
      <c r="J145" s="8" t="e">
        <f t="shared" si="20"/>
        <v>#DIV/0!</v>
      </c>
      <c r="K145" s="229">
        <f>IFERROR(VLOOKUP(C145,#REF!,2,0),0)</f>
        <v>0</v>
      </c>
      <c r="L145" s="229">
        <f t="shared" si="21"/>
        <v>2000000</v>
      </c>
      <c r="M145" s="5" t="str">
        <f t="shared" si="22"/>
        <v>OK</v>
      </c>
    </row>
    <row r="146" spans="1:13" x14ac:dyDescent="0.25">
      <c r="A146" s="5" t="s">
        <v>61</v>
      </c>
      <c r="B146" s="13" t="e">
        <f t="shared" si="19"/>
        <v>#DIV/0!</v>
      </c>
      <c r="C146" s="5" t="s">
        <v>485</v>
      </c>
      <c r="D146" s="227"/>
      <c r="E146" s="5"/>
      <c r="F146" s="5" t="s">
        <v>486</v>
      </c>
      <c r="G146" s="228"/>
      <c r="H146" s="228">
        <v>0</v>
      </c>
      <c r="I146" s="228">
        <v>0</v>
      </c>
      <c r="J146" s="8" t="e">
        <f t="shared" si="20"/>
        <v>#DIV/0!</v>
      </c>
      <c r="K146" s="229">
        <f>IFERROR(VLOOKUP(C146,#REF!,2,0),0)</f>
        <v>0</v>
      </c>
      <c r="L146" s="229">
        <f t="shared" si="21"/>
        <v>0</v>
      </c>
      <c r="M146" s="5" t="str">
        <f t="shared" si="22"/>
        <v>OK</v>
      </c>
    </row>
    <row r="147" spans="1:13" x14ac:dyDescent="0.25">
      <c r="A147" s="5" t="s">
        <v>61</v>
      </c>
      <c r="B147" s="13" t="e">
        <f t="shared" si="19"/>
        <v>#DIV/0!</v>
      </c>
      <c r="C147" s="5" t="s">
        <v>487</v>
      </c>
      <c r="D147" s="227"/>
      <c r="E147" s="5"/>
      <c r="F147" s="5" t="s">
        <v>488</v>
      </c>
      <c r="G147" s="228"/>
      <c r="H147" s="228"/>
      <c r="I147" s="228">
        <v>500000</v>
      </c>
      <c r="J147" s="8" t="e">
        <f t="shared" si="20"/>
        <v>#DIV/0!</v>
      </c>
      <c r="K147" s="229">
        <f>IFERROR(VLOOKUP(C147,#REF!,2,0),0)</f>
        <v>0</v>
      </c>
      <c r="L147" s="229">
        <f t="shared" si="21"/>
        <v>500000</v>
      </c>
      <c r="M147" s="5" t="str">
        <f t="shared" si="22"/>
        <v>OK</v>
      </c>
    </row>
    <row r="148" spans="1:13" x14ac:dyDescent="0.25">
      <c r="A148" s="5" t="s">
        <v>61</v>
      </c>
      <c r="B148" s="13" t="e">
        <f t="shared" si="19"/>
        <v>#DIV/0!</v>
      </c>
      <c r="C148" s="5" t="s">
        <v>489</v>
      </c>
      <c r="D148" s="227"/>
      <c r="E148" s="5"/>
      <c r="F148" s="5" t="s">
        <v>490</v>
      </c>
      <c r="G148" s="228"/>
      <c r="H148" s="228">
        <v>1000000</v>
      </c>
      <c r="I148" s="228">
        <v>1200000</v>
      </c>
      <c r="J148" s="8" t="e">
        <f t="shared" si="20"/>
        <v>#DIV/0!</v>
      </c>
      <c r="K148" s="229">
        <f>IFERROR(VLOOKUP(C148,#REF!,2,0),0)</f>
        <v>0</v>
      </c>
      <c r="L148" s="229">
        <f t="shared" si="21"/>
        <v>1200000</v>
      </c>
      <c r="M148" s="5" t="str">
        <f t="shared" si="22"/>
        <v>OK</v>
      </c>
    </row>
    <row r="149" spans="1:13" x14ac:dyDescent="0.25">
      <c r="A149" s="5" t="s">
        <v>61</v>
      </c>
      <c r="B149" s="13" t="e">
        <f t="shared" si="19"/>
        <v>#DIV/0!</v>
      </c>
      <c r="C149" s="5" t="s">
        <v>491</v>
      </c>
      <c r="D149" s="227"/>
      <c r="E149" s="5"/>
      <c r="F149" s="5" t="s">
        <v>492</v>
      </c>
      <c r="G149" s="228"/>
      <c r="H149" s="228">
        <v>400000</v>
      </c>
      <c r="I149" s="228">
        <v>800000</v>
      </c>
      <c r="J149" s="8" t="e">
        <f t="shared" si="20"/>
        <v>#DIV/0!</v>
      </c>
      <c r="K149" s="229">
        <f>IFERROR(VLOOKUP(C149,#REF!,2,0),0)</f>
        <v>0</v>
      </c>
      <c r="L149" s="229">
        <f t="shared" si="21"/>
        <v>800000</v>
      </c>
      <c r="M149" s="5" t="str">
        <f t="shared" si="22"/>
        <v>OK</v>
      </c>
    </row>
    <row r="150" spans="1:13" x14ac:dyDescent="0.25">
      <c r="A150" s="5" t="s">
        <v>61</v>
      </c>
      <c r="B150" s="13" t="e">
        <f t="shared" si="19"/>
        <v>#DIV/0!</v>
      </c>
      <c r="C150" s="5" t="s">
        <v>493</v>
      </c>
      <c r="D150" s="227"/>
      <c r="E150" s="5"/>
      <c r="F150" s="5" t="s">
        <v>494</v>
      </c>
      <c r="G150" s="228"/>
      <c r="H150" s="228">
        <v>600000</v>
      </c>
      <c r="I150" s="228">
        <v>1500000</v>
      </c>
      <c r="J150" s="8" t="e">
        <f t="shared" si="20"/>
        <v>#DIV/0!</v>
      </c>
      <c r="K150" s="229">
        <f>IFERROR(VLOOKUP(C150,#REF!,2,0),0)</f>
        <v>0</v>
      </c>
      <c r="L150" s="229">
        <f t="shared" si="21"/>
        <v>1500000</v>
      </c>
      <c r="M150" s="5" t="str">
        <f t="shared" si="22"/>
        <v>OK</v>
      </c>
    </row>
    <row r="151" spans="1:13" x14ac:dyDescent="0.25">
      <c r="A151" s="5" t="s">
        <v>61</v>
      </c>
      <c r="B151" s="13" t="e">
        <f t="shared" si="19"/>
        <v>#DIV/0!</v>
      </c>
      <c r="C151" s="5" t="s">
        <v>495</v>
      </c>
      <c r="D151" s="227"/>
      <c r="E151" s="5"/>
      <c r="F151" s="5" t="s">
        <v>496</v>
      </c>
      <c r="G151" s="228"/>
      <c r="H151" s="228">
        <v>5000000</v>
      </c>
      <c r="I151" s="228">
        <v>5000000</v>
      </c>
      <c r="J151" s="8" t="e">
        <f t="shared" si="20"/>
        <v>#DIV/0!</v>
      </c>
      <c r="K151" s="229">
        <f>IFERROR(VLOOKUP(C151,#REF!,2,0),0)</f>
        <v>0</v>
      </c>
      <c r="L151" s="229">
        <f t="shared" si="21"/>
        <v>5000000</v>
      </c>
      <c r="M151" s="5" t="str">
        <f t="shared" si="22"/>
        <v>OK</v>
      </c>
    </row>
    <row r="152" spans="1:13" x14ac:dyDescent="0.25">
      <c r="A152" s="5" t="s">
        <v>61</v>
      </c>
      <c r="B152" s="13" t="e">
        <f t="shared" si="19"/>
        <v>#DIV/0!</v>
      </c>
      <c r="C152" s="5" t="s">
        <v>497</v>
      </c>
      <c r="D152" s="227"/>
      <c r="E152" s="5"/>
      <c r="F152" s="5" t="s">
        <v>498</v>
      </c>
      <c r="G152" s="228"/>
      <c r="H152" s="228">
        <v>300000</v>
      </c>
      <c r="I152" s="228">
        <v>300000</v>
      </c>
      <c r="J152" s="8" t="e">
        <f t="shared" si="20"/>
        <v>#DIV/0!</v>
      </c>
      <c r="K152" s="229">
        <f>IFERROR(VLOOKUP(C152,#REF!,2,0),0)</f>
        <v>0</v>
      </c>
      <c r="L152" s="229">
        <f t="shared" si="21"/>
        <v>300000</v>
      </c>
      <c r="M152" s="5" t="str">
        <f t="shared" si="22"/>
        <v>OK</v>
      </c>
    </row>
    <row r="153" spans="1:13" x14ac:dyDescent="0.25">
      <c r="A153" s="5" t="s">
        <v>61</v>
      </c>
      <c r="B153" s="13" t="e">
        <f t="shared" si="19"/>
        <v>#DIV/0!</v>
      </c>
      <c r="C153" s="5" t="s">
        <v>499</v>
      </c>
      <c r="D153" s="227"/>
      <c r="E153" s="5"/>
      <c r="F153" s="5" t="s">
        <v>500</v>
      </c>
      <c r="G153" s="228"/>
      <c r="H153" s="228">
        <v>0</v>
      </c>
      <c r="I153" s="228"/>
      <c r="J153" s="8" t="e">
        <f t="shared" si="20"/>
        <v>#DIV/0!</v>
      </c>
      <c r="K153" s="229">
        <f>IFERROR(VLOOKUP(C153,#REF!,2,0),0)</f>
        <v>0</v>
      </c>
      <c r="L153" s="229">
        <f t="shared" si="21"/>
        <v>0</v>
      </c>
      <c r="M153" s="5" t="s">
        <v>399</v>
      </c>
    </row>
    <row r="154" spans="1:13" x14ac:dyDescent="0.25">
      <c r="A154" s="5" t="s">
        <v>61</v>
      </c>
      <c r="B154" s="13" t="e">
        <f t="shared" si="19"/>
        <v>#DIV/0!</v>
      </c>
      <c r="C154" s="5" t="s">
        <v>501</v>
      </c>
      <c r="D154" s="227"/>
      <c r="E154" s="5"/>
      <c r="F154" s="5" t="s">
        <v>502</v>
      </c>
      <c r="G154" s="228"/>
      <c r="H154" s="228"/>
      <c r="I154" s="228"/>
      <c r="J154" s="8" t="e">
        <f t="shared" si="20"/>
        <v>#DIV/0!</v>
      </c>
      <c r="K154" s="229">
        <f>IFERROR(VLOOKUP(C154,#REF!,2,0),0)</f>
        <v>0</v>
      </c>
      <c r="L154" s="229">
        <f t="shared" si="21"/>
        <v>0</v>
      </c>
      <c r="M154" s="5" t="s">
        <v>399</v>
      </c>
    </row>
    <row r="155" spans="1:13" x14ac:dyDescent="0.25">
      <c r="A155" s="5" t="s">
        <v>61</v>
      </c>
      <c r="B155" s="13" t="e">
        <f t="shared" si="19"/>
        <v>#DIV/0!</v>
      </c>
      <c r="C155" s="5" t="s">
        <v>503</v>
      </c>
      <c r="D155" s="227"/>
      <c r="E155" s="5"/>
      <c r="F155" s="5" t="s">
        <v>504</v>
      </c>
      <c r="G155" s="228"/>
      <c r="H155" s="228">
        <v>500000</v>
      </c>
      <c r="I155" s="228">
        <v>500000</v>
      </c>
      <c r="J155" s="8" t="e">
        <f t="shared" si="20"/>
        <v>#DIV/0!</v>
      </c>
      <c r="K155" s="229">
        <f>IFERROR(VLOOKUP(C155,#REF!,2,0),0)</f>
        <v>0</v>
      </c>
      <c r="L155" s="229">
        <f t="shared" si="21"/>
        <v>500000</v>
      </c>
      <c r="M155" s="5" t="str">
        <f>IF(L155&lt;0,"Excedido","OK")</f>
        <v>OK</v>
      </c>
    </row>
    <row r="156" spans="1:13" x14ac:dyDescent="0.25">
      <c r="A156" s="5" t="s">
        <v>61</v>
      </c>
      <c r="B156" s="13" t="e">
        <f t="shared" si="19"/>
        <v>#DIV/0!</v>
      </c>
      <c r="C156" s="5" t="s">
        <v>505</v>
      </c>
      <c r="D156" s="227"/>
      <c r="E156" s="5"/>
      <c r="F156" s="5" t="s">
        <v>506</v>
      </c>
      <c r="G156" s="228"/>
      <c r="H156" s="228"/>
      <c r="I156" s="228">
        <v>1200000</v>
      </c>
      <c r="J156" s="8" t="e">
        <f t="shared" si="20"/>
        <v>#DIV/0!</v>
      </c>
      <c r="K156" s="229">
        <f>IFERROR(VLOOKUP(C156,#REF!,2,0),0)</f>
        <v>0</v>
      </c>
      <c r="L156" s="229">
        <f t="shared" si="21"/>
        <v>1200000</v>
      </c>
      <c r="M156" s="5" t="str">
        <f>IF(L156&lt;0,"Excedido","OK")</f>
        <v>OK</v>
      </c>
    </row>
    <row r="157" spans="1:13" x14ac:dyDescent="0.25">
      <c r="A157" s="5" t="s">
        <v>61</v>
      </c>
      <c r="B157" s="13" t="e">
        <f t="shared" si="19"/>
        <v>#DIV/0!</v>
      </c>
      <c r="C157" s="5" t="s">
        <v>507</v>
      </c>
      <c r="D157" s="227"/>
      <c r="E157" s="5"/>
      <c r="F157" s="5" t="s">
        <v>508</v>
      </c>
      <c r="G157" s="228"/>
      <c r="H157" s="228"/>
      <c r="I157" s="228">
        <v>200000</v>
      </c>
      <c r="J157" s="8" t="e">
        <f t="shared" si="20"/>
        <v>#DIV/0!</v>
      </c>
      <c r="K157" s="229">
        <f>IFERROR(VLOOKUP(C157,#REF!,2,0),0)</f>
        <v>0</v>
      </c>
      <c r="L157" s="229">
        <f t="shared" si="21"/>
        <v>200000</v>
      </c>
      <c r="M157" s="5" t="str">
        <f>IF(L157&lt;0,"Excedido","OK")</f>
        <v>OK</v>
      </c>
    </row>
    <row r="158" spans="1:13" x14ac:dyDescent="0.25">
      <c r="A158" s="5" t="s">
        <v>61</v>
      </c>
      <c r="B158" s="13" t="e">
        <f t="shared" si="19"/>
        <v>#DIV/0!</v>
      </c>
      <c r="C158" s="5" t="s">
        <v>509</v>
      </c>
      <c r="D158" s="227"/>
      <c r="E158" s="5"/>
      <c r="F158" s="5" t="s">
        <v>510</v>
      </c>
      <c r="G158" s="228"/>
      <c r="H158" s="228"/>
      <c r="I158" s="228"/>
      <c r="J158" s="8" t="e">
        <f t="shared" si="20"/>
        <v>#DIV/0!</v>
      </c>
      <c r="K158" s="229">
        <f>IFERROR(VLOOKUP(C158,#REF!,2,0),0)</f>
        <v>0</v>
      </c>
      <c r="L158" s="229">
        <f t="shared" si="21"/>
        <v>0</v>
      </c>
      <c r="M158" s="5" t="s">
        <v>511</v>
      </c>
    </row>
    <row r="159" spans="1:13" x14ac:dyDescent="0.25">
      <c r="A159" s="5" t="s">
        <v>61</v>
      </c>
      <c r="B159" s="13" t="e">
        <f t="shared" si="19"/>
        <v>#DIV/0!</v>
      </c>
      <c r="C159" s="5" t="s">
        <v>512</v>
      </c>
      <c r="D159" s="227"/>
      <c r="E159" s="5"/>
      <c r="F159" s="5" t="s">
        <v>513</v>
      </c>
      <c r="G159" s="228"/>
      <c r="H159" s="228">
        <v>500000</v>
      </c>
      <c r="I159" s="228">
        <v>500000</v>
      </c>
      <c r="J159" s="8" t="e">
        <f t="shared" si="20"/>
        <v>#DIV/0!</v>
      </c>
      <c r="K159" s="229">
        <f>IFERROR(VLOOKUP(C159,#REF!,2,0),0)</f>
        <v>0</v>
      </c>
      <c r="L159" s="229">
        <f t="shared" si="21"/>
        <v>500000</v>
      </c>
      <c r="M159" s="5" t="str">
        <f>IF(L159&lt;0,"Excedido","OK")</f>
        <v>OK</v>
      </c>
    </row>
    <row r="160" spans="1:13" x14ac:dyDescent="0.25">
      <c r="A160" s="5" t="s">
        <v>61</v>
      </c>
      <c r="B160" s="13" t="e">
        <f t="shared" si="19"/>
        <v>#DIV/0!</v>
      </c>
      <c r="C160" s="5" t="s">
        <v>514</v>
      </c>
      <c r="D160" s="227"/>
      <c r="E160" s="5"/>
      <c r="F160" s="5" t="s">
        <v>515</v>
      </c>
      <c r="G160" s="228"/>
      <c r="H160" s="228">
        <v>750000</v>
      </c>
      <c r="I160" s="228">
        <v>850000</v>
      </c>
      <c r="J160" s="8" t="e">
        <f t="shared" si="20"/>
        <v>#DIV/0!</v>
      </c>
      <c r="K160" s="229">
        <f>IFERROR(VLOOKUP(C160,#REF!,2,0),0)</f>
        <v>0</v>
      </c>
      <c r="L160" s="229">
        <f t="shared" si="21"/>
        <v>850000</v>
      </c>
      <c r="M160" s="5" t="str">
        <f>IF(L160&lt;0,"Excedido","OK")</f>
        <v>OK</v>
      </c>
    </row>
    <row r="161" spans="1:13" x14ac:dyDescent="0.25">
      <c r="A161" s="5" t="s">
        <v>61</v>
      </c>
      <c r="B161" s="13" t="e">
        <f t="shared" si="19"/>
        <v>#DIV/0!</v>
      </c>
      <c r="C161" s="5" t="s">
        <v>516</v>
      </c>
      <c r="D161" s="227"/>
      <c r="E161" s="5"/>
      <c r="F161" s="5" t="s">
        <v>517</v>
      </c>
      <c r="G161" s="228"/>
      <c r="H161" s="228"/>
      <c r="I161" s="228"/>
      <c r="J161" s="8" t="e">
        <f t="shared" si="20"/>
        <v>#DIV/0!</v>
      </c>
      <c r="K161" s="229">
        <f>IFERROR(VLOOKUP(C161,#REF!,2,0),0)</f>
        <v>0</v>
      </c>
      <c r="L161" s="229">
        <f t="shared" si="21"/>
        <v>0</v>
      </c>
      <c r="M161" s="5" t="s">
        <v>511</v>
      </c>
    </row>
    <row r="162" spans="1:13" x14ac:dyDescent="0.25">
      <c r="A162" s="5" t="s">
        <v>61</v>
      </c>
      <c r="B162" s="13" t="e">
        <f t="shared" si="19"/>
        <v>#DIV/0!</v>
      </c>
      <c r="C162" s="5" t="s">
        <v>518</v>
      </c>
      <c r="D162" s="227"/>
      <c r="E162" s="5"/>
      <c r="F162" s="5" t="s">
        <v>519</v>
      </c>
      <c r="G162" s="228"/>
      <c r="H162" s="228">
        <v>200000</v>
      </c>
      <c r="I162" s="228">
        <v>200000</v>
      </c>
      <c r="J162" s="8" t="e">
        <f t="shared" si="20"/>
        <v>#DIV/0!</v>
      </c>
      <c r="K162" s="229">
        <f>IFERROR(VLOOKUP(C162,#REF!,2,0),0)</f>
        <v>0</v>
      </c>
      <c r="L162" s="229">
        <f t="shared" si="21"/>
        <v>200000</v>
      </c>
      <c r="M162" s="5" t="str">
        <f>IF(L162&lt;0,"Excedido","OK")</f>
        <v>OK</v>
      </c>
    </row>
    <row r="163" spans="1:13" x14ac:dyDescent="0.25">
      <c r="A163" s="5" t="s">
        <v>61</v>
      </c>
      <c r="B163" s="13" t="e">
        <f t="shared" si="19"/>
        <v>#DIV/0!</v>
      </c>
      <c r="C163" s="5" t="s">
        <v>520</v>
      </c>
      <c r="D163" s="227"/>
      <c r="E163" s="5"/>
      <c r="F163" s="5" t="s">
        <v>521</v>
      </c>
      <c r="G163" s="228"/>
      <c r="H163" s="228">
        <v>0</v>
      </c>
      <c r="I163" s="228">
        <v>0</v>
      </c>
      <c r="J163" s="8" t="e">
        <f t="shared" si="20"/>
        <v>#DIV/0!</v>
      </c>
      <c r="K163" s="229">
        <f>IFERROR(VLOOKUP(C163,#REF!,2,0),0)</f>
        <v>0</v>
      </c>
      <c r="L163" s="229">
        <f t="shared" si="21"/>
        <v>0</v>
      </c>
      <c r="M163" s="5" t="s">
        <v>399</v>
      </c>
    </row>
    <row r="164" spans="1:13" x14ac:dyDescent="0.25">
      <c r="A164" s="5" t="s">
        <v>61</v>
      </c>
      <c r="B164" s="13" t="e">
        <f t="shared" si="19"/>
        <v>#DIV/0!</v>
      </c>
      <c r="C164" s="5" t="s">
        <v>522</v>
      </c>
      <c r="D164" s="227"/>
      <c r="E164" s="5"/>
      <c r="F164" s="5" t="s">
        <v>523</v>
      </c>
      <c r="G164" s="228"/>
      <c r="H164" s="228">
        <v>0</v>
      </c>
      <c r="I164" s="228">
        <v>1000000</v>
      </c>
      <c r="J164" s="8" t="e">
        <f t="shared" si="20"/>
        <v>#DIV/0!</v>
      </c>
      <c r="K164" s="229">
        <f>IFERROR(VLOOKUP(C164,#REF!,2,0),0)</f>
        <v>0</v>
      </c>
      <c r="L164" s="229">
        <f t="shared" si="21"/>
        <v>1000000</v>
      </c>
      <c r="M164" s="5" t="str">
        <f>IF(L164&lt;0,"Excedido","OK")</f>
        <v>OK</v>
      </c>
    </row>
    <row r="165" spans="1:13" x14ac:dyDescent="0.25">
      <c r="A165" s="5" t="s">
        <v>61</v>
      </c>
      <c r="B165" s="13"/>
      <c r="C165" s="5" t="s">
        <v>524</v>
      </c>
      <c r="D165" s="227"/>
      <c r="E165" s="5"/>
      <c r="F165" s="5" t="s">
        <v>525</v>
      </c>
      <c r="G165" s="228"/>
      <c r="H165" s="228"/>
      <c r="I165" s="228"/>
      <c r="J165" s="8"/>
      <c r="K165" s="229">
        <f>IFERROR(VLOOKUP(C165,#REF!,2,0),0)</f>
        <v>0</v>
      </c>
      <c r="L165" s="229">
        <f t="shared" si="21"/>
        <v>0</v>
      </c>
      <c r="M165" s="5" t="s">
        <v>511</v>
      </c>
    </row>
    <row r="166" spans="1:13" x14ac:dyDescent="0.25">
      <c r="A166" s="5" t="s">
        <v>61</v>
      </c>
      <c r="B166" s="13" t="e">
        <f t="shared" ref="B166:B177" si="23">K166/$K$229</f>
        <v>#DIV/0!</v>
      </c>
      <c r="C166" s="5" t="s">
        <v>526</v>
      </c>
      <c r="D166" s="227"/>
      <c r="E166" s="5"/>
      <c r="F166" s="5" t="s">
        <v>527</v>
      </c>
      <c r="G166" s="228"/>
      <c r="H166" s="228">
        <v>1000000</v>
      </c>
      <c r="I166" s="228">
        <v>1500000</v>
      </c>
      <c r="J166" s="8" t="e">
        <f t="shared" ref="J166:J174" si="24">K166/$K$229</f>
        <v>#DIV/0!</v>
      </c>
      <c r="K166" s="229">
        <f>IFERROR(VLOOKUP(C166,#REF!,2,0),0)</f>
        <v>0</v>
      </c>
      <c r="L166" s="229">
        <f t="shared" si="21"/>
        <v>1500000</v>
      </c>
      <c r="M166" s="5" t="str">
        <f>IF(L166&lt;0,"Excedido","OK")</f>
        <v>OK</v>
      </c>
    </row>
    <row r="167" spans="1:13" x14ac:dyDescent="0.25">
      <c r="A167" s="5" t="s">
        <v>61</v>
      </c>
      <c r="B167" s="13" t="e">
        <f t="shared" si="23"/>
        <v>#DIV/0!</v>
      </c>
      <c r="C167" s="5" t="s">
        <v>528</v>
      </c>
      <c r="D167" s="227"/>
      <c r="E167" s="5"/>
      <c r="F167" s="5" t="s">
        <v>529</v>
      </c>
      <c r="G167" s="228"/>
      <c r="H167" s="228">
        <v>1200000</v>
      </c>
      <c r="I167" s="228">
        <v>1200000</v>
      </c>
      <c r="J167" s="8" t="e">
        <f t="shared" si="24"/>
        <v>#DIV/0!</v>
      </c>
      <c r="K167" s="229">
        <f>IFERROR(VLOOKUP(C167,#REF!,2,0),0)</f>
        <v>0</v>
      </c>
      <c r="L167" s="229">
        <f t="shared" si="21"/>
        <v>1200000</v>
      </c>
      <c r="M167" s="5" t="str">
        <f>IF(L167&lt;0,"Excedido","OK")</f>
        <v>OK</v>
      </c>
    </row>
    <row r="168" spans="1:13" x14ac:dyDescent="0.25">
      <c r="A168" s="5" t="s">
        <v>61</v>
      </c>
      <c r="B168" s="13" t="e">
        <f t="shared" si="23"/>
        <v>#DIV/0!</v>
      </c>
      <c r="C168" s="5" t="s">
        <v>530</v>
      </c>
      <c r="D168" s="227"/>
      <c r="E168" s="5"/>
      <c r="F168" s="5" t="s">
        <v>531</v>
      </c>
      <c r="G168" s="228"/>
      <c r="H168" s="228">
        <v>2000000</v>
      </c>
      <c r="I168" s="228">
        <v>1500000</v>
      </c>
      <c r="J168" s="8" t="e">
        <f t="shared" si="24"/>
        <v>#DIV/0!</v>
      </c>
      <c r="K168" s="229">
        <f>IFERROR(VLOOKUP(C168,#REF!,2,0),0)</f>
        <v>0</v>
      </c>
      <c r="L168" s="229">
        <f t="shared" si="21"/>
        <v>1500000</v>
      </c>
      <c r="M168" s="5" t="str">
        <f>IF(L168&lt;0,"Excedido","OK")</f>
        <v>OK</v>
      </c>
    </row>
    <row r="169" spans="1:13" x14ac:dyDescent="0.25">
      <c r="A169" s="5" t="s">
        <v>61</v>
      </c>
      <c r="B169" s="13" t="e">
        <f t="shared" si="23"/>
        <v>#DIV/0!</v>
      </c>
      <c r="C169" s="5" t="s">
        <v>532</v>
      </c>
      <c r="D169" s="227"/>
      <c r="E169" s="5"/>
      <c r="F169" s="5" t="s">
        <v>533</v>
      </c>
      <c r="G169" s="228"/>
      <c r="H169" s="228">
        <v>750000</v>
      </c>
      <c r="I169" s="228">
        <v>750000</v>
      </c>
      <c r="J169" s="8" t="e">
        <f t="shared" si="24"/>
        <v>#DIV/0!</v>
      </c>
      <c r="K169" s="229">
        <f>IFERROR(VLOOKUP(C169,#REF!,2,0),0)</f>
        <v>0</v>
      </c>
      <c r="L169" s="229">
        <f t="shared" si="21"/>
        <v>750000</v>
      </c>
      <c r="M169" s="5" t="str">
        <f>IF(L169&lt;0,"Excedido","OK")</f>
        <v>OK</v>
      </c>
    </row>
    <row r="170" spans="1:13" x14ac:dyDescent="0.25">
      <c r="A170" s="5" t="s">
        <v>61</v>
      </c>
      <c r="B170" s="13" t="e">
        <f t="shared" si="23"/>
        <v>#DIV/0!</v>
      </c>
      <c r="C170" s="5" t="s">
        <v>534</v>
      </c>
      <c r="D170" s="227"/>
      <c r="E170" s="5"/>
      <c r="F170" s="5" t="s">
        <v>535</v>
      </c>
      <c r="G170" s="228"/>
      <c r="H170" s="228"/>
      <c r="I170" s="228">
        <v>600000</v>
      </c>
      <c r="J170" s="8" t="e">
        <f t="shared" si="24"/>
        <v>#DIV/0!</v>
      </c>
      <c r="K170" s="229">
        <f>IFERROR(VLOOKUP(C170,#REF!,2,0),0)</f>
        <v>0</v>
      </c>
      <c r="L170" s="229">
        <f t="shared" si="21"/>
        <v>600000</v>
      </c>
      <c r="M170" s="5" t="str">
        <f>IF(L170&lt;0,"Excedido","OK")</f>
        <v>OK</v>
      </c>
    </row>
    <row r="171" spans="1:13" x14ac:dyDescent="0.25">
      <c r="A171" s="5" t="s">
        <v>61</v>
      </c>
      <c r="B171" s="13" t="e">
        <f t="shared" si="23"/>
        <v>#DIV/0!</v>
      </c>
      <c r="C171" s="5" t="s">
        <v>536</v>
      </c>
      <c r="D171" s="227"/>
      <c r="E171" s="5"/>
      <c r="F171" s="5" t="s">
        <v>537</v>
      </c>
      <c r="G171" s="228"/>
      <c r="H171" s="228">
        <v>0</v>
      </c>
      <c r="I171" s="228">
        <v>0</v>
      </c>
      <c r="J171" s="8" t="e">
        <f t="shared" si="24"/>
        <v>#DIV/0!</v>
      </c>
      <c r="K171" s="229">
        <f>IFERROR(VLOOKUP(C171,#REF!,2,0),0)</f>
        <v>0</v>
      </c>
      <c r="L171" s="229">
        <f t="shared" si="21"/>
        <v>0</v>
      </c>
      <c r="M171" s="5" t="s">
        <v>399</v>
      </c>
    </row>
    <row r="172" spans="1:13" x14ac:dyDescent="0.25">
      <c r="A172" s="5" t="s">
        <v>61</v>
      </c>
      <c r="B172" s="13" t="e">
        <f t="shared" si="23"/>
        <v>#DIV/0!</v>
      </c>
      <c r="C172" s="5" t="s">
        <v>538</v>
      </c>
      <c r="D172" s="227"/>
      <c r="E172" s="5"/>
      <c r="F172" s="5" t="s">
        <v>539</v>
      </c>
      <c r="G172" s="228"/>
      <c r="H172" s="228">
        <v>2500000</v>
      </c>
      <c r="I172" s="228">
        <v>4000000</v>
      </c>
      <c r="J172" s="8" t="e">
        <f t="shared" si="24"/>
        <v>#DIV/0!</v>
      </c>
      <c r="K172" s="229">
        <f>IFERROR(VLOOKUP(C172,#REF!,2,0),0)</f>
        <v>0</v>
      </c>
      <c r="L172" s="229">
        <f t="shared" ref="L172:L203" si="25">I172-K172</f>
        <v>4000000</v>
      </c>
      <c r="M172" s="5" t="str">
        <f>IF(L172&lt;0,"Excedido","OK")</f>
        <v>OK</v>
      </c>
    </row>
    <row r="173" spans="1:13" x14ac:dyDescent="0.25">
      <c r="A173" s="5" t="s">
        <v>61</v>
      </c>
      <c r="B173" s="13" t="e">
        <f t="shared" si="23"/>
        <v>#DIV/0!</v>
      </c>
      <c r="C173" s="5" t="s">
        <v>540</v>
      </c>
      <c r="D173" s="227"/>
      <c r="E173" s="5"/>
      <c r="F173" s="5" t="s">
        <v>541</v>
      </c>
      <c r="G173" s="228"/>
      <c r="H173" s="228">
        <v>450000</v>
      </c>
      <c r="I173" s="228">
        <v>450000</v>
      </c>
      <c r="J173" s="8" t="e">
        <f t="shared" si="24"/>
        <v>#DIV/0!</v>
      </c>
      <c r="K173" s="229">
        <f>IFERROR(VLOOKUP(C173,#REF!,2,0),0)</f>
        <v>0</v>
      </c>
      <c r="L173" s="229">
        <f t="shared" si="25"/>
        <v>450000</v>
      </c>
      <c r="M173" s="5" t="str">
        <f>IF(L173&lt;0,"Excedido","OK")</f>
        <v>OK</v>
      </c>
    </row>
    <row r="174" spans="1:13" x14ac:dyDescent="0.25">
      <c r="A174" s="5" t="s">
        <v>61</v>
      </c>
      <c r="B174" s="13" t="e">
        <f t="shared" si="23"/>
        <v>#DIV/0!</v>
      </c>
      <c r="C174" s="5" t="s">
        <v>542</v>
      </c>
      <c r="D174" s="227"/>
      <c r="E174" s="5"/>
      <c r="F174" s="5" t="s">
        <v>543</v>
      </c>
      <c r="G174" s="228"/>
      <c r="H174" s="228"/>
      <c r="I174" s="228"/>
      <c r="J174" s="8" t="e">
        <f t="shared" si="24"/>
        <v>#DIV/0!</v>
      </c>
      <c r="K174" s="229">
        <f>IFERROR(VLOOKUP(C174,#REF!,2,0),0)</f>
        <v>0</v>
      </c>
      <c r="L174" s="229">
        <f t="shared" si="25"/>
        <v>0</v>
      </c>
      <c r="M174" s="5" t="s">
        <v>399</v>
      </c>
    </row>
    <row r="175" spans="1:13" x14ac:dyDescent="0.25">
      <c r="A175" s="5" t="s">
        <v>61</v>
      </c>
      <c r="B175" s="13" t="e">
        <f t="shared" si="23"/>
        <v>#DIV/0!</v>
      </c>
      <c r="C175" s="5" t="s">
        <v>544</v>
      </c>
      <c r="D175" s="227"/>
      <c r="E175" s="5"/>
      <c r="F175" s="5" t="s">
        <v>545</v>
      </c>
      <c r="G175" s="228"/>
      <c r="H175" s="228"/>
      <c r="I175" s="228">
        <v>200000</v>
      </c>
      <c r="J175" s="8"/>
      <c r="K175" s="229">
        <f>IFERROR(VLOOKUP(C175,#REF!,2,0),0)</f>
        <v>0</v>
      </c>
      <c r="L175" s="229">
        <f t="shared" si="25"/>
        <v>200000</v>
      </c>
      <c r="M175" s="5" t="str">
        <f>IF(L175&lt;0,"Excedido","OK")</f>
        <v>OK</v>
      </c>
    </row>
    <row r="176" spans="1:13" x14ac:dyDescent="0.25">
      <c r="A176" s="5" t="s">
        <v>61</v>
      </c>
      <c r="B176" s="13" t="e">
        <f t="shared" si="23"/>
        <v>#DIV/0!</v>
      </c>
      <c r="C176" s="5" t="s">
        <v>546</v>
      </c>
      <c r="D176" s="227"/>
      <c r="E176" s="5"/>
      <c r="F176" s="5" t="s">
        <v>547</v>
      </c>
      <c r="G176" s="228"/>
      <c r="H176" s="228">
        <v>1300000</v>
      </c>
      <c r="I176" s="228">
        <v>0</v>
      </c>
      <c r="J176" s="8" t="e">
        <f>K176/$K$229</f>
        <v>#DIV/0!</v>
      </c>
      <c r="K176" s="229">
        <f>IFERROR(VLOOKUP(C176,#REF!,2,0),0)</f>
        <v>0</v>
      </c>
      <c r="L176" s="229">
        <f t="shared" si="25"/>
        <v>0</v>
      </c>
      <c r="M176" s="5" t="str">
        <f>IF(L176&lt;0,"Excedido","OK")</f>
        <v>OK</v>
      </c>
    </row>
    <row r="177" spans="1:13" x14ac:dyDescent="0.25">
      <c r="A177" s="5" t="s">
        <v>61</v>
      </c>
      <c r="B177" s="13" t="e">
        <f t="shared" si="23"/>
        <v>#DIV/0!</v>
      </c>
      <c r="C177" s="5" t="s">
        <v>548</v>
      </c>
      <c r="D177" s="227"/>
      <c r="E177" s="5"/>
      <c r="F177" s="5" t="s">
        <v>549</v>
      </c>
      <c r="G177" s="228"/>
      <c r="H177" s="228"/>
      <c r="I177" s="228">
        <v>800000</v>
      </c>
      <c r="J177" s="8" t="e">
        <f>K177/$K$229</f>
        <v>#DIV/0!</v>
      </c>
      <c r="K177" s="229">
        <f>IFERROR(VLOOKUP(C177,#REF!,2,0),0)</f>
        <v>0</v>
      </c>
      <c r="L177" s="229">
        <f t="shared" si="25"/>
        <v>800000</v>
      </c>
      <c r="M177" s="5" t="str">
        <f>IF(L177&lt;0,"Excedido","OK")</f>
        <v>OK</v>
      </c>
    </row>
    <row r="178" spans="1:13" x14ac:dyDescent="0.25">
      <c r="A178" s="5" t="s">
        <v>61</v>
      </c>
      <c r="B178" s="13"/>
      <c r="C178" s="5" t="s">
        <v>550</v>
      </c>
      <c r="D178" s="227"/>
      <c r="E178" s="5"/>
      <c r="F178" s="5" t="s">
        <v>551</v>
      </c>
      <c r="G178" s="228"/>
      <c r="H178" s="228"/>
      <c r="I178" s="228"/>
      <c r="J178" s="8"/>
      <c r="K178" s="229">
        <f>IFERROR(VLOOKUP(C178,#REF!,2,0),0)</f>
        <v>0</v>
      </c>
      <c r="L178" s="229">
        <f t="shared" si="25"/>
        <v>0</v>
      </c>
      <c r="M178" s="5" t="str">
        <f>IF(L178&lt;0,"Excedido","OK")</f>
        <v>OK</v>
      </c>
    </row>
    <row r="179" spans="1:13" x14ac:dyDescent="0.25">
      <c r="A179" s="5" t="s">
        <v>61</v>
      </c>
      <c r="B179" s="13" t="e">
        <f t="shared" ref="B179:B225" si="26">K179/$K$229</f>
        <v>#DIV/0!</v>
      </c>
      <c r="C179" s="5" t="s">
        <v>552</v>
      </c>
      <c r="D179" s="227"/>
      <c r="E179" s="5"/>
      <c r="F179" s="5" t="s">
        <v>553</v>
      </c>
      <c r="G179" s="228"/>
      <c r="H179" s="228">
        <v>1000000</v>
      </c>
      <c r="I179" s="228">
        <v>0</v>
      </c>
      <c r="J179" s="8" t="e">
        <f t="shared" ref="J179:J190" si="27">K179/$K$229</f>
        <v>#DIV/0!</v>
      </c>
      <c r="K179" s="229">
        <f>IFERROR(VLOOKUP(C179,#REF!,2,0),0)</f>
        <v>0</v>
      </c>
      <c r="L179" s="229">
        <f t="shared" si="25"/>
        <v>0</v>
      </c>
      <c r="M179" s="5" t="s">
        <v>399</v>
      </c>
    </row>
    <row r="180" spans="1:13" x14ac:dyDescent="0.25">
      <c r="A180" s="5" t="s">
        <v>61</v>
      </c>
      <c r="B180" s="13" t="e">
        <f t="shared" si="26"/>
        <v>#DIV/0!</v>
      </c>
      <c r="C180" s="5" t="s">
        <v>554</v>
      </c>
      <c r="D180" s="227"/>
      <c r="E180" s="5"/>
      <c r="F180" s="5" t="s">
        <v>555</v>
      </c>
      <c r="G180" s="228"/>
      <c r="H180" s="228"/>
      <c r="I180" s="228">
        <v>300000</v>
      </c>
      <c r="J180" s="8" t="e">
        <f t="shared" si="27"/>
        <v>#DIV/0!</v>
      </c>
      <c r="K180" s="229">
        <f>IFERROR(VLOOKUP(C180,#REF!,2,0),0)</f>
        <v>0</v>
      </c>
      <c r="L180" s="229">
        <f t="shared" si="25"/>
        <v>300000</v>
      </c>
      <c r="M180" s="5" t="str">
        <f>IF(L180&lt;0,"Excedido","OK")</f>
        <v>OK</v>
      </c>
    </row>
    <row r="181" spans="1:13" x14ac:dyDescent="0.25">
      <c r="A181" s="5" t="s">
        <v>61</v>
      </c>
      <c r="B181" s="13" t="e">
        <f t="shared" si="26"/>
        <v>#DIV/0!</v>
      </c>
      <c r="C181" s="5" t="s">
        <v>556</v>
      </c>
      <c r="D181" s="227"/>
      <c r="E181" s="5"/>
      <c r="F181" s="5" t="s">
        <v>557</v>
      </c>
      <c r="G181" s="228"/>
      <c r="H181" s="228"/>
      <c r="I181" s="228"/>
      <c r="J181" s="8" t="e">
        <f t="shared" si="27"/>
        <v>#DIV/0!</v>
      </c>
      <c r="K181" s="229">
        <f>IFERROR(VLOOKUP(C181,#REF!,2,0),0)</f>
        <v>0</v>
      </c>
      <c r="L181" s="229">
        <f t="shared" si="25"/>
        <v>0</v>
      </c>
      <c r="M181" s="5" t="s">
        <v>399</v>
      </c>
    </row>
    <row r="182" spans="1:13" x14ac:dyDescent="0.25">
      <c r="A182" s="5" t="s">
        <v>61</v>
      </c>
      <c r="B182" s="13" t="e">
        <f t="shared" si="26"/>
        <v>#DIV/0!</v>
      </c>
      <c r="C182" s="5" t="s">
        <v>558</v>
      </c>
      <c r="D182" s="227"/>
      <c r="E182" s="5"/>
      <c r="F182" s="5" t="s">
        <v>559</v>
      </c>
      <c r="G182" s="228"/>
      <c r="H182" s="228">
        <v>0</v>
      </c>
      <c r="I182" s="228"/>
      <c r="J182" s="8" t="e">
        <f t="shared" si="27"/>
        <v>#DIV/0!</v>
      </c>
      <c r="K182" s="229">
        <f>IFERROR(VLOOKUP(C182,#REF!,2,0),0)</f>
        <v>0</v>
      </c>
      <c r="L182" s="229">
        <f t="shared" si="25"/>
        <v>0</v>
      </c>
      <c r="M182" s="5" t="str">
        <f t="shared" ref="M182:M193" si="28">IF(L182&lt;0,"Excedido","OK")</f>
        <v>OK</v>
      </c>
    </row>
    <row r="183" spans="1:13" x14ac:dyDescent="0.25">
      <c r="A183" s="5" t="s">
        <v>61</v>
      </c>
      <c r="B183" s="13" t="e">
        <f t="shared" si="26"/>
        <v>#DIV/0!</v>
      </c>
      <c r="C183" s="5" t="s">
        <v>560</v>
      </c>
      <c r="D183" s="227"/>
      <c r="E183" s="5"/>
      <c r="F183" s="5" t="s">
        <v>561</v>
      </c>
      <c r="G183" s="228"/>
      <c r="H183" s="228"/>
      <c r="I183" s="228">
        <v>400000</v>
      </c>
      <c r="J183" s="8" t="e">
        <f t="shared" si="27"/>
        <v>#DIV/0!</v>
      </c>
      <c r="K183" s="229">
        <f>IFERROR(VLOOKUP(C183,#REF!,2,0),0)</f>
        <v>0</v>
      </c>
      <c r="L183" s="229">
        <f t="shared" si="25"/>
        <v>400000</v>
      </c>
      <c r="M183" s="5" t="str">
        <f t="shared" si="28"/>
        <v>OK</v>
      </c>
    </row>
    <row r="184" spans="1:13" x14ac:dyDescent="0.25">
      <c r="A184" s="5" t="s">
        <v>61</v>
      </c>
      <c r="B184" s="13" t="e">
        <f t="shared" si="26"/>
        <v>#DIV/0!</v>
      </c>
      <c r="C184" s="5" t="s">
        <v>562</v>
      </c>
      <c r="D184" s="227"/>
      <c r="E184" s="5"/>
      <c r="F184" s="5" t="s">
        <v>563</v>
      </c>
      <c r="G184" s="228"/>
      <c r="H184" s="228">
        <v>2000000</v>
      </c>
      <c r="I184" s="228">
        <v>2000000</v>
      </c>
      <c r="J184" s="8" t="e">
        <f t="shared" si="27"/>
        <v>#DIV/0!</v>
      </c>
      <c r="K184" s="229">
        <f>IFERROR(VLOOKUP(C184,#REF!,2,0),0)</f>
        <v>0</v>
      </c>
      <c r="L184" s="229">
        <f t="shared" si="25"/>
        <v>2000000</v>
      </c>
      <c r="M184" s="5" t="str">
        <f t="shared" si="28"/>
        <v>OK</v>
      </c>
    </row>
    <row r="185" spans="1:13" x14ac:dyDescent="0.25">
      <c r="A185" s="5" t="s">
        <v>61</v>
      </c>
      <c r="B185" s="13" t="e">
        <f t="shared" si="26"/>
        <v>#DIV/0!</v>
      </c>
      <c r="C185" s="5" t="s">
        <v>564</v>
      </c>
      <c r="D185" s="227"/>
      <c r="E185" s="5"/>
      <c r="F185" s="5" t="s">
        <v>565</v>
      </c>
      <c r="G185" s="228"/>
      <c r="H185" s="228">
        <v>1000000</v>
      </c>
      <c r="I185" s="228">
        <v>1500000</v>
      </c>
      <c r="J185" s="8" t="e">
        <f t="shared" si="27"/>
        <v>#DIV/0!</v>
      </c>
      <c r="K185" s="229">
        <f>IFERROR(VLOOKUP(C185,#REF!,2,0),0)</f>
        <v>0</v>
      </c>
      <c r="L185" s="229">
        <f t="shared" si="25"/>
        <v>1500000</v>
      </c>
      <c r="M185" s="5" t="str">
        <f t="shared" si="28"/>
        <v>OK</v>
      </c>
    </row>
    <row r="186" spans="1:13" x14ac:dyDescent="0.25">
      <c r="A186" s="5" t="s">
        <v>61</v>
      </c>
      <c r="B186" s="13" t="e">
        <f t="shared" si="26"/>
        <v>#DIV/0!</v>
      </c>
      <c r="C186" s="5" t="s">
        <v>566</v>
      </c>
      <c r="D186" s="227"/>
      <c r="E186" s="5"/>
      <c r="F186" s="5" t="s">
        <v>567</v>
      </c>
      <c r="G186" s="228"/>
      <c r="H186" s="228">
        <v>1500000</v>
      </c>
      <c r="I186" s="228">
        <v>500000</v>
      </c>
      <c r="J186" s="8" t="e">
        <f t="shared" si="27"/>
        <v>#DIV/0!</v>
      </c>
      <c r="K186" s="229">
        <f>IFERROR(VLOOKUP(C186,#REF!,2,0),0)</f>
        <v>0</v>
      </c>
      <c r="L186" s="229">
        <f t="shared" si="25"/>
        <v>500000</v>
      </c>
      <c r="M186" s="5" t="str">
        <f t="shared" si="28"/>
        <v>OK</v>
      </c>
    </row>
    <row r="187" spans="1:13" x14ac:dyDescent="0.25">
      <c r="A187" s="5" t="s">
        <v>61</v>
      </c>
      <c r="B187" s="13" t="e">
        <f t="shared" si="26"/>
        <v>#DIV/0!</v>
      </c>
      <c r="C187" s="5" t="s">
        <v>568</v>
      </c>
      <c r="D187" s="227">
        <v>43100</v>
      </c>
      <c r="E187" s="5"/>
      <c r="F187" s="5" t="s">
        <v>569</v>
      </c>
      <c r="G187" s="228"/>
      <c r="H187" s="228">
        <v>1750000</v>
      </c>
      <c r="I187" s="228">
        <v>1750000</v>
      </c>
      <c r="J187" s="8" t="e">
        <f t="shared" si="27"/>
        <v>#DIV/0!</v>
      </c>
      <c r="K187" s="229">
        <f>IFERROR(VLOOKUP(C187,#REF!,2,0),0)</f>
        <v>0</v>
      </c>
      <c r="L187" s="229">
        <f t="shared" si="25"/>
        <v>1750000</v>
      </c>
      <c r="M187" s="5" t="str">
        <f t="shared" si="28"/>
        <v>OK</v>
      </c>
    </row>
    <row r="188" spans="1:13" x14ac:dyDescent="0.25">
      <c r="A188" s="5" t="s">
        <v>61</v>
      </c>
      <c r="B188" s="13" t="e">
        <f t="shared" si="26"/>
        <v>#DIV/0!</v>
      </c>
      <c r="C188" s="5" t="s">
        <v>570</v>
      </c>
      <c r="D188" s="227"/>
      <c r="E188" s="5"/>
      <c r="F188" s="5" t="s">
        <v>571</v>
      </c>
      <c r="G188" s="228"/>
      <c r="H188" s="228">
        <v>700000</v>
      </c>
      <c r="I188" s="228">
        <v>700000</v>
      </c>
      <c r="J188" s="8" t="e">
        <f t="shared" si="27"/>
        <v>#DIV/0!</v>
      </c>
      <c r="K188" s="229">
        <f>IFERROR(VLOOKUP(C188,#REF!,2,0),0)</f>
        <v>0</v>
      </c>
      <c r="L188" s="229">
        <f t="shared" si="25"/>
        <v>700000</v>
      </c>
      <c r="M188" s="5" t="str">
        <f t="shared" si="28"/>
        <v>OK</v>
      </c>
    </row>
    <row r="189" spans="1:13" x14ac:dyDescent="0.25">
      <c r="A189" s="5" t="s">
        <v>61</v>
      </c>
      <c r="B189" s="13" t="e">
        <f t="shared" si="26"/>
        <v>#DIV/0!</v>
      </c>
      <c r="C189" s="5" t="s">
        <v>572</v>
      </c>
      <c r="D189" s="227"/>
      <c r="E189" s="5"/>
      <c r="F189" s="5" t="s">
        <v>573</v>
      </c>
      <c r="G189" s="228"/>
      <c r="H189" s="228">
        <v>500000</v>
      </c>
      <c r="I189" s="228">
        <v>500000</v>
      </c>
      <c r="J189" s="8" t="e">
        <f t="shared" si="27"/>
        <v>#DIV/0!</v>
      </c>
      <c r="K189" s="229">
        <f>IFERROR(VLOOKUP(C189,#REF!,2,0),0)</f>
        <v>0</v>
      </c>
      <c r="L189" s="229">
        <f t="shared" si="25"/>
        <v>500000</v>
      </c>
      <c r="M189" s="5" t="str">
        <f t="shared" si="28"/>
        <v>OK</v>
      </c>
    </row>
    <row r="190" spans="1:13" x14ac:dyDescent="0.25">
      <c r="A190" s="5" t="s">
        <v>61</v>
      </c>
      <c r="B190" s="13" t="e">
        <f t="shared" si="26"/>
        <v>#DIV/0!</v>
      </c>
      <c r="C190" s="5" t="s">
        <v>574</v>
      </c>
      <c r="D190" s="227"/>
      <c r="E190" s="5"/>
      <c r="F190" s="5" t="s">
        <v>575</v>
      </c>
      <c r="G190" s="228"/>
      <c r="H190" s="228">
        <v>1000000</v>
      </c>
      <c r="I190" s="228">
        <v>800000</v>
      </c>
      <c r="J190" s="8" t="e">
        <f t="shared" si="27"/>
        <v>#DIV/0!</v>
      </c>
      <c r="K190" s="229">
        <f>IFERROR(VLOOKUP(C190,#REF!,2,0),0)</f>
        <v>0</v>
      </c>
      <c r="L190" s="229">
        <f t="shared" si="25"/>
        <v>800000</v>
      </c>
      <c r="M190" s="5" t="str">
        <f t="shared" si="28"/>
        <v>OK</v>
      </c>
    </row>
    <row r="191" spans="1:13" x14ac:dyDescent="0.25">
      <c r="A191" s="5" t="s">
        <v>61</v>
      </c>
      <c r="B191" s="13" t="e">
        <f t="shared" si="26"/>
        <v>#DIV/0!</v>
      </c>
      <c r="C191" s="5" t="s">
        <v>576</v>
      </c>
      <c r="D191" s="227"/>
      <c r="E191" s="5"/>
      <c r="F191" s="5" t="s">
        <v>577</v>
      </c>
      <c r="G191" s="228"/>
      <c r="H191" s="228"/>
      <c r="I191" s="228">
        <v>400000</v>
      </c>
      <c r="J191" s="8"/>
      <c r="K191" s="229">
        <f>IFERROR(VLOOKUP(C191,#REF!,2,0),0)</f>
        <v>0</v>
      </c>
      <c r="L191" s="229">
        <f t="shared" si="25"/>
        <v>400000</v>
      </c>
      <c r="M191" s="5" t="str">
        <f t="shared" si="28"/>
        <v>OK</v>
      </c>
    </row>
    <row r="192" spans="1:13" x14ac:dyDescent="0.25">
      <c r="A192" s="5" t="s">
        <v>61</v>
      </c>
      <c r="B192" s="13" t="e">
        <f t="shared" si="26"/>
        <v>#DIV/0!</v>
      </c>
      <c r="C192" s="5" t="s">
        <v>578</v>
      </c>
      <c r="D192" s="227">
        <v>43100</v>
      </c>
      <c r="E192" s="5"/>
      <c r="F192" s="5" t="s">
        <v>579</v>
      </c>
      <c r="G192" s="228"/>
      <c r="H192" s="228">
        <v>1000000</v>
      </c>
      <c r="I192" s="228">
        <v>2000000</v>
      </c>
      <c r="J192" s="8" t="e">
        <f t="shared" ref="J192:J218" si="29">K192/$K$229</f>
        <v>#DIV/0!</v>
      </c>
      <c r="K192" s="229">
        <f>IFERROR(VLOOKUP(C192,#REF!,2,0),0)</f>
        <v>0</v>
      </c>
      <c r="L192" s="229">
        <f t="shared" si="25"/>
        <v>2000000</v>
      </c>
      <c r="M192" s="5" t="str">
        <f t="shared" si="28"/>
        <v>OK</v>
      </c>
    </row>
    <row r="193" spans="1:13" x14ac:dyDescent="0.25">
      <c r="A193" s="5" t="s">
        <v>61</v>
      </c>
      <c r="B193" s="13" t="e">
        <f t="shared" si="26"/>
        <v>#DIV/0!</v>
      </c>
      <c r="C193" s="5" t="s">
        <v>580</v>
      </c>
      <c r="D193" s="227"/>
      <c r="E193" s="5"/>
      <c r="F193" s="5" t="s">
        <v>581</v>
      </c>
      <c r="G193" s="228"/>
      <c r="H193" s="228"/>
      <c r="I193" s="228"/>
      <c r="J193" s="8" t="e">
        <f t="shared" si="29"/>
        <v>#DIV/0!</v>
      </c>
      <c r="K193" s="229">
        <f>IFERROR(VLOOKUP(C193,#REF!,2,0),0)</f>
        <v>0</v>
      </c>
      <c r="L193" s="229">
        <f t="shared" si="25"/>
        <v>0</v>
      </c>
      <c r="M193" s="5" t="str">
        <f t="shared" si="28"/>
        <v>OK</v>
      </c>
    </row>
    <row r="194" spans="1:13" x14ac:dyDescent="0.25">
      <c r="A194" s="5" t="s">
        <v>61</v>
      </c>
      <c r="B194" s="13" t="e">
        <f t="shared" si="26"/>
        <v>#DIV/0!</v>
      </c>
      <c r="C194" s="5" t="s">
        <v>582</v>
      </c>
      <c r="D194" s="227"/>
      <c r="E194" s="5"/>
      <c r="F194" s="5" t="s">
        <v>583</v>
      </c>
      <c r="G194" s="228"/>
      <c r="H194" s="228">
        <v>0</v>
      </c>
      <c r="I194" s="228">
        <v>0</v>
      </c>
      <c r="J194" s="8" t="e">
        <f t="shared" si="29"/>
        <v>#DIV/0!</v>
      </c>
      <c r="K194" s="229">
        <f>IFERROR(VLOOKUP(C194,#REF!,2,0),0)</f>
        <v>0</v>
      </c>
      <c r="L194" s="229">
        <f t="shared" si="25"/>
        <v>0</v>
      </c>
      <c r="M194" s="5" t="s">
        <v>399</v>
      </c>
    </row>
    <row r="195" spans="1:13" x14ac:dyDescent="0.25">
      <c r="A195" s="5" t="s">
        <v>61</v>
      </c>
      <c r="B195" s="13" t="e">
        <f t="shared" si="26"/>
        <v>#DIV/0!</v>
      </c>
      <c r="C195" s="5" t="s">
        <v>584</v>
      </c>
      <c r="D195" s="227"/>
      <c r="E195" s="5"/>
      <c r="F195" s="5" t="s">
        <v>585</v>
      </c>
      <c r="G195" s="228"/>
      <c r="H195" s="228">
        <v>0</v>
      </c>
      <c r="I195" s="228">
        <v>0</v>
      </c>
      <c r="J195" s="8" t="e">
        <f t="shared" si="29"/>
        <v>#DIV/0!</v>
      </c>
      <c r="K195" s="229">
        <f>IFERROR(VLOOKUP(C195,#REF!,2,0),0)</f>
        <v>0</v>
      </c>
      <c r="L195" s="229">
        <f t="shared" si="25"/>
        <v>0</v>
      </c>
      <c r="M195" s="5" t="s">
        <v>399</v>
      </c>
    </row>
    <row r="196" spans="1:13" x14ac:dyDescent="0.25">
      <c r="A196" s="5" t="s">
        <v>61</v>
      </c>
      <c r="B196" s="13" t="e">
        <f t="shared" si="26"/>
        <v>#DIV/0!</v>
      </c>
      <c r="C196" s="5" t="s">
        <v>586</v>
      </c>
      <c r="D196" s="227"/>
      <c r="E196" s="5"/>
      <c r="F196" s="5" t="s">
        <v>587</v>
      </c>
      <c r="G196" s="228"/>
      <c r="H196" s="228">
        <v>1000000</v>
      </c>
      <c r="I196" s="228">
        <v>1000000</v>
      </c>
      <c r="J196" s="8" t="e">
        <f t="shared" si="29"/>
        <v>#DIV/0!</v>
      </c>
      <c r="K196" s="229">
        <f>IFERROR(VLOOKUP(C196,#REF!,2,0),0)</f>
        <v>0</v>
      </c>
      <c r="L196" s="229">
        <f t="shared" si="25"/>
        <v>1000000</v>
      </c>
      <c r="M196" s="5" t="str">
        <f>IF(L196&lt;0,"Excedido","OK")</f>
        <v>OK</v>
      </c>
    </row>
    <row r="197" spans="1:13" x14ac:dyDescent="0.25">
      <c r="A197" s="5" t="s">
        <v>61</v>
      </c>
      <c r="B197" s="13" t="e">
        <f t="shared" si="26"/>
        <v>#DIV/0!</v>
      </c>
      <c r="C197" s="5" t="s">
        <v>588</v>
      </c>
      <c r="D197" s="227"/>
      <c r="E197" s="5"/>
      <c r="F197" s="5" t="s">
        <v>589</v>
      </c>
      <c r="G197" s="228"/>
      <c r="H197" s="228">
        <v>1300000</v>
      </c>
      <c r="I197" s="228">
        <v>800000</v>
      </c>
      <c r="J197" s="8" t="e">
        <f t="shared" si="29"/>
        <v>#DIV/0!</v>
      </c>
      <c r="K197" s="229">
        <f>IFERROR(VLOOKUP(C197,#REF!,2,0),0)</f>
        <v>0</v>
      </c>
      <c r="L197" s="229">
        <f t="shared" si="25"/>
        <v>800000</v>
      </c>
      <c r="M197" s="5" t="str">
        <f>IF(L197&lt;0,"Excedido","OK")</f>
        <v>OK</v>
      </c>
    </row>
    <row r="198" spans="1:13" x14ac:dyDescent="0.25">
      <c r="A198" s="5" t="s">
        <v>61</v>
      </c>
      <c r="B198" s="13" t="e">
        <f t="shared" si="26"/>
        <v>#DIV/0!</v>
      </c>
      <c r="C198" s="5" t="s">
        <v>590</v>
      </c>
      <c r="D198" s="227"/>
      <c r="E198" s="5"/>
      <c r="F198" s="5" t="s">
        <v>591</v>
      </c>
      <c r="G198" s="228"/>
      <c r="H198" s="228">
        <v>1200000</v>
      </c>
      <c r="I198" s="228">
        <v>600000</v>
      </c>
      <c r="J198" s="8" t="e">
        <f t="shared" si="29"/>
        <v>#DIV/0!</v>
      </c>
      <c r="K198" s="229">
        <f>IFERROR(VLOOKUP(C198,#REF!,2,0),0)</f>
        <v>0</v>
      </c>
      <c r="L198" s="229">
        <f t="shared" si="25"/>
        <v>600000</v>
      </c>
      <c r="M198" s="5" t="str">
        <f>IF(L198&lt;0,"Excedido","OK")</f>
        <v>OK</v>
      </c>
    </row>
    <row r="199" spans="1:13" x14ac:dyDescent="0.25">
      <c r="A199" s="5" t="s">
        <v>61</v>
      </c>
      <c r="B199" s="13" t="e">
        <f t="shared" si="26"/>
        <v>#DIV/0!</v>
      </c>
      <c r="C199" s="5" t="s">
        <v>592</v>
      </c>
      <c r="D199" s="227"/>
      <c r="E199" s="5"/>
      <c r="F199" s="5" t="s">
        <v>593</v>
      </c>
      <c r="G199" s="228"/>
      <c r="H199" s="228"/>
      <c r="I199" s="228"/>
      <c r="J199" s="8" t="e">
        <f t="shared" si="29"/>
        <v>#DIV/0!</v>
      </c>
      <c r="K199" s="229">
        <f>IFERROR(VLOOKUP(C199,#REF!,2,0),0)</f>
        <v>0</v>
      </c>
      <c r="L199" s="229">
        <f t="shared" si="25"/>
        <v>0</v>
      </c>
      <c r="M199" s="5" t="s">
        <v>399</v>
      </c>
    </row>
    <row r="200" spans="1:13" x14ac:dyDescent="0.25">
      <c r="A200" s="5" t="s">
        <v>61</v>
      </c>
      <c r="B200" s="13" t="e">
        <f t="shared" si="26"/>
        <v>#DIV/0!</v>
      </c>
      <c r="C200" s="5" t="s">
        <v>594</v>
      </c>
      <c r="D200" s="227"/>
      <c r="E200" s="5"/>
      <c r="F200" s="5" t="s">
        <v>595</v>
      </c>
      <c r="G200" s="228"/>
      <c r="H200" s="228">
        <v>5800000</v>
      </c>
      <c r="I200" s="228">
        <v>1500000</v>
      </c>
      <c r="J200" s="8" t="e">
        <f t="shared" si="29"/>
        <v>#DIV/0!</v>
      </c>
      <c r="K200" s="229">
        <f>IFERROR(VLOOKUP(C200,#REF!,2,0),0)</f>
        <v>0</v>
      </c>
      <c r="L200" s="229">
        <f t="shared" si="25"/>
        <v>1500000</v>
      </c>
      <c r="M200" s="5" t="str">
        <f>IF(L200&lt;0,"Excedido","OK")</f>
        <v>OK</v>
      </c>
    </row>
    <row r="201" spans="1:13" x14ac:dyDescent="0.25">
      <c r="A201" s="5" t="s">
        <v>61</v>
      </c>
      <c r="B201" s="13" t="e">
        <f t="shared" si="26"/>
        <v>#DIV/0!</v>
      </c>
      <c r="C201" s="5" t="s">
        <v>596</v>
      </c>
      <c r="D201" s="227"/>
      <c r="E201" s="5"/>
      <c r="F201" s="5" t="s">
        <v>597</v>
      </c>
      <c r="G201" s="228"/>
      <c r="H201" s="228">
        <v>850000</v>
      </c>
      <c r="I201" s="228">
        <v>850000</v>
      </c>
      <c r="J201" s="8" t="e">
        <f t="shared" si="29"/>
        <v>#DIV/0!</v>
      </c>
      <c r="K201" s="229">
        <f>IFERROR(VLOOKUP(C201,#REF!,2,0),0)</f>
        <v>0</v>
      </c>
      <c r="L201" s="229">
        <f t="shared" si="25"/>
        <v>850000</v>
      </c>
      <c r="M201" s="5" t="str">
        <f>IF(L201&lt;0,"Excedido","OK")</f>
        <v>OK</v>
      </c>
    </row>
    <row r="202" spans="1:13" x14ac:dyDescent="0.25">
      <c r="A202" s="5" t="s">
        <v>61</v>
      </c>
      <c r="B202" s="13" t="e">
        <f t="shared" si="26"/>
        <v>#DIV/0!</v>
      </c>
      <c r="C202" s="5" t="s">
        <v>598</v>
      </c>
      <c r="D202" s="227"/>
      <c r="E202" s="5"/>
      <c r="F202" s="5" t="s">
        <v>599</v>
      </c>
      <c r="G202" s="228"/>
      <c r="H202" s="228">
        <v>150000</v>
      </c>
      <c r="I202" s="228">
        <v>150000</v>
      </c>
      <c r="J202" s="8" t="e">
        <f t="shared" si="29"/>
        <v>#DIV/0!</v>
      </c>
      <c r="K202" s="229">
        <f>IFERROR(VLOOKUP(C202,#REF!,2,0),0)</f>
        <v>0</v>
      </c>
      <c r="L202" s="229">
        <f t="shared" si="25"/>
        <v>150000</v>
      </c>
      <c r="M202" s="5" t="str">
        <f>IF(L202&lt;0,"Excedido","OK")</f>
        <v>OK</v>
      </c>
    </row>
    <row r="203" spans="1:13" x14ac:dyDescent="0.25">
      <c r="A203" s="5" t="s">
        <v>61</v>
      </c>
      <c r="B203" s="13" t="e">
        <f t="shared" si="26"/>
        <v>#DIV/0!</v>
      </c>
      <c r="C203" s="5" t="s">
        <v>600</v>
      </c>
      <c r="D203" s="227"/>
      <c r="E203" s="5"/>
      <c r="F203" s="5" t="s">
        <v>601</v>
      </c>
      <c r="G203" s="228"/>
      <c r="H203" s="228">
        <v>500000</v>
      </c>
      <c r="I203" s="228">
        <v>300000</v>
      </c>
      <c r="J203" s="8" t="e">
        <f t="shared" si="29"/>
        <v>#DIV/0!</v>
      </c>
      <c r="K203" s="229">
        <f>IFERROR(VLOOKUP(C203,#REF!,2,0),0)</f>
        <v>0</v>
      </c>
      <c r="L203" s="229">
        <f t="shared" si="25"/>
        <v>300000</v>
      </c>
      <c r="M203" s="5" t="str">
        <f>IF(L203&lt;0,"Excedido","OK")</f>
        <v>OK</v>
      </c>
    </row>
    <row r="204" spans="1:13" x14ac:dyDescent="0.25">
      <c r="A204" s="5" t="s">
        <v>61</v>
      </c>
      <c r="B204" s="13" t="e">
        <f t="shared" si="26"/>
        <v>#DIV/0!</v>
      </c>
      <c r="C204" s="5" t="s">
        <v>602</v>
      </c>
      <c r="D204" s="227"/>
      <c r="E204" s="5"/>
      <c r="F204" s="5" t="s">
        <v>603</v>
      </c>
      <c r="G204" s="228"/>
      <c r="H204" s="228">
        <v>0</v>
      </c>
      <c r="I204" s="228"/>
      <c r="J204" s="8" t="e">
        <f t="shared" si="29"/>
        <v>#DIV/0!</v>
      </c>
      <c r="K204" s="229">
        <f>IFERROR(VLOOKUP(C204,#REF!,2,0),0)</f>
        <v>0</v>
      </c>
      <c r="L204" s="229">
        <f t="shared" ref="L204:L235" si="30">I204-K204</f>
        <v>0</v>
      </c>
      <c r="M204" s="5" t="s">
        <v>399</v>
      </c>
    </row>
    <row r="205" spans="1:13" x14ac:dyDescent="0.25">
      <c r="A205" s="5" t="s">
        <v>61</v>
      </c>
      <c r="B205" s="13" t="e">
        <f t="shared" si="26"/>
        <v>#DIV/0!</v>
      </c>
      <c r="C205" s="5" t="s">
        <v>604</v>
      </c>
      <c r="D205" s="227"/>
      <c r="E205" s="5"/>
      <c r="F205" s="5" t="s">
        <v>605</v>
      </c>
      <c r="G205" s="228"/>
      <c r="H205" s="228"/>
      <c r="I205" s="228"/>
      <c r="J205" s="8" t="e">
        <f t="shared" si="29"/>
        <v>#DIV/0!</v>
      </c>
      <c r="K205" s="229">
        <f>IFERROR(VLOOKUP(C205,#REF!,2,0),0)</f>
        <v>0</v>
      </c>
      <c r="L205" s="229">
        <f t="shared" si="30"/>
        <v>0</v>
      </c>
      <c r="M205" s="5" t="s">
        <v>399</v>
      </c>
    </row>
    <row r="206" spans="1:13" x14ac:dyDescent="0.25">
      <c r="A206" s="5" t="s">
        <v>61</v>
      </c>
      <c r="B206" s="13" t="e">
        <f t="shared" si="26"/>
        <v>#DIV/0!</v>
      </c>
      <c r="C206" s="5" t="s">
        <v>606</v>
      </c>
      <c r="D206" s="227"/>
      <c r="E206" s="5"/>
      <c r="F206" s="5" t="s">
        <v>607</v>
      </c>
      <c r="G206" s="228"/>
      <c r="H206" s="228">
        <v>250000</v>
      </c>
      <c r="I206" s="228">
        <v>250000</v>
      </c>
      <c r="J206" s="8" t="e">
        <f t="shared" si="29"/>
        <v>#DIV/0!</v>
      </c>
      <c r="K206" s="229">
        <f>IFERROR(VLOOKUP(C206,#REF!,2,0),0)</f>
        <v>0</v>
      </c>
      <c r="L206" s="229">
        <f t="shared" si="30"/>
        <v>250000</v>
      </c>
      <c r="M206" s="5" t="str">
        <f t="shared" ref="M206:M211" si="31">IF(L206&lt;0,"Excedido","OK")</f>
        <v>OK</v>
      </c>
    </row>
    <row r="207" spans="1:13" x14ac:dyDescent="0.25">
      <c r="A207" s="5" t="s">
        <v>61</v>
      </c>
      <c r="B207" s="13" t="e">
        <f t="shared" si="26"/>
        <v>#DIV/0!</v>
      </c>
      <c r="C207" s="5" t="s">
        <v>608</v>
      </c>
      <c r="D207" s="227"/>
      <c r="E207" s="5"/>
      <c r="F207" s="5" t="s">
        <v>609</v>
      </c>
      <c r="G207" s="228"/>
      <c r="H207" s="228">
        <v>300000</v>
      </c>
      <c r="I207" s="228">
        <v>300000</v>
      </c>
      <c r="J207" s="8" t="e">
        <f t="shared" si="29"/>
        <v>#DIV/0!</v>
      </c>
      <c r="K207" s="229">
        <f>IFERROR(VLOOKUP(C207,#REF!,2,0),0)</f>
        <v>0</v>
      </c>
      <c r="L207" s="229">
        <f t="shared" si="30"/>
        <v>300000</v>
      </c>
      <c r="M207" s="5" t="str">
        <f t="shared" si="31"/>
        <v>OK</v>
      </c>
    </row>
    <row r="208" spans="1:13" x14ac:dyDescent="0.25">
      <c r="A208" s="5" t="s">
        <v>61</v>
      </c>
      <c r="B208" s="13" t="e">
        <f t="shared" si="26"/>
        <v>#DIV/0!</v>
      </c>
      <c r="C208" s="5" t="s">
        <v>610</v>
      </c>
      <c r="D208" s="227"/>
      <c r="E208" s="5"/>
      <c r="F208" s="5" t="s">
        <v>611</v>
      </c>
      <c r="G208" s="228">
        <v>1500000</v>
      </c>
      <c r="H208" s="228">
        <v>1500000</v>
      </c>
      <c r="I208" s="228">
        <v>1500000</v>
      </c>
      <c r="J208" s="8" t="e">
        <f t="shared" si="29"/>
        <v>#DIV/0!</v>
      </c>
      <c r="K208" s="229">
        <f>IFERROR(VLOOKUP(C208,#REF!,2,0),0)</f>
        <v>0</v>
      </c>
      <c r="L208" s="229">
        <f t="shared" si="30"/>
        <v>1500000</v>
      </c>
      <c r="M208" s="5" t="str">
        <f t="shared" si="31"/>
        <v>OK</v>
      </c>
    </row>
    <row r="209" spans="1:13" x14ac:dyDescent="0.25">
      <c r="A209" s="5" t="s">
        <v>61</v>
      </c>
      <c r="B209" s="13" t="e">
        <f t="shared" si="26"/>
        <v>#DIV/0!</v>
      </c>
      <c r="C209" s="5" t="s">
        <v>612</v>
      </c>
      <c r="D209" s="227"/>
      <c r="E209" s="5"/>
      <c r="F209" s="5" t="s">
        <v>613</v>
      </c>
      <c r="G209" s="228">
        <v>1500000</v>
      </c>
      <c r="H209" s="228">
        <v>1500000</v>
      </c>
      <c r="I209" s="228">
        <v>2500000</v>
      </c>
      <c r="J209" s="8" t="e">
        <f t="shared" si="29"/>
        <v>#DIV/0!</v>
      </c>
      <c r="K209" s="229">
        <f>IFERROR(VLOOKUP(C209,#REF!,2,0),0)</f>
        <v>0</v>
      </c>
      <c r="L209" s="229">
        <f t="shared" si="30"/>
        <v>2500000</v>
      </c>
      <c r="M209" s="5" t="str">
        <f t="shared" si="31"/>
        <v>OK</v>
      </c>
    </row>
    <row r="210" spans="1:13" x14ac:dyDescent="0.25">
      <c r="A210" s="5" t="s">
        <v>61</v>
      </c>
      <c r="B210" s="13" t="e">
        <f t="shared" si="26"/>
        <v>#DIV/0!</v>
      </c>
      <c r="C210" s="5" t="s">
        <v>614</v>
      </c>
      <c r="D210" s="227"/>
      <c r="E210" s="5"/>
      <c r="F210" s="5" t="s">
        <v>615</v>
      </c>
      <c r="G210" s="228"/>
      <c r="H210" s="228">
        <v>400000</v>
      </c>
      <c r="I210" s="228">
        <v>350000</v>
      </c>
      <c r="J210" s="8" t="e">
        <f t="shared" si="29"/>
        <v>#DIV/0!</v>
      </c>
      <c r="K210" s="229">
        <f>IFERROR(VLOOKUP(C210,#REF!,2,0),0)</f>
        <v>0</v>
      </c>
      <c r="L210" s="229">
        <f t="shared" si="30"/>
        <v>350000</v>
      </c>
      <c r="M210" s="5" t="str">
        <f t="shared" si="31"/>
        <v>OK</v>
      </c>
    </row>
    <row r="211" spans="1:13" x14ac:dyDescent="0.25">
      <c r="A211" s="5" t="s">
        <v>61</v>
      </c>
      <c r="B211" s="13" t="e">
        <f t="shared" si="26"/>
        <v>#DIV/0!</v>
      </c>
      <c r="C211" s="5" t="s">
        <v>616</v>
      </c>
      <c r="D211" s="227"/>
      <c r="E211" s="5"/>
      <c r="F211" s="5" t="s">
        <v>617</v>
      </c>
      <c r="G211" s="228"/>
      <c r="H211" s="228">
        <v>0</v>
      </c>
      <c r="I211" s="228">
        <v>3000000</v>
      </c>
      <c r="J211" s="8" t="e">
        <f t="shared" si="29"/>
        <v>#DIV/0!</v>
      </c>
      <c r="K211" s="229">
        <f>IFERROR(VLOOKUP(C211,#REF!,2,0),0)</f>
        <v>0</v>
      </c>
      <c r="L211" s="229">
        <f t="shared" si="30"/>
        <v>3000000</v>
      </c>
      <c r="M211" s="5" t="str">
        <f t="shared" si="31"/>
        <v>OK</v>
      </c>
    </row>
    <row r="212" spans="1:13" x14ac:dyDescent="0.25">
      <c r="A212" s="5" t="s">
        <v>61</v>
      </c>
      <c r="B212" s="13" t="e">
        <f t="shared" si="26"/>
        <v>#DIV/0!</v>
      </c>
      <c r="C212" s="5" t="s">
        <v>618</v>
      </c>
      <c r="D212" s="227"/>
      <c r="E212" s="5"/>
      <c r="F212" s="5" t="s">
        <v>619</v>
      </c>
      <c r="G212" s="228"/>
      <c r="H212" s="228">
        <v>0</v>
      </c>
      <c r="I212" s="228"/>
      <c r="J212" s="8" t="e">
        <f t="shared" si="29"/>
        <v>#DIV/0!</v>
      </c>
      <c r="K212" s="229">
        <f>IFERROR(VLOOKUP(C212,#REF!,2,0),0)</f>
        <v>0</v>
      </c>
      <c r="L212" s="229">
        <f t="shared" si="30"/>
        <v>0</v>
      </c>
      <c r="M212" s="5" t="s">
        <v>399</v>
      </c>
    </row>
    <row r="213" spans="1:13" x14ac:dyDescent="0.25">
      <c r="A213" s="5" t="s">
        <v>61</v>
      </c>
      <c r="B213" s="13" t="e">
        <f t="shared" si="26"/>
        <v>#DIV/0!</v>
      </c>
      <c r="C213" s="5" t="s">
        <v>620</v>
      </c>
      <c r="D213" s="227">
        <v>43100</v>
      </c>
      <c r="E213" s="5"/>
      <c r="F213" s="5" t="s">
        <v>621</v>
      </c>
      <c r="G213" s="228"/>
      <c r="H213" s="228">
        <v>1000000</v>
      </c>
      <c r="I213" s="228">
        <v>1000000</v>
      </c>
      <c r="J213" s="8" t="e">
        <f t="shared" si="29"/>
        <v>#DIV/0!</v>
      </c>
      <c r="K213" s="229">
        <f>IFERROR(VLOOKUP(C213,#REF!,2,0),0)</f>
        <v>0</v>
      </c>
      <c r="L213" s="229">
        <f t="shared" si="30"/>
        <v>1000000</v>
      </c>
      <c r="M213" s="5" t="str">
        <f>IF(L213&lt;0,"Excedido","OK")</f>
        <v>OK</v>
      </c>
    </row>
    <row r="214" spans="1:13" x14ac:dyDescent="0.25">
      <c r="A214" s="5" t="s">
        <v>61</v>
      </c>
      <c r="B214" s="13" t="e">
        <f t="shared" si="26"/>
        <v>#DIV/0!</v>
      </c>
      <c r="C214" s="5" t="s">
        <v>622</v>
      </c>
      <c r="D214" s="227"/>
      <c r="E214" s="5"/>
      <c r="F214" s="5" t="s">
        <v>623</v>
      </c>
      <c r="G214" s="228"/>
      <c r="H214" s="228"/>
      <c r="I214" s="228">
        <v>600000</v>
      </c>
      <c r="J214" s="8" t="e">
        <f t="shared" si="29"/>
        <v>#DIV/0!</v>
      </c>
      <c r="K214" s="229">
        <f>IFERROR(VLOOKUP(C214,#REF!,2,0),0)</f>
        <v>0</v>
      </c>
      <c r="L214" s="229">
        <f t="shared" si="30"/>
        <v>600000</v>
      </c>
      <c r="M214" s="5" t="str">
        <f>IF(L214&lt;0,"Excedido","OK")</f>
        <v>OK</v>
      </c>
    </row>
    <row r="215" spans="1:13" x14ac:dyDescent="0.25">
      <c r="A215" s="5" t="s">
        <v>61</v>
      </c>
      <c r="B215" s="13" t="e">
        <f t="shared" si="26"/>
        <v>#DIV/0!</v>
      </c>
      <c r="C215" s="5" t="s">
        <v>624</v>
      </c>
      <c r="D215" s="227"/>
      <c r="E215" s="5"/>
      <c r="F215" s="5" t="s">
        <v>625</v>
      </c>
      <c r="G215" s="228"/>
      <c r="H215" s="228">
        <v>400000</v>
      </c>
      <c r="I215" s="228">
        <v>400000</v>
      </c>
      <c r="J215" s="8" t="e">
        <f t="shared" si="29"/>
        <v>#DIV/0!</v>
      </c>
      <c r="K215" s="229">
        <f>IFERROR(VLOOKUP(C215,#REF!,2,0),0)</f>
        <v>0</v>
      </c>
      <c r="L215" s="229">
        <f t="shared" si="30"/>
        <v>400000</v>
      </c>
      <c r="M215" s="5" t="str">
        <f>IF(L215&lt;0,"Excedido","OK")</f>
        <v>OK</v>
      </c>
    </row>
    <row r="216" spans="1:13" x14ac:dyDescent="0.25">
      <c r="A216" s="5" t="s">
        <v>61</v>
      </c>
      <c r="B216" s="13" t="e">
        <f t="shared" si="26"/>
        <v>#DIV/0!</v>
      </c>
      <c r="C216" s="5" t="s">
        <v>626</v>
      </c>
      <c r="D216" s="227"/>
      <c r="E216" s="5"/>
      <c r="F216" s="5" t="s">
        <v>627</v>
      </c>
      <c r="G216" s="228"/>
      <c r="H216" s="228"/>
      <c r="I216" s="228"/>
      <c r="J216" s="8" t="e">
        <f t="shared" si="29"/>
        <v>#DIV/0!</v>
      </c>
      <c r="K216" s="229">
        <f>IFERROR(VLOOKUP(C216,#REF!,2,0),0)</f>
        <v>0</v>
      </c>
      <c r="L216" s="229">
        <f t="shared" si="30"/>
        <v>0</v>
      </c>
      <c r="M216" s="5" t="s">
        <v>399</v>
      </c>
    </row>
    <row r="217" spans="1:13" x14ac:dyDescent="0.25">
      <c r="A217" s="5" t="s">
        <v>61</v>
      </c>
      <c r="B217" s="13" t="e">
        <f t="shared" si="26"/>
        <v>#DIV/0!</v>
      </c>
      <c r="C217" s="5" t="s">
        <v>628</v>
      </c>
      <c r="D217" s="227"/>
      <c r="E217" s="5"/>
      <c r="F217" s="5" t="s">
        <v>629</v>
      </c>
      <c r="G217" s="228"/>
      <c r="H217" s="228">
        <v>450000</v>
      </c>
      <c r="I217" s="228">
        <v>450000</v>
      </c>
      <c r="J217" s="8" t="e">
        <f t="shared" si="29"/>
        <v>#DIV/0!</v>
      </c>
      <c r="K217" s="229">
        <f>IFERROR(VLOOKUP(C217,#REF!,2,0),0)</f>
        <v>0</v>
      </c>
      <c r="L217" s="229">
        <f t="shared" si="30"/>
        <v>450000</v>
      </c>
      <c r="M217" s="5" t="str">
        <f>IF(L217&lt;0,"Excedido","OK")</f>
        <v>OK</v>
      </c>
    </row>
    <row r="218" spans="1:13" x14ac:dyDescent="0.25">
      <c r="A218" s="5" t="s">
        <v>61</v>
      </c>
      <c r="B218" s="13" t="e">
        <f t="shared" si="26"/>
        <v>#DIV/0!</v>
      </c>
      <c r="C218" s="5" t="s">
        <v>630</v>
      </c>
      <c r="D218" s="227"/>
      <c r="E218" s="5"/>
      <c r="F218" s="5" t="s">
        <v>631</v>
      </c>
      <c r="G218" s="228"/>
      <c r="H218" s="228"/>
      <c r="I218" s="228">
        <v>1000000</v>
      </c>
      <c r="J218" s="8" t="e">
        <f t="shared" si="29"/>
        <v>#DIV/0!</v>
      </c>
      <c r="K218" s="229">
        <f>IFERROR(VLOOKUP(C218,#REF!,2,0),0)</f>
        <v>0</v>
      </c>
      <c r="L218" s="229">
        <f t="shared" si="30"/>
        <v>1000000</v>
      </c>
      <c r="M218" s="5" t="str">
        <f>IF(L218&lt;0,"Excedido","OK")</f>
        <v>OK</v>
      </c>
    </row>
    <row r="219" spans="1:13" x14ac:dyDescent="0.25">
      <c r="A219" s="5" t="s">
        <v>61</v>
      </c>
      <c r="B219" s="13" t="e">
        <f t="shared" si="26"/>
        <v>#DIV/0!</v>
      </c>
      <c r="C219" s="5" t="s">
        <v>632</v>
      </c>
      <c r="D219" s="227"/>
      <c r="E219" s="5"/>
      <c r="F219" s="5" t="s">
        <v>633</v>
      </c>
      <c r="G219" s="228"/>
      <c r="H219" s="228"/>
      <c r="I219" s="228">
        <v>300000</v>
      </c>
      <c r="J219" s="8"/>
      <c r="K219" s="229">
        <f>IFERROR(VLOOKUP(C219,#REF!,2,0),0)</f>
        <v>0</v>
      </c>
      <c r="L219" s="229">
        <f t="shared" si="30"/>
        <v>300000</v>
      </c>
      <c r="M219" s="5" t="str">
        <f>IF(L219&lt;0,"Excedido","OK")</f>
        <v>OK</v>
      </c>
    </row>
    <row r="220" spans="1:13" x14ac:dyDescent="0.25">
      <c r="A220" s="5" t="s">
        <v>61</v>
      </c>
      <c r="B220" s="13" t="e">
        <f t="shared" si="26"/>
        <v>#DIV/0!</v>
      </c>
      <c r="C220" s="5" t="s">
        <v>634</v>
      </c>
      <c r="D220" s="227"/>
      <c r="E220" s="5"/>
      <c r="F220" s="5" t="s">
        <v>635</v>
      </c>
      <c r="G220" s="228"/>
      <c r="H220" s="228"/>
      <c r="I220" s="228"/>
      <c r="J220" s="8" t="e">
        <f t="shared" ref="J220:J225" si="32">K220/$K$229</f>
        <v>#DIV/0!</v>
      </c>
      <c r="K220" s="229">
        <f>IFERROR(VLOOKUP(C220,#REF!,2,0),0)</f>
        <v>0</v>
      </c>
      <c r="L220" s="229">
        <f t="shared" si="30"/>
        <v>0</v>
      </c>
      <c r="M220" s="5" t="s">
        <v>511</v>
      </c>
    </row>
    <row r="221" spans="1:13" x14ac:dyDescent="0.25">
      <c r="A221" s="5" t="s">
        <v>61</v>
      </c>
      <c r="B221" s="13" t="e">
        <f t="shared" si="26"/>
        <v>#DIV/0!</v>
      </c>
      <c r="C221" s="5" t="s">
        <v>636</v>
      </c>
      <c r="D221" s="227"/>
      <c r="E221" s="5"/>
      <c r="F221" s="5" t="s">
        <v>637</v>
      </c>
      <c r="G221" s="228"/>
      <c r="H221" s="228"/>
      <c r="I221" s="228"/>
      <c r="J221" s="8" t="e">
        <f t="shared" si="32"/>
        <v>#DIV/0!</v>
      </c>
      <c r="K221" s="229">
        <f>IFERROR(VLOOKUP(C221,#REF!,2,0),0)</f>
        <v>0</v>
      </c>
      <c r="L221" s="229">
        <f t="shared" si="30"/>
        <v>0</v>
      </c>
      <c r="M221" s="5" t="str">
        <f t="shared" ref="M221:M228" si="33">IF(L221&lt;0,"Excedido","OK")</f>
        <v>OK</v>
      </c>
    </row>
    <row r="222" spans="1:13" x14ac:dyDescent="0.25">
      <c r="A222" s="5" t="s">
        <v>61</v>
      </c>
      <c r="B222" s="13" t="e">
        <f t="shared" si="26"/>
        <v>#DIV/0!</v>
      </c>
      <c r="C222" s="5" t="s">
        <v>638</v>
      </c>
      <c r="D222" s="227"/>
      <c r="E222" s="5"/>
      <c r="F222" s="5" t="s">
        <v>639</v>
      </c>
      <c r="G222" s="228"/>
      <c r="H222" s="228">
        <v>0</v>
      </c>
      <c r="I222" s="228">
        <v>500000</v>
      </c>
      <c r="J222" s="8" t="e">
        <f t="shared" si="32"/>
        <v>#DIV/0!</v>
      </c>
      <c r="K222" s="229">
        <f>IFERROR(VLOOKUP(C222,#REF!,2,0),0)</f>
        <v>0</v>
      </c>
      <c r="L222" s="229">
        <f t="shared" si="30"/>
        <v>500000</v>
      </c>
      <c r="M222" s="5" t="str">
        <f t="shared" si="33"/>
        <v>OK</v>
      </c>
    </row>
    <row r="223" spans="1:13" x14ac:dyDescent="0.25">
      <c r="A223" s="5" t="s">
        <v>61</v>
      </c>
      <c r="B223" s="13" t="e">
        <f t="shared" si="26"/>
        <v>#DIV/0!</v>
      </c>
      <c r="C223" s="5" t="s">
        <v>640</v>
      </c>
      <c r="D223" s="227">
        <v>43100</v>
      </c>
      <c r="E223" s="5"/>
      <c r="F223" s="5" t="s">
        <v>641</v>
      </c>
      <c r="G223" s="228"/>
      <c r="H223" s="228">
        <v>2000000</v>
      </c>
      <c r="I223" s="228">
        <v>2000000</v>
      </c>
      <c r="J223" s="8" t="e">
        <f t="shared" si="32"/>
        <v>#DIV/0!</v>
      </c>
      <c r="K223" s="229">
        <f>IFERROR(VLOOKUP(C223,#REF!,2,0),0)</f>
        <v>0</v>
      </c>
      <c r="L223" s="229">
        <f t="shared" si="30"/>
        <v>2000000</v>
      </c>
      <c r="M223" s="5" t="str">
        <f t="shared" si="33"/>
        <v>OK</v>
      </c>
    </row>
    <row r="224" spans="1:13" x14ac:dyDescent="0.25">
      <c r="A224" s="5" t="s">
        <v>61</v>
      </c>
      <c r="B224" s="13" t="e">
        <f t="shared" si="26"/>
        <v>#DIV/0!</v>
      </c>
      <c r="C224" s="5" t="s">
        <v>642</v>
      </c>
      <c r="D224" s="227"/>
      <c r="E224" s="5"/>
      <c r="F224" s="5" t="s">
        <v>643</v>
      </c>
      <c r="G224" s="228"/>
      <c r="H224" s="228">
        <v>2700000</v>
      </c>
      <c r="I224" s="228">
        <v>2000000</v>
      </c>
      <c r="J224" s="8" t="e">
        <f t="shared" si="32"/>
        <v>#DIV/0!</v>
      </c>
      <c r="K224" s="229">
        <f>IFERROR(VLOOKUP(C224,#REF!,2,0),0)</f>
        <v>0</v>
      </c>
      <c r="L224" s="229">
        <f t="shared" si="30"/>
        <v>2000000</v>
      </c>
      <c r="M224" s="5" t="str">
        <f t="shared" si="33"/>
        <v>OK</v>
      </c>
    </row>
    <row r="225" spans="1:13" x14ac:dyDescent="0.25">
      <c r="A225" s="5" t="s">
        <v>61</v>
      </c>
      <c r="B225" s="13" t="e">
        <f t="shared" si="26"/>
        <v>#DIV/0!</v>
      </c>
      <c r="C225" s="5" t="s">
        <v>644</v>
      </c>
      <c r="D225" s="227"/>
      <c r="E225" s="5"/>
      <c r="F225" s="5" t="s">
        <v>645</v>
      </c>
      <c r="G225" s="228"/>
      <c r="H225" s="228"/>
      <c r="I225" s="228">
        <v>350000</v>
      </c>
      <c r="J225" s="8" t="e">
        <f t="shared" si="32"/>
        <v>#DIV/0!</v>
      </c>
      <c r="K225" s="229">
        <f>IFERROR(VLOOKUP(C225,#REF!,2,0),0)</f>
        <v>0</v>
      </c>
      <c r="L225" s="229">
        <f t="shared" si="30"/>
        <v>350000</v>
      </c>
      <c r="M225" s="5" t="str">
        <f t="shared" si="33"/>
        <v>OK</v>
      </c>
    </row>
    <row r="226" spans="1:13" x14ac:dyDescent="0.25">
      <c r="A226" s="5" t="s">
        <v>61</v>
      </c>
      <c r="B226" s="13"/>
      <c r="C226" s="5" t="s">
        <v>646</v>
      </c>
      <c r="D226" s="227"/>
      <c r="E226" s="5"/>
      <c r="F226" s="5" t="s">
        <v>647</v>
      </c>
      <c r="G226" s="228"/>
      <c r="H226" s="228"/>
      <c r="I226" s="228">
        <v>300000</v>
      </c>
      <c r="J226" s="8"/>
      <c r="K226" s="229">
        <f>IFERROR(VLOOKUP(C226,#REF!,2,0),0)</f>
        <v>0</v>
      </c>
      <c r="L226" s="229">
        <f t="shared" si="30"/>
        <v>300000</v>
      </c>
      <c r="M226" s="5" t="str">
        <f t="shared" si="33"/>
        <v>OK</v>
      </c>
    </row>
    <row r="227" spans="1:13" x14ac:dyDescent="0.25">
      <c r="A227" s="5" t="s">
        <v>61</v>
      </c>
      <c r="B227" s="13" t="e">
        <f>K227/$K$229</f>
        <v>#DIV/0!</v>
      </c>
      <c r="C227" s="5" t="s">
        <v>648</v>
      </c>
      <c r="D227" s="227"/>
      <c r="E227" s="5"/>
      <c r="F227" s="5" t="s">
        <v>649</v>
      </c>
      <c r="G227" s="228"/>
      <c r="H227" s="228">
        <v>1000000</v>
      </c>
      <c r="I227" s="228">
        <v>1000000</v>
      </c>
      <c r="J227" s="8" t="e">
        <f>K227/$K$229</f>
        <v>#DIV/0!</v>
      </c>
      <c r="K227" s="229">
        <f>IFERROR(VLOOKUP(C227,#REF!,2,0),0)</f>
        <v>0</v>
      </c>
      <c r="L227" s="229">
        <f t="shared" si="30"/>
        <v>1000000</v>
      </c>
      <c r="M227" s="5" t="str">
        <f t="shared" si="33"/>
        <v>OK</v>
      </c>
    </row>
    <row r="228" spans="1:13" x14ac:dyDescent="0.25">
      <c r="A228" s="5" t="s">
        <v>61</v>
      </c>
      <c r="B228" s="13" t="e">
        <f>K228/$K$229</f>
        <v>#DIV/0!</v>
      </c>
      <c r="C228" s="5" t="s">
        <v>650</v>
      </c>
      <c r="D228" s="227"/>
      <c r="E228" s="5"/>
      <c r="F228" s="5" t="s">
        <v>651</v>
      </c>
      <c r="G228" s="228"/>
      <c r="H228" s="228">
        <v>600000</v>
      </c>
      <c r="I228" s="228">
        <v>600000</v>
      </c>
      <c r="J228" s="8" t="e">
        <f>K228/$K$229</f>
        <v>#DIV/0!</v>
      </c>
      <c r="K228" s="229">
        <f>IFERROR(VLOOKUP(C228,#REF!,2,0),0)</f>
        <v>0</v>
      </c>
      <c r="L228" s="229">
        <f t="shared" si="30"/>
        <v>600000</v>
      </c>
      <c r="M228" s="5" t="str">
        <f t="shared" si="33"/>
        <v>OK</v>
      </c>
    </row>
    <row r="229" spans="1:13" x14ac:dyDescent="0.25">
      <c r="A229" s="6"/>
      <c r="B229" s="14" t="e">
        <f>SUM(B2:B228)</f>
        <v>#DIV/0!</v>
      </c>
      <c r="C229" s="6"/>
      <c r="D229" s="234"/>
      <c r="E229" s="6"/>
      <c r="F229" s="7" t="s">
        <v>652</v>
      </c>
      <c r="G229" s="15" t="e">
        <f>B229</f>
        <v>#DIV/0!</v>
      </c>
      <c r="H229" s="235"/>
      <c r="I229" s="236" t="e">
        <f>K229-GETPIVOTDATA("Soma de VALOR_PRESENTE",#REF!)</f>
        <v>#REF!</v>
      </c>
      <c r="J229" s="236"/>
      <c r="K229" s="237">
        <f>SUM(K20,K23,K27,K31,K35,K38,K41,K44,K47,K50,K54,K57,K60,K63,K66,K69,K72,K75,K76:K228)</f>
        <v>0</v>
      </c>
      <c r="L229" s="237"/>
      <c r="M229" s="237"/>
    </row>
  </sheetData>
  <autoFilter ref="C1:M229" xr:uid="{00000000-0009-0000-0000-000009000000}"/>
  <printOptions horizontalCentered="1" gridLines="1"/>
  <pageMargins left="0.19685039370078741" right="0.19685039370078741" top="0.78740157480314965" bottom="0.78740157480314965" header="0.31496062992125978" footer="0.31496062992125978"/>
  <pageSetup paperSize="9" scale="6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Pagamentos - Socopa </vt:lpstr>
      <vt:lpstr>Planilha1</vt:lpstr>
      <vt:lpstr>Diario</vt:lpstr>
      <vt:lpstr>Relatorio</vt:lpstr>
      <vt:lpstr>estoque</vt:lpstr>
      <vt:lpstr>historico</vt:lpstr>
      <vt:lpstr>amortizacao</vt:lpstr>
      <vt:lpstr>emissao_sub</vt:lpstr>
      <vt:lpstr>emissao_sen</vt:lpstr>
      <vt:lpstr>PLD Socopa 1508</vt:lpstr>
      <vt:lpstr>Relatorio!Area_de_impressao</vt:lpstr>
      <vt:lpstr>'PLD Socopa 1508'!Titulos_de_impressao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Bernardo.Beccker</dc:creator>
  <cp:lastModifiedBy>Bernardo.Becker</cp:lastModifiedBy>
  <cp:lastPrinted>2022-11-17T19:23:36Z</cp:lastPrinted>
  <dcterms:created xsi:type="dcterms:W3CDTF">2018-07-12T16:13:31Z</dcterms:created>
  <dcterms:modified xsi:type="dcterms:W3CDTF">2023-03-02T11:54:02Z</dcterms:modified>
</cp:coreProperties>
</file>